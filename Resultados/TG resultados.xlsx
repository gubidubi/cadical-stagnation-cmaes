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v3.0.1" sheetId="1" r:id="rId5"/>
    <sheet state="visible" name="3_640" sheetId="2" r:id="rId6"/>
    <sheet state="visible" name="3_640_2" sheetId="3" r:id="rId7"/>
    <sheet state="visible" name="7_497" sheetId="4" r:id="rId8"/>
    <sheet state="visible" name="11_301" sheetId="5" r:id="rId9"/>
    <sheet state="visible" name="Comp2019" sheetId="6" r:id="rId10"/>
    <sheet state="visible" name="Base_v3.0.1_2026" sheetId="7" r:id="rId11"/>
    <sheet state="visible" name="3_640_2026" sheetId="8" r:id="rId12"/>
    <sheet state="visible" name="11_301_2026" sheetId="9" r:id="rId13"/>
    <sheet state="visible" name="Comp2026" sheetId="10" r:id="rId14"/>
    <sheet state="visible" name="Base_broken" sheetId="11" r:id="rId15"/>
    <sheet state="visible" name="Comp" sheetId="12" r:id="rId16"/>
  </sheets>
  <definedNames/>
  <calcPr/>
</workbook>
</file>

<file path=xl/sharedStrings.xml><?xml version="1.0" encoding="utf-8"?>
<sst xmlns="http://schemas.openxmlformats.org/spreadsheetml/2006/main" count="8594" uniqueCount="833">
  <si>
    <t>Column 1</t>
  </si>
  <si>
    <t>file</t>
  </si>
  <si>
    <t>answer</t>
  </si>
  <si>
    <t>cpu time</t>
  </si>
  <si>
    <t>PAR-2</t>
  </si>
  <si>
    <t>SAT2019/Mario-t-hard-2_c18.cnf.xz</t>
  </si>
  <si>
    <t>SATISFIABLE</t>
  </si>
  <si>
    <t>SAT2019/hcp_d12_12.cnf.xz</t>
  </si>
  <si>
    <t>SAT2019/6s169-opt-sc2014.cnf.xz</t>
  </si>
  <si>
    <t>UNSATISFIABLE</t>
  </si>
  <si>
    <t>SAT2019/Bibd-sc-10-03-08_c18.cnf.xz</t>
  </si>
  <si>
    <t>SAT2019/frb-40-19-1-mgd_c18.cnf.xz</t>
  </si>
  <si>
    <t>SAT2019/mrpp_6x6#12_24-sc2013.cnf.xz</t>
  </si>
  <si>
    <t>SAT2019/satcoin-genesis-SAT-10-sc2018.cnf.xz</t>
  </si>
  <si>
    <t>SAT2019/Mario-t-hard-5_c18.cnf.xz</t>
  </si>
  <si>
    <t>SAT2019/hcp_r20_20.cnf.xz</t>
  </si>
  <si>
    <t>SAT2019/f6nidw-sc2012.cnf.xz</t>
  </si>
  <si>
    <t>SAT2019/mod4block_2vars_10gates_u2_autoenc-sc2009.cnf.xz</t>
  </si>
  <si>
    <t>SAT2019/6s166-sc2013.cnf.xz</t>
  </si>
  <si>
    <t>SAT2019/6s133-sc2014.cnf.xz</t>
  </si>
  <si>
    <t>SAT2019/002-80-8-sc2014.cnf.xz</t>
  </si>
  <si>
    <t>SAT2019/c6288mul.miter.shuffled-as.sat03-346-sc2002.cnf.xz</t>
  </si>
  <si>
    <t>SAT2019/sha1r17m66a.cnf.xz</t>
  </si>
  <si>
    <t>SAT2019/aaai10-planning-ipc5-pathways-17-step21-sc2011.cnf.xz</t>
  </si>
  <si>
    <t>SAT2019/ndhf_xits_19_UNKNOWN-sc2011.cnf.xz</t>
  </si>
  <si>
    <t>SAT2019/eqbpwtrc10bpdtlf10.cnf.xz</t>
  </si>
  <si>
    <t>SAT2019/sv-comp19_prop-reachsafety.sine_8_true-unreach-call_true-termination.i-witness.cnf.xz</t>
  </si>
  <si>
    <t>SAT2019/20180326_095804936_p_cnf_320_1120-sc2018.cnf.xz</t>
  </si>
  <si>
    <t>SAT2019/sv-comp19_prop-reachsafety.26_stack_cas_longer_false-unreach-call.i-witness.cnf.xz</t>
  </si>
  <si>
    <t>SAT2019/Tal-07_c18.cnf.xz</t>
  </si>
  <si>
    <t>SAT2019/atco_enc2_opt2_10_21-sc2014.cnf.xz</t>
  </si>
  <si>
    <t>SAT2019/toughsat_22bits_1.cnf.xz</t>
  </si>
  <si>
    <t>SAT2019/CarSequencing-90-02_c18.cnf.xz</t>
  </si>
  <si>
    <t>SAT2019/Eternity-10-05_c18.cnf.xz</t>
  </si>
  <si>
    <t>SAT2019/uniqinv47prop-sc2018.cnf.xz</t>
  </si>
  <si>
    <t>SAT2019/toughsat_23bits_1.cnf.xz</t>
  </si>
  <si>
    <t>SAT2019/GracefulGraph-K05-P02_c18.cnf.xz</t>
  </si>
  <si>
    <t>SAT2019/total-10-15-s-sc2007.cnf.xz</t>
  </si>
  <si>
    <t>SAT2019/toughsat_23bits_0.cnf.xz</t>
  </si>
  <si>
    <t>SAT2019/slp-synthesis-aes-bottom13-sc2011.cnf.xz</t>
  </si>
  <si>
    <t>SAT2019/maxxor032-sc2011.cnf.xz</t>
  </si>
  <si>
    <t>SAT2019/20180322_164224543_p_cnf_320_1120-sc2018.cnf.xz</t>
  </si>
  <si>
    <t>SAT2019/slp-synthesis-aes-top26-sc2011.cnf.xz</t>
  </si>
  <si>
    <t>SAT2019/QG7a-gensys-icl001.sat05-3822.reshuffled-07-sc2007.cnf.xz</t>
  </si>
  <si>
    <t>SAT2019/sv-comp19_prop-reachsafety.25_stack_longest_false-unreach-call.i-witness.cnf.xz</t>
  </si>
  <si>
    <t>SAT2019/toughsat_26bits_1.cnf.xz</t>
  </si>
  <si>
    <t>SAT2019/hcp_r26_26.cnf.xz</t>
  </si>
  <si>
    <t>SAT2019/sv-comp19_prop-reachsafety.race-4_2-thread_local_vars_false-unreach-call.i-witness.cnf.xz</t>
  </si>
  <si>
    <t>SAT2019/sha1r17m63a.cnf.xz</t>
  </si>
  <si>
    <t>SAT2019/rbsat-v945c61409gyes9-sc2009.cnf.xz</t>
  </si>
  <si>
    <t>SAT2019/9_50-sc2017.cnf.xz</t>
  </si>
  <si>
    <t>SAT2019/CarSequencing-90-01_c18.cnf.xz</t>
  </si>
  <si>
    <t>SAT2019/Tal-08_c18.cnf.xz</t>
  </si>
  <si>
    <t>SAT2019/dist6.c-sc2018.cnf.xz</t>
  </si>
  <si>
    <t>SAT2019/26_stack_cas_longest_true-unreach-call.i-cbmc-u2-sc2016.cnf.xz</t>
  </si>
  <si>
    <t>SAT2019/squ_ali_s10x10_c39_abix_SAT-sc2017.cnf.xz</t>
  </si>
  <si>
    <t>SAT2019/toughsat_22bits_0.cnf.xz</t>
  </si>
  <si>
    <t>SAT2019/crafted_n11_d6_c3_num24-sc2013.cnf.xz</t>
  </si>
  <si>
    <t>SAT2019/Nb7T44-sc2017.cnf.xz</t>
  </si>
  <si>
    <t>SAT2019/jgiraldezlevy.2200.9086.08.40.149-sr2015.cnf.xz</t>
  </si>
  <si>
    <t>SAT2019/sv-comp19_prop-reachsafety.newton_2_6_false-unreach-call_true-termination.i-witness.cnf.xz</t>
  </si>
  <si>
    <t>SAT2019/atco_enc1_opt1_04_32-sc2014.cnf.xz</t>
  </si>
  <si>
    <t>SAT2019/toughsat_29bits_0.cnf.xz</t>
  </si>
  <si>
    <t>SAT2019/sv-comp19_prop-reachsafety.square_5_true-unreach-call_true-termination.i-witness.cnf.xz</t>
  </si>
  <si>
    <t>SAT2019/dp12u11.used-as.sat04-358-sc2004.cnf.xz</t>
  </si>
  <si>
    <t>SAT2019/size_4_4_4_i4295_r8.cnf.xz</t>
  </si>
  <si>
    <t>SAT2019/MASG_72_keystream76_0.cnf.xz</t>
  </si>
  <si>
    <t>SAT2019/sv-comp19_prop-reachsafety.newton_2_8_false-unreach-call_true-termination.i-witness.cnf.xz</t>
  </si>
  <si>
    <t>SAT2019/sha1r17m148ABCD.cnf.xz</t>
  </si>
  <si>
    <t>SAT2019/toughsat_25bits_1.cnf.xz</t>
  </si>
  <si>
    <t>SAT2019/toughsat_23bits_2.cnf.xz</t>
  </si>
  <si>
    <t>SAT2019/ezfact64_8.shuffled-as.sat03-1524-sc2002.cnf.xz</t>
  </si>
  <si>
    <t>SAT2019/Eternity-10-06_c18.cnf.xz</t>
  </si>
  <si>
    <t>SAT2019/sha1r17m75a_p.cnf.xz</t>
  </si>
  <si>
    <t>SAT2019/size_4_4_4_i0418_r8.cnf.xz</t>
  </si>
  <si>
    <t>SAT2019/toughsat_23bits_3.cnf.xz</t>
  </si>
  <si>
    <t>SAT2019/toughsat_24bits_3.cnf.xz</t>
  </si>
  <si>
    <t>SAT2019/eqbpdtlf14bpwtcl14.cnf.xz</t>
  </si>
  <si>
    <t>SAT2019/sha1r17m66a_p.cnf.xz</t>
  </si>
  <si>
    <t>SAT2019/countbitssrl032-sc2009.cnf.xz</t>
  </si>
  <si>
    <t>SAT2019/gensys-icl005.shuffled-as.sat05-3826-sc2011.cnf.xz</t>
  </si>
  <si>
    <t>SAT2019/ASG_72_keystream76_2.cnf.xz</t>
  </si>
  <si>
    <t>SAT2019/sv-comp19_prop-reachsafety.newton_3_8_false-unreach-call_true-termination.i-witness.cnf.xz</t>
  </si>
  <si>
    <t>SAT2019/Grain_no_init_ver1_out200_known_last104_0.cnf.xz</t>
  </si>
  <si>
    <t>SAT2019/ablmulub16x4o-sc2016.cnf.xz</t>
  </si>
  <si>
    <t>SAT2019/aes_32_3_keyfind_1-sc2011.cnf.xz</t>
  </si>
  <si>
    <t>SAT2019/pb_300_10_lb_08-sc2014.cnf.xz</t>
  </si>
  <si>
    <t>SAT2019/smulo032-sc2012.cnf.xz</t>
  </si>
  <si>
    <t>SAT2019/UTI-20-10p1-sc2009.cnf.xz</t>
  </si>
  <si>
    <t>SAT2019/Subisomorphism-g10-g27_c18.cnf.xz</t>
  </si>
  <si>
    <t>SAT2019/UR-20-5p1-sc2009.cnf.xz</t>
  </si>
  <si>
    <t>SAT2019/sv-comp19_prop-reachsafety.newton_2_4_true-unreach-call_true-termination.i-witness.cnf.xz</t>
  </si>
  <si>
    <t>SAT2019/SAT_dat.k100-sc2012.cnf.xz</t>
  </si>
  <si>
    <t>SAT2019/hitag2-8-60-0-0x880693399044612-25-SAT-sc2013.cnf.xz</t>
  </si>
  <si>
    <t>SAT2019/sha1r17m72a.cnf.xz</t>
  </si>
  <si>
    <t>SAT2019/toughsat_24bits_0.cnf.xz</t>
  </si>
  <si>
    <t>SAT2019/toughsat_24bits_2.cnf.xz</t>
  </si>
  <si>
    <t>SAT2019/cruxmiter28seed8.cnf.xz</t>
  </si>
  <si>
    <t>SAT2019/T169.1.0-sc2017.cnf.xz</t>
  </si>
  <si>
    <t>SAT2019/mod2c-3cage-unsat-10-2.sat05-2567.reshuffled-07-sc2007.cnf.xz</t>
  </si>
  <si>
    <t>SAT2019/GracefulGraph-K04-P04_c18.cnf.xz</t>
  </si>
  <si>
    <t>SAT2019/QG7a-gensys-ukn002.sat05-3842.reshuffled-07-sc2007.cnf.xz</t>
  </si>
  <si>
    <t>SAT2019/sv-comp19_prop-reachsafety.newton_2_3_true-unreach-call_true-termination.i-witness.cnf.xz</t>
  </si>
  <si>
    <t>SAT2019/sv-comp19_prop-reachsafety.newton_2_2_true-unreach-call_true-termination.i-witness.cnf.xz</t>
  </si>
  <si>
    <t>SAT2019/size_4_4_4_i4096_r8.cnf.xz</t>
  </si>
  <si>
    <t>SAT2019/size_5_5_5_i223_r12.cnf.xz</t>
  </si>
  <si>
    <t>SAT2019/mrpp_8x8#20_24-sc2014.cnf.xz</t>
  </si>
  <si>
    <t>SAT2019/toughsat_25bits_3.cnf.xz</t>
  </si>
  <si>
    <t>SAT2019/sv-comp19_prop-reachsafety.fib_bench_longest_false-unreach-call.i-witness.cnf.xz</t>
  </si>
  <si>
    <t>SAT2019/eqsparcl10bpwtrc10.cnf.xz</t>
  </si>
  <si>
    <t>SAT2019/atco_enc2_opt2_05_9-sc2014.cnf.xz</t>
  </si>
  <si>
    <t>SAT2019/Mickey_out250_known_last147_0.cnf.xz</t>
  </si>
  <si>
    <t>SAT2019/SGI_30_60_24_40_2-dir.shuffled-as.sat03-118-sc2002.cnf.xz</t>
  </si>
  <si>
    <t>SAT2019/size_4_4_4_i4473_r8.cnf.xz</t>
  </si>
  <si>
    <t>SAT2019/UCG-20-10p1-sc2009.cnf.xz</t>
  </si>
  <si>
    <t>SAT2019/ezfact64_6.shuffled-as.sat03-1522-sc2002.cnf.xz</t>
  </si>
  <si>
    <t>SAT2019/Trivium_no_init_out350_known_last143_1.cnf.xz</t>
  </si>
  <si>
    <t>SAT2019/toughsat_25bits_2.cnf.xz</t>
  </si>
  <si>
    <t>SAT2019/size_4_4_4_i4828_r8.cnf.xz</t>
  </si>
  <si>
    <t>SAT2019/sha1r17m75a.cnf.xz</t>
  </si>
  <si>
    <t>SAT2019/size_4_4_4_i3499_r8.cnf.xz</t>
  </si>
  <si>
    <t>SAT2019/size_4_4_4_i2704_r8.cnf.xz</t>
  </si>
  <si>
    <t>SAT2019/toughsat_24bits_1.cnf.xz</t>
  </si>
  <si>
    <t>SAT2019/toughsat_26bits_3.cnf.xz</t>
  </si>
  <si>
    <t>SAT2019/toughsat_26bits_2.cnf.xz</t>
  </si>
  <si>
    <t>SAT2019/sv-comp19_prop-reachsafety.newton_3_7_false-unreach-call_true-termination.i-witness.cnf.xz</t>
  </si>
  <si>
    <t>SAT2019/eqbpwtrc10spctbk10.cnf.xz</t>
  </si>
  <si>
    <t>SAT2019/Grain_no_init_ver1_out200_known_last105_0_u.cnf.xz</t>
  </si>
  <si>
    <t>SAT2019/UTI-20-10p0-sc2009.cnf.xz</t>
  </si>
  <si>
    <t>SAT2019/sha1r17m63a_p.cnf.xz</t>
  </si>
  <si>
    <t>SAT2019/ablmulub2x32o-sc2016.cnf.xz</t>
  </si>
  <si>
    <t>SAT2019/size_4_4_4_i0566_r8.cnf.xz</t>
  </si>
  <si>
    <t>SAT2019/atco_enc1_opt2_10_16-sc2014.cnf.xz</t>
  </si>
  <si>
    <t>SAT2019/6s126-opt-sc2014.cnf.xz</t>
  </si>
  <si>
    <t>SAT2019/gto_p60c238-sc2018.cnf.xz</t>
  </si>
  <si>
    <t>SAT2019/UTI-20-5p0-sc2009.cnf.xz</t>
  </si>
  <si>
    <t>SAT2019/eqbpwtcl10spwtcl10.cnf.xz</t>
  </si>
  <si>
    <t>SAT2019/eqbpdtlf12bparrc12.cnf.xz</t>
  </si>
  <si>
    <t>SAT2019/sha1r17m67a.cnf.xz</t>
  </si>
  <si>
    <t>SAT2019/course0.2_2018_3-sc2018.cnf.xz</t>
  </si>
  <si>
    <t>SAT2019/sha1r17m67a_p.cnf.xz</t>
  </si>
  <si>
    <t>SAT2019/toughsat_25bits_0.cnf.xz</t>
  </si>
  <si>
    <t>SAT2019/b04_s_unknown-sc2013.cnf.xz</t>
  </si>
  <si>
    <t>SAT2019/sv-comp19_prop-reachsafety.triangular-longer_false-unreach-call.i-witness.cnf.xz</t>
  </si>
  <si>
    <t>SAT2019/sha1r17m72a_p.cnf.xz</t>
  </si>
  <si>
    <t>SAT2019/LABS_n087_goal008-sc2013.cnf.xz</t>
  </si>
  <si>
    <t>SAT2019/aes_24_4_keyfind_2-sc2013.cnf.xz</t>
  </si>
  <si>
    <t>SAT2019/partial-5-17-s-sc2007.cnf.xz</t>
  </si>
  <si>
    <t>SAT2019/f10nidw-sc2012.cnf.xz</t>
  </si>
  <si>
    <t>SAT2019/ASG_96_len112_known_last12_2.cnf.xz</t>
  </si>
  <si>
    <t>SAT2019/hcp_CP16_16.cnf.xz</t>
  </si>
  <si>
    <t>SAT2019/hcp_CP14_14.cnf.xz</t>
  </si>
  <si>
    <t>SAT2019/aes_equiv_encry_3_rounds.debugged-sc2012.cnf.xz</t>
  </si>
  <si>
    <t>SAT2019/toughsat_26bits_0.cnf.xz</t>
  </si>
  <si>
    <t>SAT2019/aaai10-planning-ipc5-TPP-21-step11-sc2011.cnf.xz</t>
  </si>
  <si>
    <t>SAT2019/b1904P3-8x8c11h7SAT.cnf.xz</t>
  </si>
  <si>
    <t>SAT2019/Schur_160_5_d38-sc2016.cnf.xz</t>
  </si>
  <si>
    <t>SAT2019/Mickey_out250_known_last146_0.cnf.xz</t>
  </si>
  <si>
    <t>SAT2019/hwmcc15deep-6s516r-k18-sc2017.cnf.xz</t>
  </si>
  <si>
    <t>SAT2019/hcp_CP18_18.cnf.xz</t>
  </si>
  <si>
    <t>SAT2019/e_rphp035_05-sc2018.cnf.xz</t>
  </si>
  <si>
    <t>SAT2019/b1904P3-8x8c11h7UNSAT.cnf.xz</t>
  </si>
  <si>
    <t>SAT2019/manthey_DimacsSorter_37_3-sr2015.cnf.xz</t>
  </si>
  <si>
    <t>SAT2019/Mickey_out250_known_last147_0_u.cnf.xz</t>
  </si>
  <si>
    <t>SAT2019/squ_any_s09x07_c27_abio_UNS-sc2017.cnf.xz</t>
  </si>
  <si>
    <t>SAT2019/QuasiGroup-4-12_c18.cnf.xz</t>
  </si>
  <si>
    <t>SAT2019/6s20-sc2013.cnf.xz</t>
  </si>
  <si>
    <t>SAT2019/ASG_96_len112_known_last13_2_u.cnf.xz</t>
  </si>
  <si>
    <t>SAT2019/sv-comp19_prop-reachsafety.newton_3_6_false-unreach-call_true-termination.i-witness.cnf.xz</t>
  </si>
  <si>
    <t>SAT2019/Trivium_no_init_out350_known_last143_1_u.cnf.xz</t>
  </si>
  <si>
    <t>SAT2019/Grain_no_init_ver1_out200_known_last105_0.cnf.xz</t>
  </si>
  <si>
    <t>SAT2019/ASG_96_len112_known_last12_2_u.cnf.xz</t>
  </si>
  <si>
    <t>SAT2019/ecarev-110-1031-23-40-8-sc2018.cnf.xz</t>
  </si>
  <si>
    <t>SAT2019/vmpc_30-sc2007.cnf.xz</t>
  </si>
  <si>
    <t>SAT2019/mod2c-3cage-unsat-10-3.sat05-2568.reshuffled-07-sc2007.cnf.xz</t>
  </si>
  <si>
    <t>SAT2019/hwmcc10-timeframe-expansion-k45-pdtpmspalu-tseitin-sc2011.cnf.xz</t>
  </si>
  <si>
    <t>SAT2019/sha1r17m145ABCD.cnf.xz</t>
  </si>
  <si>
    <t>SAT2019/9pipe_k-sc2012.cnf.xz</t>
  </si>
  <si>
    <t>SAT2019/hwb-n26-03-S540351185.sat05-490.reshuffled-07-sc2007.cnf.xz</t>
  </si>
  <si>
    <t>SAT2019/ACG-20-10p1-sc2009.cnf.xz</t>
  </si>
  <si>
    <t>SAT2019/ps_5000_21250_3_0_0.8_0_1.55_2-sc2017.cnf.xz</t>
  </si>
  <si>
    <t>SAT2019/sokoban-p16.sas.ex.15-sc2016.cnf.xz</t>
  </si>
  <si>
    <t>SAT2019/b_unsat-sc2013.cnf.xz</t>
  </si>
  <si>
    <t>SAT2019/004-80-8-sc2014.cnf.xz</t>
  </si>
  <si>
    <t>SAT2019/gss-20-s100-sc2009.cnf.xz</t>
  </si>
  <si>
    <t>SAT2019/ASG_72_keystream76_1.cnf.xz</t>
  </si>
  <si>
    <t>SAT2019/partial-10-11-s-sc2007.cnf.xz</t>
  </si>
  <si>
    <t>SAT2019/cms-scheel-md5-families-r24-c8-p0-3-5-6-14-16-18-19-sc2018.cnf.xz</t>
  </si>
  <si>
    <t>SAT2019/blocks-blocks-37-1.130-NOTKNOWN-sc2011.cnf.xz</t>
  </si>
  <si>
    <t>SAT2019/minxorminand128-sc2009.cnf.xz</t>
  </si>
  <si>
    <t>SAT2019/008-80-8-sc2014.cnf.xz</t>
  </si>
  <si>
    <t>SAT2019/apn-sbox6-cut4-helpbox31-sc2018.cnf.xz</t>
  </si>
  <si>
    <t>SAT2019/MASG0_72_keystream76_0.cnf.xz</t>
  </si>
  <si>
    <t>SAT2019/manthey_single-ordered-initialized-w50-b7-sr2015.cnf.xz</t>
  </si>
  <si>
    <t>SAT2019/sv-comp19_prop-reachsafety.sigma_false-unreach-call.i-witness.cnf.xz</t>
  </si>
  <si>
    <t>SAT2019/ASG_96_len112_known_last13_2.cnf.xz</t>
  </si>
  <si>
    <t>SAT2019/cruxmiter29seed4.cnf.xz</t>
  </si>
  <si>
    <t>SAT2019/size_5_5_5_i116_r12.cnf.xz</t>
  </si>
  <si>
    <t>SAT2019/T103.2.1-sc2017.cnf.xz</t>
  </si>
  <si>
    <t>SAT2019/Mickey_out250_known_last146_0_u.cnf.xz</t>
  </si>
  <si>
    <t>SAT2019/SAT_dat.k85-sc2013.cnf.xz</t>
  </si>
  <si>
    <t>SAT2019/snw_13_8_pre-sc2016.cnf.xz</t>
  </si>
  <si>
    <t>SAT2019/size_5_5_5_i235_r12.cnf.xz</t>
  </si>
  <si>
    <t>SAT2019/hwb-n26-01-S1957858365.shuffled-as.sat03-1622-sc2002.cnf.xz</t>
  </si>
  <si>
    <t>SAT2019/size_5_5_5_i171_r12.cnf.xz</t>
  </si>
  <si>
    <t>SAT2019/Trivium_no_init_out350_known_last142_1.cnf.xz</t>
  </si>
  <si>
    <t>SAT2019/size_5_5_5_i272_r12.cnf.xz</t>
  </si>
  <si>
    <t>SAT2019/sha1r17m147ABCD.cnf.xz</t>
  </si>
  <si>
    <t>SAT2019/sha1r17m146ABCD_p.cnf.xz</t>
  </si>
  <si>
    <t>SAT2019/blockpuzzle_5x10_s3_free4-sc2017.cnf.xz</t>
  </si>
  <si>
    <t>SAT2019/sv-comp19_prop-reachsafety.queue_longer_false-unreach-call.i-witness.cnf.xz</t>
  </si>
  <si>
    <t>SAT2019/toughsat_28bits_0.cnf.xz</t>
  </si>
  <si>
    <t>SAT2019/bob12s06-sc2013.cnf.xz</t>
  </si>
  <si>
    <t>SAT2019/ctl_4291_567_2_unsat-sc2013.cnf.xz</t>
  </si>
  <si>
    <t>SAT2019/atco_enc3_opt2_10_12-sc2014.cnf.xz</t>
  </si>
  <si>
    <t>SAT2019/ctl_4291_567_2_unsat_pre-sc2013.cnf.xz</t>
  </si>
  <si>
    <t>SAT2019/size_5_5_5_i260_r12.cnf.xz</t>
  </si>
  <si>
    <t>SAT2019/MUS-v310-4-sc2013.cnf.xz</t>
  </si>
  <si>
    <t>SAT2019/sv-comp19_prop-reachsafety.barrier_3t_true-unreach-call.i-witness.cnf.xz</t>
  </si>
  <si>
    <t>SAT2019/blocks-blocks-36-0.120-NOTKNOWN-sc2011.cnf.xz</t>
  </si>
  <si>
    <t>SAT2019/atco_enc1_opt2_20_12-sc2014.cnf.xz</t>
  </si>
  <si>
    <t>SAT2019/Grain_no_init_ver1_out200_known_last104_0_u.cnf.xz</t>
  </si>
  <si>
    <t>SAT2019/size_5_5_5_i044_r12.cnf.xz</t>
  </si>
  <si>
    <t>SAT2019/sha1r17m146ABCD.cnf.xz</t>
  </si>
  <si>
    <t>SAT2019/size_5_5_5_i218_r12.cnf.xz</t>
  </si>
  <si>
    <t>SAT2019/sha1r17m148ABCD_p.cnf.xz</t>
  </si>
  <si>
    <t>SAT2019/6s139-sc2013.cnf.xz</t>
  </si>
  <si>
    <t>SAT2019/ex175_17-sc2018.cnf.xz</t>
  </si>
  <si>
    <t>SAT2019/size_5_5_5_i251_r12.cnf.xz</t>
  </si>
  <si>
    <t>SAT2019/sha1r17m149ABCD_p.cnf.xz</t>
  </si>
  <si>
    <t>SAT2019/sha1r17m149ABCD.cnf.xz</t>
  </si>
  <si>
    <t>SAT2019/size_5_5_5_i063_r12.cnf.xz</t>
  </si>
  <si>
    <t>SAT2019/9dlx_vliw_at_b_iq8-sc2007.cnf.xz</t>
  </si>
  <si>
    <t>SAT2019/SGI_30_60_28_40_2-dir.shuffled-as.sat03-124-sc2002.cnf.xz</t>
  </si>
  <si>
    <t>SAT2019/sha1r17m147ABCD_p.cnf.xz</t>
  </si>
  <si>
    <t>SAT2019/Haystacks-ext-12_c18.cnf.xz</t>
  </si>
  <si>
    <t>SAT2019/sgen1-sat-180-100-sc2009.cnf.xz</t>
  </si>
  <si>
    <t>SAT2019/6-4-6-sc2018.cnf.xz</t>
  </si>
  <si>
    <t>SAT2019/ae_rphp095_04-sc2018.cnf.xz</t>
  </si>
  <si>
    <t>SAT2019/sha1r17m145ABCD_p.cnf.xz</t>
  </si>
  <si>
    <t>SAT2019/toughsat_27bits_0.cnf.xz</t>
  </si>
  <si>
    <t>SAT2019/LABS_n071_goal001-sc2013.cnf.xz</t>
  </si>
  <si>
    <t>SAT2019/hcp_CP20_20.cnf.xz</t>
  </si>
  <si>
    <t>SAT2019/vmpc_31-sc2007.cnf.xz</t>
  </si>
  <si>
    <t>SAT2019/cruxmiter29seed9.cnf.xz</t>
  </si>
  <si>
    <t>SAT2019/stable-400-0.1-4-9876543214004-sc2014.cnf.xz</t>
  </si>
  <si>
    <t>SAT2019/Nb51T6-sc2018.cnf.xz</t>
  </si>
  <si>
    <t>SAT2019/b1904P2-8x8c9h7UNSAT.cnf.xz</t>
  </si>
  <si>
    <t>SAT2019/ex175_18-sc2018.cnf.xz</t>
  </si>
  <si>
    <t>SAT2019/LABS_n089_goal008-sc2013.cnf.xz</t>
  </si>
  <si>
    <t>SAT2019/Trivium_no_init_out350_known_last142_1_u.cnf.xz</t>
  </si>
  <si>
    <t>SAT2019/connm-ue-csp-sat-n800-d0.02-s111845174.used-as.sat04-958-sc2011.cnf.xz</t>
  </si>
  <si>
    <t>SAT2019/rubikcube701-sc2017.cnf.xz</t>
  </si>
  <si>
    <t>SAT2019/snw_16_8_pre-sc2016.cnf.xz</t>
  </si>
  <si>
    <t>SAT2019/stone-width3chain-nmarkers-20_shuffled-sc2016.cnf.xz</t>
  </si>
  <si>
    <t>SAT2019/001-80-12-sc2014.cnf.xz</t>
  </si>
  <si>
    <t>SAT2019/b1904P1-8x8c6h7SAT.cnf.xz</t>
  </si>
  <si>
    <t>SAT2019/hwmcc15deep-oski15a10b10s-k22-sc2017.cnf.xz</t>
  </si>
  <si>
    <t>SAT2019/Subisomorphism-g10-g23_c18.cnf.xz</t>
  </si>
  <si>
    <t>SAT2019/knight_14.cnf.xz</t>
  </si>
  <si>
    <t>SAT2019/b04_s_2_unknown_pre-sc2013.cnf.xz</t>
  </si>
  <si>
    <t>SAT2019/hcp_CP22_22.cnf.xz</t>
  </si>
  <si>
    <t>SAT2019/002-sc2013.cnf.xz</t>
  </si>
  <si>
    <t>UNKNOWN</t>
  </si>
  <si>
    <t>SAT2019/003-sc2013.cnf.xz</t>
  </si>
  <si>
    <t>SAT2019/004-22-160-sc2014.cnf.xz</t>
  </si>
  <si>
    <t>SAT2019/004-sc2013.cnf.xz</t>
  </si>
  <si>
    <t>SAT2019/006-23-96-sc2014.cnf.xz</t>
  </si>
  <si>
    <t>SAT2019/007-sc2013.cnf.xz</t>
  </si>
  <si>
    <t>SAT2019/11pipe_11_ooo-sc2011.cnf.xz</t>
  </si>
  <si>
    <t>SAT2019/24.4-sc2017.cnf.xz</t>
  </si>
  <si>
    <t>SAT2019/289-unsat-21x14-sc2011.cnf.xz</t>
  </si>
  <si>
    <t>SAT2019/58bits_13.dimacs-sr2015.cnf.xz</t>
  </si>
  <si>
    <t>SAT2019/62bits_14.dimacs-sr2015.cnf.xz</t>
  </si>
  <si>
    <t>SAT2019/aes_24_4_keyfind_5-sc2014.cnf.xz</t>
  </si>
  <si>
    <t>SAT2019/ak128astepbg2msaig-sc2016.cnf.xz</t>
  </si>
  <si>
    <t>SAT2019/ak128modasbg2asisc-sc2016.cnf.xz</t>
  </si>
  <si>
    <t>SAT2019/AProVE07-26-sc2007.cnf.xz</t>
  </si>
  <si>
    <t>SAT2019/b1904P1-8x8c6h5SAT.cnf.xz</t>
  </si>
  <si>
    <t>SAT2019/b1904P2-8x8c9h5SAT.cnf.xz</t>
  </si>
  <si>
    <t>SAT2019/b1904P3-8x8c11h0SAT.cnf.xz</t>
  </si>
  <si>
    <t>SAT2019/countbitsrotate032-sc2009.cnf.xz</t>
  </si>
  <si>
    <t>SAT2019/countbitswegner128-sc2011.cnf.xz</t>
  </si>
  <si>
    <t>SAT2019/cruxmiter32seed4.cnf.xz</t>
  </si>
  <si>
    <t>SAT2019/ctl_4291_567_5_unsat_pre-sc2014.cnf.xz</t>
  </si>
  <si>
    <t>SAT2019/custmulsb2x32o-sc2016.cnf.xz</t>
  </si>
  <si>
    <t>SAT2019/custmulun16x16o-sc2016.cnf.xz</t>
  </si>
  <si>
    <t>SAT2019/edges-024-4-5613555-1-00-sc2014.cnf.xz</t>
  </si>
  <si>
    <t>SAT2019/EDP3-70000-sc2014.cnf.xz</t>
  </si>
  <si>
    <t>SAT2019/eq2csparrc162cbpwtcl16.cnf.xz</t>
  </si>
  <si>
    <t>SAT2019/eqbparrc12spctbk12.cnf.xz</t>
  </si>
  <si>
    <t>SAT2019/eqbparrc14spwtcl14.cnf.xz</t>
  </si>
  <si>
    <t>SAT2019/eqbparrc18spwtrc18.cnf.xz</t>
  </si>
  <si>
    <t>SAT2019/eqbpdtlf14spctbk14.cnf.xz</t>
  </si>
  <si>
    <t>SAT2019/eqbpdtlf14spdtlf14.cnf.xz</t>
  </si>
  <si>
    <t>SAT2019/eqbpdtlf16spdtlf16.cnf.xz</t>
  </si>
  <si>
    <t>SAT2019/eqbpdtlf18sparcl18.cnf.xz</t>
  </si>
  <si>
    <t>SAT2019/eqsparcl12bpwtrc12.cnf.xz</t>
  </si>
  <si>
    <t>SAT2019/eqsparrc12bpdtlf12.cnf.xz</t>
  </si>
  <si>
    <t>SAT2019/eqsparrc14spctbk14.cnf.xz</t>
  </si>
  <si>
    <t>SAT2019/eqsparrc16spwtcl16.cnf.xz</t>
  </si>
  <si>
    <t>SAT2019/eqspctbk12bpwtrc12.cnf.xz</t>
  </si>
  <si>
    <t>SAT2019/eqspctbk14sparcl14.cnf.xz</t>
  </si>
  <si>
    <t>SAT2019/eqspctbk14spwtcl14.cnf.xz</t>
  </si>
  <si>
    <t>SAT2019/eqspdtlf14bpwtrc14.cnf.xz</t>
  </si>
  <si>
    <t>SAT2019/eqspwtcl14bpwtcl14.cnf.xz</t>
  </si>
  <si>
    <t>SAT2019/eqspwtrc16bparrc16.cnf.xz</t>
  </si>
  <si>
    <t>SAT2019/ex051_9-sc2018.cnf.xz</t>
  </si>
  <si>
    <t>SAT2019/ex145_11-sc2018.cnf.xz</t>
  </si>
  <si>
    <t>SAT2019/frb59-26-1.used-as.sat04-891-sc2011.cnf.xz</t>
  </si>
  <si>
    <t>SAT2019/gss-33-s100-sc2009.cnf.xz</t>
  </si>
  <si>
    <t>SAT2019/gus-md5-14-sc2009.cnf.xz</t>
  </si>
  <si>
    <t>SAT2019/Haystacks-ext-13_c18.cnf.xz</t>
  </si>
  <si>
    <t>SAT2019/hcp_bij16_16.cnf.xz</t>
  </si>
  <si>
    <t>SAT2019/hcp_CP24_24.cnf.xz</t>
  </si>
  <si>
    <t>SAT2019/hcp_CP26_26.cnf.xz</t>
  </si>
  <si>
    <t>SAT2019/hcp_d14_14.cnf.xz</t>
  </si>
  <si>
    <t>SAT2019/hcp_d16_16.cnf.xz</t>
  </si>
  <si>
    <t>SAT2019/hcp_d18_18.cnf.xz</t>
  </si>
  <si>
    <t>SAT2019/hcp_d20_20.cnf.xz</t>
  </si>
  <si>
    <t>SAT2019/hcp_d22_22.cnf.xz</t>
  </si>
  <si>
    <t>SAT2019/hcp_d24_24.cnf.xz</t>
  </si>
  <si>
    <t>SAT2019/IBM_FV_20002_31_1_rule_1_SAT_dat.k95-sc2007.cnf.xz</t>
  </si>
  <si>
    <t>SAT2019/IBM_FV_2004_rule_batch_2_31_2_SAT_dat.k45.debugged-sc2012.cnf.xz</t>
  </si>
  <si>
    <t>SAT2019/knight_16.cnf.xz</t>
  </si>
  <si>
    <t>SAT2019/knight_18.cnf.xz</t>
  </si>
  <si>
    <t>SAT2019/knight_20.cnf.xz</t>
  </si>
  <si>
    <t>SAT2019/k_unsat-sc2013.cnf.xz</t>
  </si>
  <si>
    <t>SAT2019/LABS_n066_goal005-sc2013.cnf.xz</t>
  </si>
  <si>
    <t>SAT2019/le450_15b.col.15-sc2018.cnf.xz</t>
  </si>
  <si>
    <t>SAT2019/li-exam-63.shuffled-as.sat03-368-sc2002.cnf.xz</t>
  </si>
  <si>
    <t>SAT2019/li-test4-99.shuffled-as.sat03-377-sc2002.cnf.xz</t>
  </si>
  <si>
    <t>SAT2019/MD5-29-4-sc2014.cnf.xz</t>
  </si>
  <si>
    <t>SAT2019/MD5-29-5-sc2014.cnf.xz</t>
  </si>
  <si>
    <t>SAT2019/MM-22.cnf.xz</t>
  </si>
  <si>
    <t>SAT2019/MM-23-2-2-2-2-3.cnf.xz</t>
  </si>
  <si>
    <t>SAT2019/MM-23-2-2-2-2-A.cnf.xz</t>
  </si>
  <si>
    <t>SAT2019/MM-23-2-2-2-2-B.cnf.xz</t>
  </si>
  <si>
    <t>SAT2019/MM-23-2-2-2-2-C.cnf.xz</t>
  </si>
  <si>
    <t>SAT2019/MM-23-2-2-2-2-D.cnf.xz</t>
  </si>
  <si>
    <t>SAT2019/MM-23-2-2-2-2-M.cnf.xz</t>
  </si>
  <si>
    <t>SAT2019/MM-23-2-2-2-3-4.cnf.xz</t>
  </si>
  <si>
    <t>SAT2019/MM-23-2-2-2-4-A.cnf.xz</t>
  </si>
  <si>
    <t>SAT2019/MM-23-2-2-2-4-B.cnf.xz</t>
  </si>
  <si>
    <t>SAT2019/MM-23-2-2-3-A.cnf.xz</t>
  </si>
  <si>
    <t>SAT2019/MM-23-2-2-3-B.cnf.xz</t>
  </si>
  <si>
    <t>SAT2019/MM-23-2-4-A.cnf.xz</t>
  </si>
  <si>
    <t>SAT2019/MM-23-2-4-B.cnf.xz</t>
  </si>
  <si>
    <t>SAT2019/MM-23-3-3-A.cnf.xz</t>
  </si>
  <si>
    <t>SAT2019/MM-23-3-3-B.cnf.xz</t>
  </si>
  <si>
    <t>SAT2019/MM-23-3-3-M.cnf.xz</t>
  </si>
  <si>
    <t>SAT2019/MM-23-3-3-N.cnf.xz</t>
  </si>
  <si>
    <t>SAT2019/MM-23-4-4-4-4-1.cnf.xz</t>
  </si>
  <si>
    <t>SAT2019/MM-23-5-A.cnf.xz</t>
  </si>
  <si>
    <t>SAT2019/MM-23-5-B.cnf.xz</t>
  </si>
  <si>
    <t>SAT2019/MM-23-no-type3.cnf.xz</t>
  </si>
  <si>
    <t>SAT2019/mulhs016-sc2009.cnf.xz</t>
  </si>
  <si>
    <t>SAT2019/ndhf_xits_16_UNKNOWN-sc2009.cnf.xz</t>
  </si>
  <si>
    <t>SAT2019/newton.2.3.i.smt2-cvc4-sc2016.cnf.xz</t>
  </si>
  <si>
    <t>SAT2019/par32-1-c.shuffled-as.sat03-1531-sc2002.cnf.xz</t>
  </si>
  <si>
    <t>SAT2019/partial-10-11-u-sc2007.cnf.xz</t>
  </si>
  <si>
    <t>SAT2019/partial-5-11-u-sc2007.cnf.xz</t>
  </si>
  <si>
    <t>SAT2019/partial-5-19-u-sc2007.cnf.xz</t>
  </si>
  <si>
    <t>SAT2019/Pb-chnl15-16_c18.cnf.xz</t>
  </si>
  <si>
    <t>SAT2019/Pb-chnl20-21_c18.cnf.xz</t>
  </si>
  <si>
    <t>SAT2019/ps_5000_21250_3_0_0.7_0_1.45_4-sc2017.cnf.xz</t>
  </si>
  <si>
    <t>SAT2019/QuasiGroup-4-10_c18.cnf.xz</t>
  </si>
  <si>
    <t>SAT2019/rbcl_xits_11_UNKNOWN-sc2009.cnf.xz</t>
  </si>
  <si>
    <t>SAT2019/rbcl_xits_13_UNKNOWN-sc2009.cnf.xz</t>
  </si>
  <si>
    <t>SAT2019/rbsat-v2100c215164g4-sc2011.cnf.xz</t>
  </si>
  <si>
    <t>SAT2019/rbsat-v2400c266431g5-sc2009.cnf.xz</t>
  </si>
  <si>
    <t>SAT2019/rphp5_100_shuffled-sc2016.cnf.xz</t>
  </si>
  <si>
    <t>SAT2019/rpoc_xits_11_UNKNOWN-sc2009.cnf.xz</t>
  </si>
  <si>
    <t>SAT2019/rpoc_xits_12_UNKNOWN-sc2009.cnf.xz</t>
  </si>
  <si>
    <t>SAT2019/rubikcube912-sc2017.cnf.xz</t>
  </si>
  <si>
    <t>SAT2019/safe-30-h29-unsat-sc2007.cnf.xz</t>
  </si>
  <si>
    <t>SAT2019/Schur_161_5_d22-sc2016.cnf.xz</t>
  </si>
  <si>
    <t>SAT2019/sgen1-unsat-109-100-sc2009.cnf.xz</t>
  </si>
  <si>
    <t>SAT2019/sha2.shuffled-as.sat03-442-sc2002.cnf.xz</t>
  </si>
  <si>
    <t>SAT2019/sin.c.75.smt2-cvc4-sc2016.cnf.xz</t>
  </si>
  <si>
    <t>SAT2019/size_5_5_5_i003_r12.cnf.xz</t>
  </si>
  <si>
    <t>SAT2019/size_5_5_5_i198_r12.cnf.xz</t>
  </si>
  <si>
    <t>SAT2019/slp-synthesis-aes-bottom18-sc2011.cnf.xz</t>
  </si>
  <si>
    <t>SAT2019/slp-synthesis-aes-bottom22-sc2011.cnf.xz</t>
  </si>
  <si>
    <t>SAT2019/slp-synthesis-aes-bottom26-sc2011.cnf.xz</t>
  </si>
  <si>
    <t>SAT2019/slp-synthesis-aes-top21-sc2011.cnf.xz</t>
  </si>
  <si>
    <t>SAT2019/smtlib-qfbv-aigs-countbits128-tseitin-sc2011.cnf.xz</t>
  </si>
  <si>
    <t>SAT2019/snw_16_8_nopre-sc2016.cnf.xz</t>
  </si>
  <si>
    <t>SAT2019/SocialGolfers-6-6-6-cp_c18.cnf.xz</t>
  </si>
  <si>
    <t>SAT2019/SocialGolfers-6-6-7-cp_c18.cnf.xz</t>
  </si>
  <si>
    <t>SAT2019/sokoban-p16.sas.ex.19-sc2016.cnf.xz</t>
  </si>
  <si>
    <t>SAT2019/sokoban-p16.sas.ex.21-sc2016.cnf.xz</t>
  </si>
  <si>
    <t>SAT2019/sokoban-p16.sas.ex.23-sc2016.cnf.xz</t>
  </si>
  <si>
    <t>SAT2019/sokoban-p20.sas.cr.35-sc2016.cnf.xz</t>
  </si>
  <si>
    <t>SAT2019/sokoban-p20.sas.ex.15-sc2016.cnf.xz</t>
  </si>
  <si>
    <t>SAT2019/sokoban-p20.sas.ex.17-sc2016.cnf.xz</t>
  </si>
  <si>
    <t>SAT2019/sokoban-p20.sas.ex.23-sc2016.cnf.xz</t>
  </si>
  <si>
    <t>SAT2019/srhd-sgi-m62-q1504.5-n60-p30-s88600538-sc2011.cnf.xz</t>
  </si>
  <si>
    <t>SAT2019/sted1_0x0-380-sc2018.cnf.xz</t>
  </si>
  <si>
    <t>SAT2019/test_v7_r12_vr10_c1_s18160.smt2-stp212-sc2016.cnf.xz</t>
  </si>
  <si>
    <t>SAT2019/TimetableCNFEncoding_5_UNKNOWN-sc2018.cnf.xz</t>
  </si>
  <si>
    <t>SAT2019/total-10-15-u-sc2007.cnf.xz</t>
  </si>
  <si>
    <t>SAT2019/toughsat_30bits_0.cnf.xz</t>
  </si>
  <si>
    <t>SAT2019/tseitingrid7x160_shuffled-sc2016.cnf.xz</t>
  </si>
  <si>
    <t>SAT2019/unsat-set-a-fclqcolor-20-13-14.sat05-1278.reshuffled-07-sc2007.cnf.xz</t>
  </si>
  <si>
    <t>SAT2019/vmpc_34.shuffled-as.sat05-1958-sc2005.cnf.xz</t>
  </si>
  <si>
    <t>SAT2019/vmpc_36.renamed-as.sat05-1922-sc2005.cnf.xz</t>
  </si>
  <si>
    <t>SAT2019/x2_128.shuffled-as.sat03-1598-sc2002.cnf.xz</t>
  </si>
  <si>
    <t>MEAN</t>
  </si>
  <si>
    <t>SAT</t>
  </si>
  <si>
    <t>UNSAT</t>
  </si>
  <si>
    <t>IND</t>
  </si>
  <si>
    <t>vars</t>
  </si>
  <si>
    <t>clauses</t>
  </si>
  <si>
    <t>conflicts</t>
  </si>
  <si>
    <t>learned</t>
  </si>
  <si>
    <t>decisions</t>
  </si>
  <si>
    <t>propagations</t>
  </si>
  <si>
    <t>restarts</t>
  </si>
  <si>
    <t>restarts unstable</t>
  </si>
  <si>
    <t>restarts stable</t>
  </si>
  <si>
    <t>learned avg, size</t>
  </si>
  <si>
    <t>learnt stack avg</t>
  </si>
  <si>
    <t>learnt stack stable counter</t>
  </si>
  <si>
    <t>learnt stack unstable counter</t>
  </si>
  <si>
    <t>Instancias resolvidas</t>
  </si>
  <si>
    <t>baseline</t>
  </si>
  <si>
    <t>3_640</t>
  </si>
  <si>
    <t>11_301</t>
  </si>
  <si>
    <t>SAT2026/011984fd82d62d609e776fbf5de75440-arles_thres20_p10_r7533.cnf.xz</t>
  </si>
  <si>
    <t>SAT2026/2fcd8533eba981967292f1b6e41f7433-simon-r20-0.sanitized.cnf.xz</t>
  </si>
  <si>
    <t>SAT2026/7cbc3ce2052ba7c5b501f75af58ab3c4-simon-r22-1.sanitized.cnf.xz</t>
  </si>
  <si>
    <t>SAT2026/dd5d530ac8bf0019412d023488b075eb-arles_thres20_p20_r4109.cnf.xz</t>
  </si>
  <si>
    <t>SAT2026/97af3e49faef7cf67794928b6690b67c-Medium-result_b29.af_78.sanitized.cnf.xz</t>
  </si>
  <si>
    <t>SAT2026/9d20bb1bd01838d70177ffd3aa284aeb-ak128modbtbg2msisc.cnf.xz</t>
  </si>
  <si>
    <t>SAT2026/e1292f8d651e022362630d34fef69312-Medium-result_b30.af_80.sanitized.cnf.xz</t>
  </si>
  <si>
    <t>SAT2026/5de866bc7ff4dfde3cd682b5aca75894-n320p5q2_n.af_239.sanitized.cnf.xz</t>
  </si>
  <si>
    <t>SAT2026/af8248aa34c4803bfc0add954cf2e620-sembuster_4200.af_72.sanitized.cnf.xz</t>
  </si>
  <si>
    <t>SAT2026/3b608084b3caae2e9517a2d58cdcd275-Medium-result_b9.af_268.sanitized.cnf.xz</t>
  </si>
  <si>
    <t>SAT2026/6cd46641ebd4c840b8f116d14ca17dfd-sembuster_7500.af_74.sanitized.cnf.xz</t>
  </si>
  <si>
    <t>SAT2026/2bb63853a9b8b9b9327a142210a9f437-Medium-result_b30.af_61.sanitized.cnf.xz</t>
  </si>
  <si>
    <t>SAT2026/365a02a7d781d655bb2a64d2273a2d0c-Medium-result_b10.af_252.sanitized.cnf.xz</t>
  </si>
  <si>
    <t>SAT2026/8db998d5fd64f85a1847115208f73873-Medium-result_b14.af_285.sanitized.cnf.xz</t>
  </si>
  <si>
    <t>SAT2026/6d815089fb4095208754622b4c44a8f7-Carry_Bits_Fast_12.cnf.cnf.xz</t>
  </si>
  <si>
    <t>SAT2026/d737aeb8e2eb9baed7f007056b3874af-scc_7216_12_0.5_0.2_11.af.sanitized.cnf.xz</t>
  </si>
  <si>
    <t>SAT2026/ee44c3f464238366729bf2cb16eb412a-n384p5q2_vh.af_138.sanitized.cnf.xz</t>
  </si>
  <si>
    <t>SAT2026/34360a677fc854189c982294853e6891-Large-result_b23.af_303.sanitized.cnf.xz</t>
  </si>
  <si>
    <t>SAT2026/218f0eccbff400e06c9736bd759c1d3a-scc_9630_26_0.3_0.1_17.af_76.sanitized.cnf.xz</t>
  </si>
  <si>
    <t>SAT2026/0c9da400944b002f90fd385d4fdab385-DivS_568_11.cnf.sanitized.cnf.xz</t>
  </si>
  <si>
    <t>SAT2026/74931e82fd208ed949fa44bccd80df6b-DivS_862_11.cnf.sanitized.cnf.xz</t>
  </si>
  <si>
    <t>SAT2026/262a226a47330987f038128579967405-ais8.cnf.mis-97.debugged.cnf.xz</t>
  </si>
  <si>
    <t>SAT2026/9c5dd2eb0a40a150c686459a118c720a-1.xz.sanitized.cnf.xz</t>
  </si>
  <si>
    <t>SAT2026/09637d3bd641b4d733666a862e8918ea-mrpp_8x8_20_14.cnf.xz</t>
  </si>
  <si>
    <t>SAT2026/bf8c8761003704e761ce36db6665f741-scc_6087_19_0.3_0.1_20.af_130.sanitized.cnf.xz</t>
  </si>
  <si>
    <t>SAT2026/80bb5209e88def5643bf5593320b104f-Large-result_b24.af_2238.sanitized.cnf.xz</t>
  </si>
  <si>
    <t>SAT2026/c3bc9b01e5f804723b74715508941bf2-2.xz.sanitized.cnf.xz</t>
  </si>
  <si>
    <t>SAT2026/57f6bbfc8be5a981322fe9991209aa33-3.xz.sanitized.cnf.xz</t>
  </si>
  <si>
    <t>SAT2026/c557ad9cb79983b9d429c219e3cecbb8-scc_7216_12_0.5_0.2_11.af_463.sanitized.cnf.xz</t>
  </si>
  <si>
    <t>SAT2026/f554b55356a5e0ed39dbf8c1030ebce0-4.xz.sanitized.cnf.xz</t>
  </si>
  <si>
    <t>SAT2026/a789d0722f1aa0d44c5a38b374719c69-13.normalised.cnf.xz</t>
  </si>
  <si>
    <t>SAT2026/bbcfd33f07cbf6fefa950d8254aa34ce-5.xz.sanitized.cnf.xz</t>
  </si>
  <si>
    <t>SAT2026/44196693d2cfdb787ba578eef4272f74-crusti_g2io_350_0.5_255_12.af_290.sanitized.cnf.xz</t>
  </si>
  <si>
    <t>SAT2026/b1c44904cf06682f973b60c8282f45e8-mp1-squ_ali_s10x10_c39_bail_SAT.cnf.xz</t>
  </si>
  <si>
    <t>SAT2026/77bfac6b280653e63013f77d0991484e-case19.normalised.cnf.xz</t>
  </si>
  <si>
    <t>SAT2026/12cd0c3196589ac8105653cbfe613fc6-4pipe.cnf.xz</t>
  </si>
  <si>
    <t>SAT2026/d699355595398f0765c5f51c9d0ad852-crusti_g2io_350_0.5_255_21.af_299.sanitized.cnf.xz</t>
  </si>
  <si>
    <t>SAT2026/f15a3ce898e0c66f309bf07d73744adf-crusti_g2io_350_0.5_255_42.af_264.sanitized.cnf.xz</t>
  </si>
  <si>
    <t>SAT2026/ee8c86d39745aea1c1731d4f34bcaed7-6.xz.sanitized.cnf.xz</t>
  </si>
  <si>
    <t>SAT2026/bb8db7af8ede49391a66d4442d91c10b-7.xz.sanitized.cnf.xz</t>
  </si>
  <si>
    <t>SAT2026/5babccd4bf9b270acf0568bba32313bd-8.xz.sanitized.cnf.xz</t>
  </si>
  <si>
    <t>SAT2026/fca71c20202ef404349136c3a00465eb-em_8_4_5_fbc.cnf.xz</t>
  </si>
  <si>
    <t>SAT2026/4e0de894799790b06e8d6c3efd109ade-9.xz.sanitized.cnf.xz</t>
  </si>
  <si>
    <t>SAT2026/9a4671d8bb658361162976c0f06cc47e-10.xz.sanitized.cnf.xz</t>
  </si>
  <si>
    <t>SAT2026/8117a2ac08e1acf52f660663efe2a5ca-170225812.cnf.xz</t>
  </si>
  <si>
    <t>SAT2026/91860f79f079fede859034c7d76a98a2-41-119494.cnf.xz</t>
  </si>
  <si>
    <t>SAT2026/f2c6d035d0aa58cc06927af6be7a821f-scc_9630_26_0.3_0.1_17.af_516.sanitized.cnf.xz</t>
  </si>
  <si>
    <t>SAT2026/958fd8bd1936e5bad8cbccae492edd81-crusti_g2io_200_0.1_127_14.af_151.sanitized.cnf.xz</t>
  </si>
  <si>
    <t>SAT2026/8d0d8518a438d93428257d9a38863c3c-as-p31-l12-o9-56.sanitized.cnf.xz</t>
  </si>
  <si>
    <t>SAT2026/d0b5d1dc96a5bf33d2c65106c3b179a8-connm-ue-csp-sat-n600-d0.04-s1793042357.used-as.sat04-975.cnf.xz</t>
  </si>
  <si>
    <t>SAT2026/f52a349677a5b5b5315b5954b3181fe3-schooltt-5-7-12-2-4-1.4-2.6-0.2-0.9-seed2.sanitized.cnf.xz</t>
  </si>
  <si>
    <t>SAT2026/920bbe559da4ea37fd636605316a791c-SCPC-500-19.cnf.xz</t>
  </si>
  <si>
    <t>SAT2026/e85fb114c33f450dc2622c78bc6fa019-lru_7.sanitized.cnf.xz</t>
  </si>
  <si>
    <t>SAT2026/a20f076f7fce54172e823c63ea7948f7-vdwb_k5_n260.sanitized.cnf.xz</t>
  </si>
  <si>
    <t>SAT2026/ba14be209c2fc064726025f017cef17a-schooltt-5-7-12-2-4-1.4-2.6-0.8-0.9-seed2.sanitized.cnf.xz</t>
  </si>
  <si>
    <t>SAT2026/ba7732774961fdf7508a998a41bd5366-factorize-1022117.sanitized.cnf.xz</t>
  </si>
  <si>
    <t>SAT2026/7fa502dfce37c37c1cafd50b3fba263f-SDP_104_15_107.sanitized.cnf.xz</t>
  </si>
  <si>
    <t>SAT2026/6e297bdb1c3f957f6333c37804805ecb-spg_200_301.cnf.xz</t>
  </si>
  <si>
    <t>SAT2026/f8443057c188f6c9cfb711ff3d4aa6ff-constraints_17_0.5_2.sanitized.cnf.xz</t>
  </si>
  <si>
    <t>SAT2026/87dbc3302b82c09e19c55059fb943191-ntil-90d-38.sanitized.cnf.xz</t>
  </si>
  <si>
    <t>SAT2026/3ed56242f55e3653dbceeb4a70221787-rbsat-v945c61409gyes9-sc2009.cnf.xz</t>
  </si>
  <si>
    <t>SAT2026/4f09ef861ee74e50dc101765e1ce27fb-BubbleVsPancakeSort_6_7.cnf.xz</t>
  </si>
  <si>
    <t>SAT2026/ac6256657058fe65dc7ddaf773ab83bf-SC21_Timetable_C_527_E_71_Cl_35_S_35.cnf.xz</t>
  </si>
  <si>
    <t>SAT2026/b023ea0eb9adbd9182c01d7e2d443289-mp1-tri_ali_s11_c35_bail_UNS.cnf.xz</t>
  </si>
  <si>
    <t>SAT2026/9ef9243ff051b32795890fccd6c3f6b2-sum_of_3_cubes_50_bits_91.cnf.xz</t>
  </si>
  <si>
    <t>SAT2026/0922feab75c35d04d9b8df69013a6df0-toughsat_22bits_0.cnf.xz</t>
  </si>
  <si>
    <t>SAT2026/2b7e863462991fd008f9898eca63ebf4-SC23_Timetable_C_481_E_50_Cl_32_D_6_T_50.cnf.xz</t>
  </si>
  <si>
    <t>SAT2026/1c0fe2ac410f3942e374ea72ec005d76-SDP_120_17_1675.sanitized.cnf.xz</t>
  </si>
  <si>
    <t>SAT2026/6add7e416c1126607afeb2666af330ac-constraints_16_0.5_1.sanitized.cnf.xz</t>
  </si>
  <si>
    <t>SAT2026/878bcc11e1e243680f7946bcf428f465-linked_list_swap_contents_safety_unwind45.cnf.xz</t>
  </si>
  <si>
    <t>SAT2026/1397d1d4d8d831069a2cdf911321da07-adv_gc_n300_k10_UNSAT_s42.sanitized.cnf.xz</t>
  </si>
  <si>
    <t>SAT2026/5553fec254b32349e0e48c7ee1e2d6c7-post-cbmc-aes-ee-r2.cnf.xz</t>
  </si>
  <si>
    <t>SAT2026/2b8cac8e1f5cad04696004e7fbf5cf2e-ntil-90d-34.sanitized.cnf.xz</t>
  </si>
  <si>
    <t>SAT2026/33c8aca6a52d10e040da959439834d6a-SDP_96_14_3612.sanitized.cnf.xz</t>
  </si>
  <si>
    <t>SAT2026/1236c1406a2749b8022b5196e93de589-ntil-90d-33.sanitized.cnf.xz</t>
  </si>
  <si>
    <t>SAT2026/1fac905143027e3bf0932c09f427aa15-adv_gc_n100_k10_UNSAT_s42.sanitized.cnf.xz</t>
  </si>
  <si>
    <t>SAT2026/543e67dd5abc272c37775b1b742a1d9a-qwh.60.1728.shuffled-as.sat03-1659.cnf.xz</t>
  </si>
  <si>
    <t>SAT2026/0aea4286a11d91ee8fa356d5db046373-gus-md5-08.cnf.xz</t>
  </si>
  <si>
    <t>SAT2026/ae48df6541d190c096b1e5ba22d1b534-korf-17.cnf.xz</t>
  </si>
  <si>
    <t>SAT2026/7a13ffe9546cc7dfabdedebb64700e8a-w19-20.0.cnf.xz</t>
  </si>
  <si>
    <t>SAT2026/8390dca257561c53bf4eb6e158a2285f-mp1-klieber2017s-0490-024-t12.cnf.xz</t>
  </si>
  <si>
    <t>SAT2026/dc7817dfa2817916b266c1cfacd2ee66-constraints_25_4_5_12_12_0_0_0.sanitized.cnf.xz</t>
  </si>
  <si>
    <t>SAT2026/b6de3c794e223fe515682f52e5d81272-ER_500_50_1.af.sanitized.cnf.xz</t>
  </si>
  <si>
    <t>SAT2026/5220b0e01fb49440531004bebbafbc44-coreMQTT_MQTT_ProcessLoop.dimacs.cnf.xz</t>
  </si>
  <si>
    <t>SAT2026/4ae685a11b5cecca76dc3d463481ce92-x9-10032.sat.sanitized.cnf.xz</t>
  </si>
  <si>
    <t>SAT2026/2b35377a7b95f24449a3b607b61fff05-bench_1277.smt2.cnf.xz</t>
  </si>
  <si>
    <t>SAT2026/6f1b15ebd0ac13c05fb052e5b0453f64-as-p93-l27-o6-rot-rfl-5682-i.sanitized.cnf.xz</t>
  </si>
  <si>
    <t>SAT2026/62060247cd0ad566a828c30571c2c774-marijn-philips.cnf.xz</t>
  </si>
  <si>
    <t>SAT2026/1bb9fe12b4fb50e98903ee87a51d6472-goldb-heqc-k2mul.cnf.xz</t>
  </si>
  <si>
    <t>SAT2026/1890f49a43a94b97828528b68c32b78e-homer11.shuffled.cnf.xz</t>
  </si>
  <si>
    <t>SAT2026/ad6bc2d583c43ff9ef00faad7e29a9c2-as-p99-l33-o6-rot-rfl-568-i.sanitized.cnf.xz</t>
  </si>
  <si>
    <t>SAT2026/4989239fbeb6eb40fc0b664d9ba92636-asconhashv12_opt64_H7_M2-K1zfAs8_m0_3_U5.c.cnf.xz</t>
  </si>
  <si>
    <t>SAT2026/3e912cd2a499b8f956246b866e2f9f64-grain-53-80-0s0-seed-125-4-init-35.cnf.xz</t>
  </si>
  <si>
    <t>SAT2026/aa62e8cb5d38ac1b2d9eeeb8394eadeb-as-p87-l30-o6-rot-II-5678-i.sanitized.cnf.xz</t>
  </si>
  <si>
    <t>SAT2026/cc436db9fe0278663ce376e068069815-minandmaxor128.cnf.xz</t>
  </si>
  <si>
    <t>SAT2026/30e8b47741a4104c01eeea1d00bbce9e-aes_equiv_encry_3_rounds.debugged.cnf.xz</t>
  </si>
  <si>
    <t>SAT2026/a9856534b6ca67123d58dd5fd9c9a1b2-SDP_98_14_7360.sanitized.cnf.xz</t>
  </si>
  <si>
    <t>SAT2026/1b9c308123cb2b48d1894fc6d1848f1e-cabp-M-bcsstk06.mtx.rnd-k33.sanitized.cnf.xz</t>
  </si>
  <si>
    <t>SAT2026/fbbfbee9e6cba8bca18fbcfc23dcfcb6-adv_gc_n100_k11_UNSAT_s42.sanitized.cnf.xz</t>
  </si>
  <si>
    <t>SAT2026/59b585a33d30e6b7a476ed52a3f0384d-T92.2.0.cnf.xz</t>
  </si>
  <si>
    <t>SAT2026/08cf53ca00dce11f5bfc02121c9bcd33-GreenTao_2-3-5_528.cnf.xz</t>
  </si>
  <si>
    <t>SAT2026/0e06895600b5cd0b6fadb87e17bf8145-ntil-90d-39.sanitized.cnf.xz</t>
  </si>
  <si>
    <t>SAT2026/e67d733d9938c565d6359002333611ff-WS_500_16_70_10.apx_2_DS-ST.cnf.xz</t>
  </si>
  <si>
    <t>SAT2026/5ce7d137442bd97a321a883c425e4634-56-126575.cnf.xz</t>
  </si>
  <si>
    <t>SAT2026/ab17eed90e4da47767f72f518e3b4a26-vdwb_k6_n250.sanitized.cnf.xz</t>
  </si>
  <si>
    <t>SAT2026/5d02aa18eac7304c705577f1cce07784-as-p41-l15-o10-567.sanitized.cnf.xz</t>
  </si>
  <si>
    <t>SAT2026/6e8dba16e06c793a2daca1fa440eeb4f-newpol32-4.cnf.xz</t>
  </si>
  <si>
    <t>SAT2026/a957fdb07df865bb4fd24a00ceb49fdb-T90.2.0.cnf.xz</t>
  </si>
  <si>
    <t>SAT2026/dc3ac89f98e9c3fc43450e256dce1154-vdw_4_7_n110.sanitized.cnf.xz</t>
  </si>
  <si>
    <t>SAT2026/c8cde50f32ca3f78a4c74a173c63449b-bp5_CSO.normalised.cnf.xz</t>
  </si>
  <si>
    <t>SAT2026/66204949278cdd9d81e102eace6d4669-vdw_4_7_n109.sanitized.cnf.xz</t>
  </si>
  <si>
    <t>SAT2026/e305def35c314eec8266087e89a9ab46-ntil-90d-35.sanitized.cnf.xz</t>
  </si>
  <si>
    <t>SAT2026/7d311f620f4ebc4adf8f4079899750eb-x9-11033.sat.sanitized.cnf.xz</t>
  </si>
  <si>
    <t>SAT2026/ddf6fff9ebbbe9ec2a02f70b3316db6d-QuasiGroup-4-12_c18.cnf.xz</t>
  </si>
  <si>
    <t>SAT2026/e8ccbfaa2762cd0fc22b0ab05bacf529-ntil-90d-36.sanitized.cnf.xz</t>
  </si>
  <si>
    <t>SAT2026/65ee6b49612eccb7d213e4d950f23677-lightsout_sat_22_unbounded_direct_planted150_4_sat.sanitized.cnf.xz</t>
  </si>
  <si>
    <t>SAT2026/bd0b055b890a9ace598a0c4aba40de30-sat-bench-trig-bhaskara.cnf.xz</t>
  </si>
  <si>
    <t>SAT2026/372021735d9e46002b862aa2a038a818-j3045_4_rggt_bm1.cnf.xz</t>
  </si>
  <si>
    <t>SAT2026/5cae5c0629ce1c724746af890410cfc1-jkkk-one-one-11-38-sat.cnf.xz</t>
  </si>
  <si>
    <t>SAT2026/e55a49d8065d65650f24c0f3ecef30b6-af-synthesis_stb_50_120_4_unsat.cnf.xz</t>
  </si>
  <si>
    <t>SAT2026/75429ff7acb5acb597abe01aa745c2a6-mod2-rand3bip-sat-250-3.shuffled-as.sat05-2220.cnf.xz</t>
  </si>
  <si>
    <t>SAT2026/284dec9d0d0404c8b80d8bd8064e4c68-gensys-ukn004.shuffled-as.sat05-3844.cnf.xz</t>
  </si>
  <si>
    <t>SAT2026/1f81f7e009f501014cb23a8c2d41836f-ACG-20-10p1.cnf.xz</t>
  </si>
  <si>
    <t>SAT2026/129162378e8ad29b5485a9c53feee4b7-hantzsche_wendt_unit_93.cnf.xz</t>
  </si>
  <si>
    <t>SAT2026/2563ea83d8508d635cc034d80014cd72-1x1x13_1x3x6_pair_2_1_1_4_2_0.sanitized.cnf.xz</t>
  </si>
  <si>
    <t>SAT2026/c15b09b9a7ceff4d4c8fe705958f92ba-snw_16_9_preOpt_pre.cnf.xz</t>
  </si>
  <si>
    <t>SAT2026/5314fd6ccb53b6f6af49a594ea68a273-oski15a01b15s_opt.cnf.xz</t>
  </si>
  <si>
    <t>SAT2026/2bbc3327d89b59591b89b5d5a486f037-001.cnf.xz</t>
  </si>
  <si>
    <t>SAT2026/b54b26f38d40a687b6277c49cf85de69-baseballcover11with25_and6positions.cnf.xz</t>
  </si>
  <si>
    <t>SAT2026/fbf3b9f8a03a1efedae3da04622fe96e-sqrt-mitern168.cnf.xz</t>
  </si>
  <si>
    <t>SAT2026/824cd6f379c23cc863e501e397092cb9-BubbleVsPancakeSort_7_7.cnf.xz</t>
  </si>
  <si>
    <t>SAT2026/a8dcaf436bda091dad9ca1ff58de7287-asconhashv12_opt64_H10_M2-BPHqhzNzqi_m5_6_U14.c.cnf.xz</t>
  </si>
  <si>
    <t>SAT2026/416e33a8463911546e4cd87d282a7e1e-case10.cnf.xz</t>
  </si>
  <si>
    <t>SAT2026/7b40e39148de4d5f8d9384d6937c287e-stable-400-0.1-12-98765432140012.cnf.xz</t>
  </si>
  <si>
    <t>SAT2026/db099269d468029b70419bf4a49e99a1-stable-400-0.1-2-9876543214002.cnf.xz</t>
  </si>
  <si>
    <t>SAT2026/37c88155822f1934a190dd6f4614f0ce-atco_enc1_opt2_20_12.cnf.xz</t>
  </si>
  <si>
    <t>SAT2026/28dcc4119e1bbb5fbd3fdd8f4140f28d-lightsout_sat_25_unbounded_totalizer_planted150_3_sat.sanitized.cnf.xz</t>
  </si>
  <si>
    <t>SAT2026/b438fa464c20a19fdb7788a3f0016f32-size_5_5_5_i116_r12.cnf.xz</t>
  </si>
  <si>
    <t>SAT2026/c261941bfec8b89d75fee1a66a839169-manthey_single-ordered-initialized-w48-b9.cnf.xz</t>
  </si>
  <si>
    <t>SAT2026/cb2e8b7fada420c5046f587ea754d052-clique_n2_k10.sanitized.cnf.xz</t>
  </si>
  <si>
    <t>SAT2026/01d6fa8efd18ebfecd06af408958477b-lightsout_sat_25_unbounded_direct_planted250_4_sat.sanitized.cnf.xz</t>
  </si>
  <si>
    <t>SAT2026/5ee05ef0bcb42cb12bd698978c05178c-mp1-bsat201-707.cnf.xz</t>
  </si>
  <si>
    <t>SAT2026/3e44926d72e94f5ceccbb69de24033b2-newpol23-4.cnf.xz</t>
  </si>
  <si>
    <t>SAT2026/996bd6326ca560055b6fe916708dfdaa-vdw_3_13_n160.sanitized.cnf.xz</t>
  </si>
  <si>
    <t>SAT2026/8da88a43b4ac226f614dd82d4519d8c6-toughsat_factoring_inf.cnf.xz</t>
  </si>
  <si>
    <t>SAT2026/da34db9ea6b524f13708357f38432bb6-cabp-V-nos6.mtx.rnd-k274.sanitized.cnf.xz</t>
  </si>
  <si>
    <t>SAT2026/c14f0c610d59a9d5e8cec328485b916f-vdw_3_13_n161.sanitized.cnf.xz</t>
  </si>
  <si>
    <t>SAT2026/5faba478cb08194407b5ec957ab08599-schooltt-5-7-11-2-4-1.4-2.6-0.8-0.9-seed2.sanitized.cnf.xz</t>
  </si>
  <si>
    <t>SAT2026/09e0775d2b51c49ec1ec4d214ee7c8c8-ntil-90d-37.sanitized.cnf.xz</t>
  </si>
  <si>
    <t>SAT2026/180e6d8b61fe6bab26126b78591e324e-baseballcover11with22_and2positions.cnf.xz</t>
  </si>
  <si>
    <t>SAT2026/2ae678a4f0b8097615160a440efbe08e-as-p111-l36-o3-rot-II-5680-i.sanitized.cnf.xz</t>
  </si>
  <si>
    <t>SAT2026/9541d12f3e3d9201085c13f25145d2f7-cabp-V-nos6.mtx.rnd-k275.sanitized.cnf.xz</t>
  </si>
  <si>
    <t>SAT2026/62eae28dcf3170b1547fb5db73e6a295-stable-400-0.1-7-9876543214007.cnf.xz</t>
  </si>
  <si>
    <t>SAT2026/166e1e5a9f63fcf94ddae8533fa2a090-mp1-squ_any_s09x07_c27_abix_UNS.cnf.xz</t>
  </si>
  <si>
    <t>SAT2026/44b7d2c8d08574002ac959e6d1ef30ae-1x1x14_1x2x9_pair_4_2_0_2_3_0.sanitized.cnf.xz</t>
  </si>
  <si>
    <t>SAT2026/1eea3d913d346b900252d77fc0cb25c8-par32-4.shuffled.cnf.xz</t>
  </si>
  <si>
    <t>SAT2026/808d66b11c602eb1d5728f3f8e90aaef-1x1x14_1x2x9_pair_2_0_0_2_1_1.sanitized.cnf.xz</t>
  </si>
  <si>
    <t>SAT2026/2c458ef30d7b670f143d6c6e175e3ee9-oddball_70_5_tto_zp.normalised.cnf.xz</t>
  </si>
  <si>
    <t>SAT2026/b76b9699c2deb74dd9b4a99a05179acd-hitag2-8-60-0-0xdcdbc8bf368ee73-37.cnf.xz</t>
  </si>
  <si>
    <t>SAT2026/4de5b7b3c8bf44b2e8c549128bc936a3-as-p141-l39-o0-rot-rfl-680-i.sanitized.cnf.xz</t>
  </si>
  <si>
    <t>SAT2026/81c36c1f55a6ee8e180f53f140ce05a3-01-integer-programming-20-30-40.cnf.xz</t>
  </si>
  <si>
    <t>SAT2026/cc42cc7a8022820cbd0e98595126d07e-g2-T97.2.1.cnf.xz</t>
  </si>
  <si>
    <t>SAT2026/aa0eadb6c4935468fd6954e23a550504-1x1x13_1x3x6_pair_4_2_0_2_0_0.sanitized.cnf.xz</t>
  </si>
  <si>
    <t>SAT2026/b3c587501567db72e6e66c6930cf15ed-StConn_7_128.sanitized.cnf.xz</t>
  </si>
  <si>
    <t>SAT2026/3a9dfcbcb56689f1118fd7a2150c3c0c-ntil-90d-40.sanitized.cnf.xz</t>
  </si>
  <si>
    <t>SAT2026/782b29d2d691fdc94e0ec5b899390e10-vdwb_k6_n300.sanitized.cnf.xz</t>
  </si>
  <si>
    <t>SAT2026/2d261a19d2754d92da3ddff04fda23c8-ntil-90d-44.sanitized.cnf.xz</t>
  </si>
  <si>
    <t>SAT2026/fac2035ba83ac2d0c2d67509d3f82b94-16_16_booth_dadda_origin_and_default_mapped_ultra_bit29.cnf.xz</t>
  </si>
  <si>
    <t>SAT2026/dd062c307e10ebbb0d5641709ff26a7e-SDP_108_15_6925.sanitized.cnf.xz</t>
  </si>
  <si>
    <t>SAT2026/0efcbd10294eb001b16b4d126923372f-lightsout_sat_23_unbounded_direct_random50_2_unsat.sanitized.cnf.xz</t>
  </si>
  <si>
    <t>SAT2026/3732b6ac50b1c3f28d72247de89b00e8-as-p123-l39-o0-rot-II-4680-i.sanitized.cnf.xz</t>
  </si>
  <si>
    <t>SAT2026/776ff89b72b0f6290d69af6f95e13182-as-p43-l16-o9-567.sanitized.cnf.xz</t>
  </si>
  <si>
    <t>SAT2026/8990b3506e948e87b005d103d1ce6eb8-BubbleVsPancakeSort_8_5.cnf.xz</t>
  </si>
  <si>
    <t>SAT2026/53d23b2b464a5c041114eb1f00cc4b81-puzzle32_sat.cnf.xz</t>
  </si>
  <si>
    <t>SAT2026/4430d3502b0b5e6f4ed473437519e609-as-p123-l39-o0-rot-II-4682-i.sanitized.cnf.xz</t>
  </si>
  <si>
    <t>SAT2026/7fe153ced2c966dcdeb42b6714b4d6b7-sudoku-N30-11.cnf.xz</t>
  </si>
  <si>
    <t>SAT2026/a5dc08b83ff806ac2c2c8cc23053fb07-SDP_118_16_5515.sanitized.cnf.xz</t>
  </si>
  <si>
    <t>SAT2026/667341ee8c1dea3db613db317e2b2c33-lightsout_sat_23_unbounded_totalizer_corner_0_unsat.sanitized.cnf.xz</t>
  </si>
  <si>
    <t>SAT2026/9376a4be372c14aa68235831712ff3f9-cabp-X-can__715.mtx.rnd-k102.sanitized.cnf.xz</t>
  </si>
  <si>
    <t>SAT2026/de8c42d50f1dbf43a731f1916dc6bf01-16_16_booth_dadda_mapped_and_and_wallace_origin_bit28.cnf.xz</t>
  </si>
  <si>
    <t>SAT2026/3b0eeddcabf36da8642c5774ac67680c-as-p153-l57-o0-rot-rfl-II-68-i.sanitized.cnf.xz</t>
  </si>
  <si>
    <t>SAT2026/82cad197a0b7919f1f51ec51f7267e6f-ex095_8.cnf.xz</t>
  </si>
  <si>
    <t>SAT2026/d9fe50de72fb34ea94518c32d8f3077c-hitag2-7-60-0-0xe8fa35372ed37e2-80.cnf.xz</t>
  </si>
  <si>
    <t>SAT2026/37fa67bd34cc613f3fc6954cdee943c1-SDP_106_15_2616.sanitized.cnf.xz</t>
  </si>
  <si>
    <t>SAT2026/3598c10125496ad7218852effc5c711f-SGI_30_70_22_70_7-dir.shuffled-as.sat03-154.cnf.xz</t>
  </si>
  <si>
    <t>SAT2026/c62a1855a4db8ae0b4bd625455332a4c-1x1x14_1x2x9_pair_2_2_0_3_2_1.sanitized.cnf.xz</t>
  </si>
  <si>
    <t>SAT2026/31fa00368fc99b15c33c04eb6b257deb-cabp-P-can__445.mtx.rnd-k96.sanitized.cnf.xz</t>
  </si>
  <si>
    <t>SAT2026/29a27e97790bda6c34808f631dd0418e-linvrinv5.shuffled-as.sat05-564.cnf.xz</t>
  </si>
  <si>
    <t>SAT2026/0cab9100cdd8505069301d658d085899-AProVE07-01.cnf.xz</t>
  </si>
  <si>
    <t>SAT2026/f497bda3018958d7ba2d1cd99da3982e-adv_gc_n100_k12_UNSAT_s42.sanitized.cnf.xz</t>
  </si>
  <si>
    <t>SAT2026/02a46668243d6dabab4cf74d3811f6b6-1x1x13_1x3x6_pair_4_2_0_2_5_0.sanitized.cnf.xz</t>
  </si>
  <si>
    <t>SAT2026/0359596347daa117da50950748bc06d1-j3037_9_rggt_bm1.cnf.xz</t>
  </si>
  <si>
    <t>SAT2026/03e49a528251af9a7b7e1ca03c33b162-schooltt-5-5-8-2-4-5-10-0.1-0.2-seed2.sanitized.cnf.xz</t>
  </si>
  <si>
    <t>SAT2026/042cdc726a92bf0a2195b3b426f35bce-reconf20_50_grid10_1_6141.cnf.xz</t>
  </si>
  <si>
    <t>SAT2026/043c91001968a1fbd1ef419540fcb396-miles1500.72.sanitized.cnf.xz</t>
  </si>
  <si>
    <t>SAT2026/04d0ae28e10d4a35ebab62f42f0200e8-168.smt2.cnf.xz</t>
  </si>
  <si>
    <t>SAT2026/0757e47d262b75171c0040987e6d20ce-vdwb_k6_n400.sanitized.cnf.xz</t>
  </si>
  <si>
    <t>SAT2026/07df5e6f674201e2bf31bcaa8866ba75-cabp-V-nos6.mtx.rnd-k331.sanitized.cnf.xz</t>
  </si>
  <si>
    <t>SAT2026/0be1e12a8e7282d1a4e389bb90f6dbc7-or_randxor_k3_n600_m600.cnf.xz</t>
  </si>
  <si>
    <t>SAT2026/0d082b8fa36f662217bee5524cd24d3a-mexam_23_20_2.sanitized.cnf.xz</t>
  </si>
  <si>
    <t>SAT2026/0d0fabe0fbca67a8740ebe8b8621d465-as-p147-l51-o0-rot-rfl-68-i.sanitized.cnf.xz</t>
  </si>
  <si>
    <t>SAT2026/0ec6bf97a96b9840ae84f1d1da4c4dcd-count_p3_M19.sanitized.cnf.xz</t>
  </si>
  <si>
    <t>SAT2026/0f1070ba60b55aa62d3a98798a14700e-mulsol.i.2.30.sanitized.cnf.xz</t>
  </si>
  <si>
    <t>SAT2026/117b99ffa16d21cb4ccb1c66829b0c7e-adv_gc_n50_k14_UNSAT_s42.sanitized.cnf.xz</t>
  </si>
  <si>
    <t>SAT2026/123c397f55eeae78c45e8d973b8e9dce-rpoc_xits_09_UNSAT.cnf.xz</t>
  </si>
  <si>
    <t>SAT2026/12535b3264a9c88bac14522171b497ef-sbdp4_138.sanitized.cnf.xz</t>
  </si>
  <si>
    <t>SAT2026/12ac1c71ff0405cc150c2a2db6c4a255-exam_75_65.sanitized.cnf.xz</t>
  </si>
  <si>
    <t>SAT2026/147ae051ca727d5b2af87223b2299fbe-1x1x13_1x3x6_pair_0_0_0_2_2_1.sanitized.cnf.xz</t>
  </si>
  <si>
    <t>SAT2026/15456f0d13b26f0b4b21525ef7d0d711-clique_n5_k10.sanitized.cnf.xz</t>
  </si>
  <si>
    <t>SAT2026/15e666a42158e3304fc3979de28a5e44-adv_gc_n200_k12_UNSAT_s42.sanitized.cnf.xz</t>
  </si>
  <si>
    <t>SAT2026/1680176921bab3f01c4f7c33791c8c23-schooltt-5-5-9-2-4-5-10-0.1-0.2-seed2.sanitized.cnf.xz</t>
  </si>
  <si>
    <t>SAT2026/16ca57f2cdffd5b0260fc771017e1f04-mdp-36-10-unsat.cnf.xz</t>
  </si>
  <si>
    <t>SAT2026/16f8b291c8cdedb5ca7210fa0eeb34d9-zeroin.i.3.29.sanitized.cnf.xz</t>
  </si>
  <si>
    <t>SAT2026/1707c4c24e66b2cfe6c03955b638bebf-xorshift_r16_119.sanitized.cnf.xz</t>
  </si>
  <si>
    <t>SAT2026/1a3bef9e03bab1ed4e9e34506d72a451-le450_25b.col.25.cnf.xz</t>
  </si>
  <si>
    <t>SAT2026/1fb646d2657b6dd5f0106dbec9fd6c27-chnl-040x041.sanitized.cnf.xz</t>
  </si>
  <si>
    <t>SAT2026/2027301e88cb029e4b47b747da8a180a-chnl-050x051.sanitized.cnf.xz</t>
  </si>
  <si>
    <t>SAT2026/20ae1404784ed226a1e3e4c9b2d61a41-bwoadm_28_5.sanitized.cnf.xz</t>
  </si>
  <si>
    <t>SAT2026/211b0708454f7901054f5f92f525972e-sbdp4_65.sanitized.cnf.xz</t>
  </si>
  <si>
    <t>SAT2026/22465e251284b8f3e48bf9a06a94855c-as-p81-l27-o6-rot-568.sanitized.cnf.xz</t>
  </si>
  <si>
    <t>SAT2026/22c8d6aa86d51e15ef5ab37479eda22b-xor_op_n40_d3.cnf.xz</t>
  </si>
  <si>
    <t>SAT2026/231f3a169120d3cda9f8feea88a20d85-xorshift_r14_42.sanitized.cnf.xz</t>
  </si>
  <si>
    <t>SAT2026/23daec2c71ce3c1e346e6042f3dc42eb-mdp-32-14-unsat.cnf.xz</t>
  </si>
  <si>
    <t>SAT2026/247e42e46495f1c4b8707e497af8c93e-16.sanitized.cnf.xz</t>
  </si>
  <si>
    <t>SAT2026/266e890b706cf336378bf148bbda1aff-mexam_15_12_2.sanitized.cnf.xz</t>
  </si>
  <si>
    <t>SAT2026/27495ba0093076d2e39a9b218e521ee2-sbdp4_61_2.sanitized.cnf.xz</t>
  </si>
  <si>
    <t>SAT2026/276c46723eeb15ec37be224fbbd67574-sha1__zeroOut_18__freeIn_22__seed_0.cnf.xz</t>
  </si>
  <si>
    <t>SAT2026/2a38c5d48846ee1c35c4c40938082a16-sbdp4_138_2.sanitized.cnf.xz</t>
  </si>
  <si>
    <t>SAT2026/2c4491c50d4df86e7c1838083cedc703-1x1x14_1x2x9_pair_4_3_0_2_3_1.sanitized.cnf.xz</t>
  </si>
  <si>
    <t>SAT2026/2ca47af4ab7a817725138b8b66e9af7f-st_540_25_12_12_9.af.sanitized.cnf.xz</t>
  </si>
  <si>
    <t>SAT2026/2d89fda1bd6a761ca5e2f4bb89202681-2.sanitized.cnf.xz</t>
  </si>
  <si>
    <t>SAT2026/3005623c4df6f5056a41a26d0f173e70-DLTM_twitter634_77_13.cnf.xz</t>
  </si>
  <si>
    <t>SAT2026/306a29e966fa6293d407bc7ebbc3ecb1-lattice-25.24.sanitized.cnf.xz</t>
  </si>
  <si>
    <t>SAT2026/30c6fa5c4f5910029b782b712844c93a-6.sanitized.cnf.xz</t>
  </si>
  <si>
    <t>SAT2026/324b2441c6f1fa9d5f3cf3a4c8447fc7-SC21_Timetable_C_512_E_66_Cl_34_S_35.cnf.xz</t>
  </si>
  <si>
    <t>SAT2026/32e344a5ab3af245f982678d2b751c6d-lightsout_sat_24_unbounded_totalizer_corner_0_unsat.sanitized.cnf.xz</t>
  </si>
  <si>
    <t>SAT2026/3367ba4c01fe07b385980a14211f250e-shuffling-2-s158913847-of-bench-sat04-306.used-as.sat04-610.cnf.xz</t>
  </si>
  <si>
    <t>SAT2026/337ee3de87f824f99508e65faa6e1a0b-SocialGolfers-6-6-7-cp_c18.cnf.xz</t>
  </si>
  <si>
    <t>SAT2026/35e0b5a19c88961d98dd806e805759f4-count_p2_M33.sanitized.cnf.xz</t>
  </si>
  <si>
    <t>SAT2026/3a8409393cc1ebae1444a079d216f221-x2_64.shuffled-as.sat03-1603.cnf.mis-125.debugged.cnf.xz</t>
  </si>
  <si>
    <t>SAT2026/3b560b9eafce79a4ac3c1062a9e72028-cabp-X-can__715.mtx.rnd-k108.sanitized.cnf.xz</t>
  </si>
  <si>
    <t>SAT2026/3c4ac805726d78a869ff8116ee3533db-homer18.shuffled.cnf.xz</t>
  </si>
  <si>
    <t>SAT2026/3c51a565526faa922fb298a2658440e9-fastlec_cep_14_T27_58.sanitized.cnf.xz</t>
  </si>
  <si>
    <t>SAT2026/3e7d8073c795d263ed862db64cf9f0fb-bdmbwm_28_94.sanitized.cnf.xz</t>
  </si>
  <si>
    <t>SAT2026/40ae60a61929b6bfa2ac99ab4b9a0f7e-grs-96-192.cnf.xz</t>
  </si>
  <si>
    <t>SAT2026/425c81fc3af7f5124b6282583d80df11-mdp-32-12-unsat.cnf.xz</t>
  </si>
  <si>
    <t>SAT2026/43c298c756cac6d547a0457c2da7e468-xorshift_r14_31.sanitized.cnf.xz</t>
  </si>
  <si>
    <t>SAT2026/43d40ced32b5be08814ef24f97379654-php_sudoku_p15_h14.sanitized.cnf.xz</t>
  </si>
  <si>
    <t>SAT2026/44452f4bac1e77157bbc900c5cc0756d-1x1x13_1x3x6_pair_4_1_0_2_3_0.sanitized.cnf.xz</t>
  </si>
  <si>
    <t>SAT2026/4551c996fc6f5fbe62b43076abb25077-knight_18.cnf.xz</t>
  </si>
  <si>
    <t>SAT2026/45a09efb026036ff4b8d19024a7563a9-fermat-931960058139995587.cnf.xz</t>
  </si>
  <si>
    <t>SAT2026/46dc5e955b1fb541678d0634389353ac-ntil-90d-45.sanitized.cnf.xz</t>
  </si>
  <si>
    <t>SAT2026/47173e8ab499159d3aa301b0101fe170-schooltt-5-3-9-2-4-5-10-0.1-0.1-seed3.sanitized.cnf.xz</t>
  </si>
  <si>
    <t>SAT2026/48432767076e402d2accbf2da7260885-schooltt-5-3-8-2-4-5-10-0.1-0.2-seed2.sanitized.cnf.xz</t>
  </si>
  <si>
    <t>SAT2026/49644428681a87666a68fc9380dce072-cabp-X-can__715.mtx.rnd-k116.sanitized.cnf.xz</t>
  </si>
  <si>
    <t>SAT2026/4aab4f954196d3277d9ca7b17c52acca-clqcl_25_8_7.normalised.cnf.xz</t>
  </si>
  <si>
    <t>SAT2026/4d6bd7b2c674fb67b271127586914b74-vdw_4_8_n145.sanitized.cnf.xz</t>
  </si>
  <si>
    <t>SAT2026/4d84e818a5ab324dde37429dd2455551-4.sanitized.cnf.xz</t>
  </si>
  <si>
    <t>SAT2026/4e64ffc14db014d5591f40865376c32a-satcoin-genesis-UNSAT-7200.cnf.xz</t>
  </si>
  <si>
    <t>SAT2026/510df610f94d5d57073a2c3b694dac4c-51-136961.cnf.xz</t>
  </si>
  <si>
    <t>SAT2026/511f1794698a8620c18a7cc32cfc7776-14.sanitized.cnf.xz</t>
  </si>
  <si>
    <t>SAT2026/515511be3905018ae7e6eb7ba7064d72-SDP_134_18_4334.sanitized.cnf.xz</t>
  </si>
  <si>
    <t>SAT2026/53e8a231196dfdf1baebfa2f29646f14-shuffling-2-s504782760-of-bench-sat04-312.used-as.sat04-604.cnf.xz</t>
  </si>
  <si>
    <t>SAT2026/546a73eef02dda3719018050b09e9392-schooltt-5-3-8-2-4-5-10-0.1-0.2-seed1.sanitized.cnf.xz</t>
  </si>
  <si>
    <t>SAT2026/553b056f2651fdc182ca74174aa8ea10-ntil-90d-46.sanitized.cnf.xz</t>
  </si>
  <si>
    <t>SAT2026/58eaf62034046ed4fc52562869569b44-count_p2_M41.sanitized.cnf.xz</t>
  </si>
  <si>
    <t>SAT2026/5ab5ac8d66c7e375037f12a536baf721-sbdp4_136_2.sanitized.cnf.xz</t>
  </si>
  <si>
    <t>SAT2026/5d06225b27017e9a703f10cb577cf3bf-clqcl_25_7_6.normalised.cnf.xz</t>
  </si>
  <si>
    <t>SAT2026/5d8b47745dba3fe50f9c8712be389cd5-mexam_25_20_2.sanitized.cnf.xz</t>
  </si>
  <si>
    <t>SAT2026/5e1f1759de9bf931a8e26dbe7dd5b212-cabp-V-nos6.mtx.rnd-k290.sanitized.cnf.xz</t>
  </si>
  <si>
    <t>SAT2026/5f65b4cceeb01c56e037df144309b29e-SGI_30_70_21_70_7-log.shuffled-as.sat03-153.cnf.xz</t>
  </si>
  <si>
    <t>SAT2026/5f729f069a233fa88dfb470bbee7c924-1x1x14_1x2x9_pair_2_4_0_2_2_0.sanitized.cnf.xz</t>
  </si>
  <si>
    <t>SAT2026/5f81a94799858590a2bc96db917bf894-bdobwm_28_54.sanitized.cnf.xz</t>
  </si>
  <si>
    <t>SAT2026/5f9d0127b390a4686171311d38f3fbf8-cabp-M-bcsstk06.mtx.rnd-k37.sanitized.cnf.xz</t>
  </si>
  <si>
    <t>SAT2026/5fb5e437292532efe687ac6f74a9cb76-SDP_126_17_1585.sanitized.cnf.xz</t>
  </si>
  <si>
    <t>SAT2026/61fee64c8fc7f05b97a2bc14c0c2bf41-par32-4-c.shuffled.cnf.xz</t>
  </si>
  <si>
    <t>SAT2026/626c368587dd880086afc7b3fa1e6f27-snw_16_9_CCSpre.cnf.xz</t>
  </si>
  <si>
    <t>SAT2026/654241eda3e1283f4b139192d1db055a-SDP_140_19_8786.sanitized.cnf.xz</t>
  </si>
  <si>
    <t>SAT2026/65bf849f3e86ab275e339934f4d140a0-DSC125.9.30.sanitized.cnf.xz</t>
  </si>
  <si>
    <t>SAT2026/67133027ab55906e3b757148ca7011dd-snw_16_9_Encpre.cnf.xz</t>
  </si>
  <si>
    <t>SAT2026/6793abe982f9d5f9646f6657e13ecc39-55-140792.cnf.xz</t>
  </si>
  <si>
    <t>SAT2026/68ef4b1ed6a28c75defea64bb7d53e06-vdwb_k6_n350.sanitized.cnf.xz</t>
  </si>
  <si>
    <t>SAT2026/6ad453d6174581d982c4e75e37a38d79-dobdm_14_1.sanitized.cnf.xz</t>
  </si>
  <si>
    <t>SAT2026/6cfd9ef85d9f6e62dcbb9a4fd9334c90-GreenTao_2-4-5_4231.cnf.xz</t>
  </si>
  <si>
    <t>SAT2026/6db4b3f59a1e530ca5309d8a7544f5c3-color-19-4.shuffled-as.sat05-444.cnf.xz</t>
  </si>
  <si>
    <t>SAT2026/6ddda96839bb24cd7389d5556d3ab16d-inithx.i.2.30.sanitized.cnf.xz</t>
  </si>
  <si>
    <t>SAT2026/71849248b47db583f56e77f55f31e525-exam_85_70.sanitized.cnf.xz</t>
  </si>
  <si>
    <t>SAT2026/727ebce936c010888c7f71f00885e643-count_p2_M25.sanitized.cnf.xz</t>
  </si>
  <si>
    <t>SAT2026/7372171e2e794a98cda6540676608f32-DSC125.9.25.sanitized.cnf.xz</t>
  </si>
  <si>
    <t>SAT2026/744238c5aadea40f8e05db49429da576-10.sanitized.cnf.xz</t>
  </si>
  <si>
    <t>SAT2026/757d64688ac60cba697a980dfbbf5075-chnl-030x091.sanitized.cnf.xz</t>
  </si>
  <si>
    <t>SAT2026/75b23436a531bbc4004f43009cb4546e-ntil-90d-43.sanitized.cnf.xz</t>
  </si>
  <si>
    <t>SAT2026/7ac164a9d153f0a2d9bf54a98d429636-bwoawm_28_5.sanitized.cnf.xz</t>
  </si>
  <si>
    <t>SAT2026/7b9620b5d7da55bda43595fe37867acd-exam_90_80.sanitized.cnf.xz</t>
  </si>
  <si>
    <t>SAT2026/7cd6b940be001c46c6294d7cac9aa610-vdw_4_8_n147.sanitized.cnf.xz</t>
  </si>
  <si>
    <t>SAT2026/7db30d12cb06f0dc2f30abff80d96d6a-two-trees-1023v.sanitized.cnf.xz</t>
  </si>
  <si>
    <t>SAT2026/7e21850936d6127540157afaaf912c02-marg6x6.shuffled-as.sat03-1456.cnf.mis-119.debugged.cnf.xz</t>
  </si>
  <si>
    <t>SAT2026/7efc1b160fb755fb1e8b6bcc70bbeb90-SDP_132_18_9892.sanitized.cnf.xz</t>
  </si>
  <si>
    <t>SAT2026/805a742eb8b4e0df3561ca8e0670670b-homer20.shuffled.cnf.xz</t>
  </si>
  <si>
    <t>SAT2026/80b163b706e0a16702173ec27f3d1331-lightsout_sat_24_unbounded_direct_corner_0_unsat.sanitized.cnf.xz</t>
  </si>
  <si>
    <t>SAT2026/826a01aaab9f98e8fb6d3fbbf349078b-adv_gc_n300_k13_UNSAT_s42.sanitized.cnf.xz</t>
  </si>
  <si>
    <t>SAT2026/83ced7d9ee8058c52c9a68ded7fad0a5-p160_1.cnf.xz</t>
  </si>
  <si>
    <t>SAT2026/8456155de4cd22425ec479f75af089c2-cabp-X-can__715.mtx.rnd-k118.sanitized.cnf.xz</t>
  </si>
  <si>
    <t>SAT2026/860788f93fb766e83e00a29de84180e7-mexam_17_15_2.sanitized.cnf.xz</t>
  </si>
  <si>
    <t>SAT2026/8aa9ffb211d1cba850be2ee9d173b7e1-adv_gc_n300_k12_UNSAT_s42.sanitized.cnf.xz</t>
  </si>
  <si>
    <t>SAT2026/8caa9b4b72b5f1782fe4554980978cbc-1x1x14_1x2x9_pair_4_1_0_2_1_0.sanitized.cnf.xz</t>
  </si>
  <si>
    <t>SAT2026/8d2b018a5f8855b6ba1868a3ffff9d2f-xorshift_r15_113.sanitized.cnf.xz</t>
  </si>
  <si>
    <t>SAT2026/8d2dfc50c1759dc11a6564d5c368c6df-FmlaImplyChain_3_7_8.sanitized.cnf.xz</t>
  </si>
  <si>
    <t>SAT2026/8e1cdc28bad48753110be5bd578cb934-15.sanitized.cnf.xz</t>
  </si>
  <si>
    <t>SAT2026/8e5da99e8323af36e983a99b4df03b92-bwobdm_28_56.sanitized.cnf.xz</t>
  </si>
  <si>
    <t>SAT2026/8f5bca645bd8738eb74c2e1dc284774a-sgp_7-4-6.shuffled-as.sat05-2671.cnf.xz</t>
  </si>
  <si>
    <t>SAT2026/8fcde459f828e0df9672933e68fa1af2-chnl-020x061.sanitized.cnf.xz</t>
  </si>
  <si>
    <t>SAT2026/9078ea73ff67edf2b6dcd007c9696ca0-13.sanitized.cnf.xz</t>
  </si>
  <si>
    <t>SAT2026/90937ed75ba0560158d8fe45f303868a-mp1-Nb7T08.cnf.xz</t>
  </si>
  <si>
    <t>SAT2026/91e0db01b254eb78f6643328045bfeb9-sted5_0x1e3-20.cnf.xz</t>
  </si>
  <si>
    <t>SAT2026/92b22042a950db2a9841f08d169d1bb5-exam_90_70.sanitized.cnf.xz</t>
  </si>
  <si>
    <t>SAT2026/932e2329dd1efeafe7151a0ebf3a343f-bdodo_28_6.sanitized.cnf.xz</t>
  </si>
  <si>
    <t>SAT2026/93983a1211a506a87907c7e2ffa4e818-shuffling-1-s1719683924-of-bench-sat04-310.used-as.sat04-467.cnf.xz</t>
  </si>
  <si>
    <t>SAT2026/95f346a183b890307596310fd33b4836-quad_res_r30_m35.cnf.xz</t>
  </si>
  <si>
    <t>SAT2026/965ca988015c9aee5a1a7b2136c1fe5d-os_fwalk_12.cnf.xz</t>
  </si>
  <si>
    <t>SAT2026/981b0e855eed536df112bf2e4ff98807-adv_gc_n50_k12_UNSAT_s42.sanitized.cnf.xz</t>
  </si>
  <si>
    <t>SAT2026/991aec61a2751602d6d7b3e838035610-bwodo_28_7.sanitized.cnf.xz</t>
  </si>
  <si>
    <t>SAT2026/997491c0cbc3e558a3e3266e2a142215-mulsol.i.4.30.sanitized.cnf.xz</t>
  </si>
  <si>
    <t>SAT2026/9a4837429c656a71283b8d5bb41c05a7-1x1x14_1x2x9_pair_2_4_0_3_2_0.sanitized.cnf.xz</t>
  </si>
  <si>
    <t>SAT2026/9aa85c5c114245c182ed6afbe3d8daed-schooltt-5-3-8-2-4-5-10-0.1-0.2-seed4.sanitized.cnf.xz</t>
  </si>
  <si>
    <t>SAT2026/9ba8145e0d02318dea5507fc3ba03472-latin_square_10.15.sanitized.cnf.xz</t>
  </si>
  <si>
    <t>SAT2026/9fbe200523c648000d71b2c739093aa2-adv_gc_n100_k13_UNSAT_s42.sanitized.cnf.xz</t>
  </si>
  <si>
    <t>SAT2026/a08c17f9a3888841cf7bbc75a807ff7e-xorshift_r14_110.sanitized.cnf.xz</t>
  </si>
  <si>
    <t>SAT2026/a08d0fcc98fe0ce9c53b2fd0c69ccc4b-bwmdm_28_2.sanitized.cnf.xz</t>
  </si>
  <si>
    <t>SAT2026/a110c13186ef5785df8da4bfa2ce9a6d-xorshift_r14_7.sanitized.cnf.xz</t>
  </si>
  <si>
    <t>SAT2026/a2fdd0935df1379c67cf1bb93ef2cfad-54-138766.cnf.xz</t>
  </si>
  <si>
    <t>SAT2026/a42230be4432b010789b6f97b090343c-soelberg_unit_223.cnf.xz</t>
  </si>
  <si>
    <t>SAT2026/a45aefde8bb26edb9634004146d0de89-Circuit_multiplier36.cnf.xz</t>
  </si>
  <si>
    <t>SAT2026/a4eec7a5fef59547129822f6b513d54c-1x1x13_1x3x6_pair_2_2_1_3_2_0.sanitized.cnf.xz</t>
  </si>
  <si>
    <t>SAT2026/a4f816482e853dfad9a685ac1459e66d-bwodm_28_5.sanitized.cnf.xz</t>
  </si>
  <si>
    <t>SAT2026/a60a138325ac9c88ab293ec0c801a95c-xorshift_r15_191.sanitized.cnf.xz</t>
  </si>
  <si>
    <t>SAT2026/a78606fdfd6cf6ee8358bd35fa833be6-as-p61-l22-o8-II-568.sanitized.cnf.xz</t>
  </si>
  <si>
    <t>SAT2026/a7e5d03892a17e51e22b688f51cf0aab-mexam_20_18_2.sanitized.cnf.xz</t>
  </si>
  <si>
    <t>SAT2026/a80a252b748882980d9a80ddea8c5cff-bdmdm_28_1.sanitized.cnf.xz</t>
  </si>
  <si>
    <t>SAT2026/a95f0373ebf724f474fcc9ccd7197bd9-chnl-030x061.sanitized.cnf.xz</t>
  </si>
  <si>
    <t>SAT2026/aa2e02360b19c83da68e39e39c530923-cabp-V-nos6.mtx.rnd-k333.sanitized.cnf.xz</t>
  </si>
  <si>
    <t>SAT2026/aa4e80476e6a6ea1034e303e6b2e46dc-exam_75_70.sanitized.cnf.xz</t>
  </si>
  <si>
    <t>SAT2026/ab2ab3a0651f0f35ba319ad976b1b6fd-1.sanitized.cnf.xz</t>
  </si>
  <si>
    <t>SAT2026/ac3e3bb744e258282990aa4307c08cb8-E00X23.cnf.xz</t>
  </si>
  <si>
    <t>SAT2026/aca9f4faabeb57a57c678d55f5bbd2f4-12.sanitized.cnf.xz</t>
  </si>
  <si>
    <t>SAT2026/ad2247443454da1fbd4543dd1fa5b57c-schooltt-5-3-9-2-4-5-10-0.1-0.2-seed3.sanitized.cnf.xz</t>
  </si>
  <si>
    <t>SAT2026/ad5b80bb4d1b60bee12163df25846801-xorshift_r15_104.sanitized.cnf.xz</t>
  </si>
  <si>
    <t>SAT2026/af9c2fb7046eb845f185c64cd9dd1006-cabp-T-dwt__592.mtx.rnd-k145.sanitized.cnf.xz</t>
  </si>
  <si>
    <t>SAT2026/b0142b06940fb02e2b4ddb7a2101a3d6-count_p2_M21.sanitized.cnf.xz</t>
  </si>
  <si>
    <t>SAT2026/b0abaa97c4663edc2048d86de3e2b226-schooltt-5-3-9-2-4-5-10-0.1-0.2-seed4.sanitized.cnf.xz</t>
  </si>
  <si>
    <t>SAT2026/b13ba48e09e575d6a628c02200ac23f7-adv_gc_n100_k14_UNSAT_s42.sanitized.cnf.xz</t>
  </si>
  <si>
    <t>SAT2026/b2047f327e213b5f14adb8c75ee514fb-60-135969.cnf.xz</t>
  </si>
  <si>
    <t>SAT2026/b358bf7111086fd6d60b11c2f01465b8-crn_40_1521_s.cnf.xz</t>
  </si>
  <si>
    <t>SAT2026/b69132879ed9ea0c8af1bc1e478d6ec3-128.smt2.cnf.xz</t>
  </si>
  <si>
    <t>SAT2026/b697738cefe9cb2dd62f24653a13b341-EDP3-60000.cnf.xz</t>
  </si>
  <si>
    <t>SAT2026/b9a626da76f235aab854c6ef516b9240-AProVE07-26-sc2007.cnf.xz</t>
  </si>
  <si>
    <t>SAT2026/bcdc894819cf050e57849fe84a1e8cc4-chnl-020x101.sanitized.cnf.xz</t>
  </si>
  <si>
    <t>SAT2026/bfc825d1eb0670fd90805c546fea5c6b-snw_17_9_CCSpreOptEncpre.cnf.xz</t>
  </si>
  <si>
    <t>SAT2026/c300445f0f756c8f5d6571ebf0bb6edc-cabp-M-bcsstk06.mtx.rnd-k36.sanitized.cnf.xz</t>
  </si>
  <si>
    <t>SAT2026/c44762c4b177ac64fd0919f37de8382e-mexam_14_12_2.sanitized.cnf.xz</t>
  </si>
  <si>
    <t>SAT2026/c615d49f357813514966186ab834be28-preimage_80r_486m_160h_seed_306.cnf.xz</t>
  </si>
  <si>
    <t>SAT2026/c6487f6dfcc1438eccca1876a33d9a9c-genurq7Sat.shuffled-as.sat03-1513.cnf.mis-135.debugged.cnf.xz</t>
  </si>
  <si>
    <t>SAT2026/c7449e5bc5ef75a69f8a454c13d371de-bdoawm_28_4.sanitized.cnf.xz</t>
  </si>
  <si>
    <t>SAT2026/ca18feb7d2bb6bee7a8ab28673fe1d62-as-p75-l27-o6-rot-4568.sanitized.cnf.xz</t>
  </si>
  <si>
    <t>SAT2026/ca7f7824a958b98512a0c96d73251f8b-xorshift_r16_180.sanitized.cnf.xz</t>
  </si>
  <si>
    <t>SAT2026/d10b8bcd1bb5977c5ffe2d1859e4335f-xorshift_r15_175.sanitized.cnf.xz</t>
  </si>
  <si>
    <t>SAT2026/d1335d8a6a98a1988b54e1f481a64fcf-mulsol.i.1.48.sanitized.cnf.xz</t>
  </si>
  <si>
    <t>SAT2026/d27f76623aed2fce608c092b2aafafc5-exam_95_70.sanitized.cnf.xz</t>
  </si>
  <si>
    <t>SAT2026/d418605014fdeb1236bfa720ac460c62-xorshift_r14_85.sanitized.cnf.xz</t>
  </si>
  <si>
    <t>SAT2026/d4a6b1a299c7a8ad6ea9769abcc60507-GreenTao_2-3-7_13850.cnf.xz</t>
  </si>
  <si>
    <t>SAT2026/d5949f26c5c5128ef2d4ac4d3b432cc2-as-p51-l19-o8-II-568.sanitized.cnf.xz</t>
  </si>
  <si>
    <t>SAT2026/d8225a58e2ca7c2fb93c533f406c02d5-abw-K-dwt__234.mtx-w50.cnf.xz</t>
  </si>
  <si>
    <t>SAT2026/da6fae94ae1b1cedcced7169df02a762-1x1x13_1x3x6_pair_2_2_1_3_4_0.sanitized.cnf.xz</t>
  </si>
  <si>
    <t>SAT2026/db15a85651e0d941a11bf8640625edd8-mdp-32-11-sat.cnf.xz</t>
  </si>
  <si>
    <t>SAT2026/dbbcaa7797145dfddfa4fe73ce91fdec-cabp-M-bcsstk06.mtx.rnd-k39.sanitized.cnf.xz</t>
  </si>
  <si>
    <t>SAT2026/dc691557cfebca28aefe7360768389e5-ntil-90d-48.sanitized.cnf.xz</t>
  </si>
  <si>
    <t>SAT2026/de3440b67769e7af00e58ec9cce9847b-SDP_136_18_712.sanitized.cnf.xz</t>
  </si>
  <si>
    <t>SAT2026/e2b819680a045a8af67f82fa2f3d945a-59-134241.cnf.xz</t>
  </si>
  <si>
    <t>SAT2026/e3a132ecb8108f7d8a46b6686e686b60-9.sanitized.cnf.xz</t>
  </si>
  <si>
    <t>SAT2026/e430acf720b63044e5c825a00a76b0eb-rphp_p25_r25.cnf.xz</t>
  </si>
  <si>
    <t>SAT2026/e4d1892db27b721b88e5ee7e5987649f-quad_res_r33_m36.cnf.xz</t>
  </si>
  <si>
    <t>SAT2026/e5066e18b03451d92863160ed8166bdf-1x1x14_1x2x9_pair_2_4_0_3_1_0.sanitized.cnf.xz</t>
  </si>
  <si>
    <t>SAT2026/e5787bb4c8c29aa39b14a5e11387999d-fpsol2.i.2.29.sanitized.cnf.xz</t>
  </si>
  <si>
    <t>SAT2026/e685a5d96e1ee9e051f191eca84b0d88-sbdp4_140_2.sanitized.cnf.xz</t>
  </si>
  <si>
    <t>SAT2026/e91253303b915493090c1f4b59d9e969-lattice-20.19.sanitized.cnf.xz</t>
  </si>
  <si>
    <t>SAT2026/ebc40cf47836100655aea44ef1ed46da-MM-23-2-2-3-B.cnf.xz</t>
  </si>
  <si>
    <t>SAT2026/ef063cf2e17dd6472f514ab549a5eed5-cabp-V-nos6.mtx.rnd-k297.sanitized.cnf.xz</t>
  </si>
  <si>
    <t>SAT2026/f1d1a4fee20e2907c33465a88d1e24f2-openstacks-sequencedstrips-nonadl-nonnegated-os-sequencedstrips-p30_1.035-NOTKNOWN.cnf.xz</t>
  </si>
  <si>
    <t>SAT2026/f5bb000a2fb23f3a5c19df2b6613cf77-ntil-90d-47.sanitized.cnf.xz</t>
  </si>
  <si>
    <t>SAT2026/f604f43d1f5525f3dab4090190adbc66-1x1x14_1x2x9_pair_2_4_0_3_3_0.sanitized.cnf.xz</t>
  </si>
  <si>
    <t>SAT2026/f83424f869b61931d720f93e5a12df3c-php_sudoku_p20_h19.sanitized.cnf.xz</t>
  </si>
  <si>
    <t>SAT2026/f8a3fae231fe11905d91db3fb6c42449-289-unsat-13x32.cnf.xz</t>
  </si>
  <si>
    <t>SAT2026/fa3e27fb7209620b792d5c75a75d669b-schooltt-5-5-10-2-4-5-10-0.1-0.2-seed5.sanitized.cnf.xz</t>
  </si>
  <si>
    <t>SAT2026/faf4561dc9f61c71b926d7d0aec7fb4a-smulo128.cnf.xz</t>
  </si>
  <si>
    <t>SAT2026/fbd9968f5067604694f11f14c07c5527-count_p2_M45.sanitized.cnf.xz</t>
  </si>
  <si>
    <t>SAT2026/fd1e0ce3662b9b25d23eb01c6e53a425-ntil-90d-42.sanitized.cnf.xz</t>
  </si>
  <si>
    <t>SAT2026/fe776dd02d74e0d68a3e3fc3f9d934de-vdwb_k7_n3703.sanitized.cnf.xz</t>
  </si>
  <si>
    <t>SAT2026/fed1f1b55b33c7e0f8356832d571b0bf-ntil-90d-41.sanitized.cnf.xz</t>
  </si>
  <si>
    <t>SAT2026/fed3f8d39738c2e935e8ed13ddeb6967-8.sanitized.cnf.xz</t>
  </si>
  <si>
    <t>SAT2026/ff706804d01ac07e8b8502de6331f2de-adv_gc_n200_k15_UNSAT_s42.sanitized.cnf.xz</t>
  </si>
  <si>
    <t>s</t>
  </si>
  <si>
    <t>c</t>
  </si>
  <si>
    <t>Column 2</t>
  </si>
  <si>
    <t>Column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</si>
</sst>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Base_v3.0.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_6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_640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_49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3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_v3.0.1_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_640_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301_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baseline, 3_640 and 11_301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Comp2019!$C$1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Comp2019!$B$2:$B$265</c:f>
            </c:strRef>
          </c:cat>
          <c:val>
            <c:numRef>
              <c:f>Comp2019!$C$2:$C$265</c:f>
              <c:numCache/>
            </c:numRef>
          </c:val>
          <c:smooth val="0"/>
        </c:ser>
        <c:ser>
          <c:idx val="1"/>
          <c:order val="1"/>
          <c:tx>
            <c:strRef>
              <c:f>Comp2019!$D$1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Comp2019!$B$2:$B$265</c:f>
            </c:strRef>
          </c:cat>
          <c:val>
            <c:numRef>
              <c:f>Comp2019!$D$2:$D$265</c:f>
              <c:numCache/>
            </c:numRef>
          </c:val>
          <c:smooth val="0"/>
        </c:ser>
        <c:ser>
          <c:idx val="2"/>
          <c:order val="2"/>
          <c:tx>
            <c:strRef>
              <c:f>Comp2019!$E$1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Comp2019!$B$2:$B$265</c:f>
            </c:strRef>
          </c:cat>
          <c:val>
            <c:numRef>
              <c:f>Comp2019!$E$2:$E$265</c:f>
              <c:numCache/>
            </c:numRef>
          </c:val>
          <c:smooth val="0"/>
        </c:ser>
        <c:axId val="756789100"/>
        <c:axId val="729603209"/>
      </c:lineChart>
      <c:catAx>
        <c:axId val="756789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Instancias resolvidas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603209"/>
      </c:catAx>
      <c:valAx>
        <c:axId val="729603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789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baseline, 3_640 and 11_301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Comp2026!$C$1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Comp2026!$B$2:$B$191</c:f>
            </c:strRef>
          </c:cat>
          <c:val>
            <c:numRef>
              <c:f>Comp2026!$C$2:$C$191</c:f>
              <c:numCache/>
            </c:numRef>
          </c:val>
          <c:smooth val="0"/>
        </c:ser>
        <c:ser>
          <c:idx val="1"/>
          <c:order val="1"/>
          <c:tx>
            <c:strRef>
              <c:f>Comp2026!$D$1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Comp2026!$B$2:$B$191</c:f>
            </c:strRef>
          </c:cat>
          <c:val>
            <c:numRef>
              <c:f>Comp2026!$D$2:$D$191</c:f>
              <c:numCache/>
            </c:numRef>
          </c:val>
          <c:smooth val="0"/>
        </c:ser>
        <c:ser>
          <c:idx val="2"/>
          <c:order val="2"/>
          <c:tx>
            <c:strRef>
              <c:f>Comp2026!$E$1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Comp2026!$B$2:$B$191</c:f>
            </c:strRef>
          </c:cat>
          <c:val>
            <c:numRef>
              <c:f>Comp2026!$E$2:$E$191</c:f>
              <c:numCache/>
            </c:numRef>
          </c:val>
          <c:smooth val="0"/>
        </c:ser>
        <c:axId val="1906882571"/>
        <c:axId val="574770214"/>
      </c:lineChart>
      <c:catAx>
        <c:axId val="1906882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Instancias resolvidas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770214"/>
      </c:catAx>
      <c:valAx>
        <c:axId val="574770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882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5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904875</xdr:colOff>
      <xdr:row>4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01" displayName="Table1_3" name="Table1_3" id="1">
  <tableColumns count="5">
    <tableColumn name="Column 1" id="1"/>
    <tableColumn name="file" id="2"/>
    <tableColumn name="answer" id="3"/>
    <tableColumn name="cpu time" id="4"/>
    <tableColumn name="PAR-2" id="5"/>
  </tableColumns>
  <tableStyleInfo name="Base_v3.0.1-style" showColumnStripes="0" showFirstColumn="1" showLastColumn="1" showRowStripes="1"/>
</table>
</file>

<file path=xl/tables/table2.xml><?xml version="1.0" encoding="utf-8"?>
<table xmlns="http://schemas.openxmlformats.org/spreadsheetml/2006/main" ref="A1:R401" displayName="Table1_2" name="Table1_2" id="2">
  <tableColumns count="18">
    <tableColumn name="Column 1" id="1"/>
    <tableColumn name="file" id="2"/>
    <tableColumn name="vars" id="3"/>
    <tableColumn name="clauses" id="4"/>
    <tableColumn name="conflicts" id="5"/>
    <tableColumn name="learned" id="6"/>
    <tableColumn name="decisions" id="7"/>
    <tableColumn name="propagations" id="8"/>
    <tableColumn name="restarts" id="9"/>
    <tableColumn name="restarts unstable" id="10"/>
    <tableColumn name="restarts stable" id="11"/>
    <tableColumn name="learned avg, size" id="12"/>
    <tableColumn name="learnt stack avg" id="13"/>
    <tableColumn name="learnt stack stable counter" id="14"/>
    <tableColumn name="learnt stack unstable counter" id="15"/>
    <tableColumn name="answer" id="16"/>
    <tableColumn name="cpu time" id="17"/>
    <tableColumn name="PAR-2" id="18"/>
  </tableColumns>
  <tableStyleInfo name="3_640-style" showColumnStripes="0" showFirstColumn="1" showLastColumn="1" showRowStripes="1"/>
</table>
</file>

<file path=xl/tables/table3.xml><?xml version="1.0" encoding="utf-8"?>
<table xmlns="http://schemas.openxmlformats.org/spreadsheetml/2006/main" ref="A1:R401" displayName="Table1_5" name="Table1_5" id="3">
  <tableColumns count="18">
    <tableColumn name="Column 1" id="1"/>
    <tableColumn name="file" id="2"/>
    <tableColumn name="vars" id="3"/>
    <tableColumn name="clauses" id="4"/>
    <tableColumn name="conflicts" id="5"/>
    <tableColumn name="learned" id="6"/>
    <tableColumn name="decisions" id="7"/>
    <tableColumn name="propagations" id="8"/>
    <tableColumn name="restarts" id="9"/>
    <tableColumn name="restarts unstable" id="10"/>
    <tableColumn name="restarts stable" id="11"/>
    <tableColumn name="learned avg, size" id="12"/>
    <tableColumn name="learnt stack avg" id="13"/>
    <tableColumn name="learnt stack stable counter" id="14"/>
    <tableColumn name="learnt stack unstable counter" id="15"/>
    <tableColumn name="answer" id="16"/>
    <tableColumn name="cpu time" id="17"/>
    <tableColumn name="PAR-2" id="18"/>
  </tableColumns>
  <tableStyleInfo name="3_640_2-style" showColumnStripes="0" showFirstColumn="1" showLastColumn="1" showRowStripes="1"/>
</table>
</file>

<file path=xl/tables/table4.xml><?xml version="1.0" encoding="utf-8"?>
<table xmlns="http://schemas.openxmlformats.org/spreadsheetml/2006/main" ref="A1:R401" displayName="Table1" name="Table1" id="4">
  <tableColumns count="18">
    <tableColumn name="Column 1" id="1"/>
    <tableColumn name="file" id="2"/>
    <tableColumn name="vars" id="3"/>
    <tableColumn name="clauses" id="4"/>
    <tableColumn name="conflicts" id="5"/>
    <tableColumn name="learned" id="6"/>
    <tableColumn name="decisions" id="7"/>
    <tableColumn name="propagations" id="8"/>
    <tableColumn name="restarts" id="9"/>
    <tableColumn name="restarts unstable" id="10"/>
    <tableColumn name="restarts stable" id="11"/>
    <tableColumn name="learned avg, size" id="12"/>
    <tableColumn name="learnt stack avg" id="13"/>
    <tableColumn name="learnt stack stable counter" id="14"/>
    <tableColumn name="learnt stack unstable counter" id="15"/>
    <tableColumn name="answer" id="16"/>
    <tableColumn name="cpu time" id="17"/>
    <tableColumn name="PAR-2" id="18"/>
  </tableColumns>
  <tableStyleInfo name="7_497-style" showColumnStripes="0" showFirstColumn="1" showLastColumn="1" showRowStripes="1"/>
</table>
</file>

<file path=xl/tables/table5.xml><?xml version="1.0" encoding="utf-8"?>
<table xmlns="http://schemas.openxmlformats.org/spreadsheetml/2006/main" ref="A1:R401" displayName="Table1_4" name="Table1_4" id="5">
  <tableColumns count="18">
    <tableColumn name="Column 1" id="1"/>
    <tableColumn name="file" id="2"/>
    <tableColumn name="vars" id="3"/>
    <tableColumn name="clauses" id="4"/>
    <tableColumn name="conflicts" id="5"/>
    <tableColumn name="learned" id="6"/>
    <tableColumn name="decisions" id="7"/>
    <tableColumn name="propagations" id="8"/>
    <tableColumn name="restarts" id="9"/>
    <tableColumn name="restarts unstable" id="10"/>
    <tableColumn name="restarts stable" id="11"/>
    <tableColumn name="learned avg, size" id="12"/>
    <tableColumn name="learnt stack avg" id="13"/>
    <tableColumn name="learnt stack stable counter" id="14"/>
    <tableColumn name="learnt stack unstable counter" id="15"/>
    <tableColumn name="answer" id="16"/>
    <tableColumn name="cpu time" id="17"/>
    <tableColumn name="PAR-2" id="18"/>
  </tableColumns>
  <tableStyleInfo name="11_301-style" showColumnStripes="0" showFirstColumn="1" showLastColumn="1" showRowStripes="1"/>
</table>
</file>

<file path=xl/tables/table6.xml><?xml version="1.0" encoding="utf-8"?>
<table xmlns="http://schemas.openxmlformats.org/spreadsheetml/2006/main" ref="A1:E401" displayName="Table1_9" name="Table1_9" id="6">
  <tableColumns count="5">
    <tableColumn name="Column 1" id="1"/>
    <tableColumn name="file" id="2"/>
    <tableColumn name="answer" id="3"/>
    <tableColumn name="cpu time" id="4"/>
    <tableColumn name="PAR-2" id="5"/>
  </tableColumns>
  <tableStyleInfo name="Base_v3.0.1_2026-style" showColumnStripes="0" showFirstColumn="1" showLastColumn="1" showRowStripes="1"/>
</table>
</file>

<file path=xl/tables/table7.xml><?xml version="1.0" encoding="utf-8"?>
<table xmlns="http://schemas.openxmlformats.org/spreadsheetml/2006/main" ref="A1:R401" displayName="Table1_8" name="Table1_8" id="7">
  <tableColumns count="18">
    <tableColumn name="Column 1" id="1"/>
    <tableColumn name="file" id="2"/>
    <tableColumn name="vars" id="3"/>
    <tableColumn name="clauses" id="4"/>
    <tableColumn name="conflicts" id="5"/>
    <tableColumn name="learned" id="6"/>
    <tableColumn name="decisions" id="7"/>
    <tableColumn name="propagations" id="8"/>
    <tableColumn name="restarts" id="9"/>
    <tableColumn name="restarts unstable" id="10"/>
    <tableColumn name="restarts stable" id="11"/>
    <tableColumn name="learned avg, size" id="12"/>
    <tableColumn name="learnt stack avg" id="13"/>
    <tableColumn name="learnt stack stable counter" id="14"/>
    <tableColumn name="learnt stack unstable counter" id="15"/>
    <tableColumn name="answer" id="16"/>
    <tableColumn name="cpu time" id="17"/>
    <tableColumn name="PAR-2" id="18"/>
  </tableColumns>
  <tableStyleInfo name="3_640_2026-style" showColumnStripes="0" showFirstColumn="1" showLastColumn="1" showRowStripes="1"/>
</table>
</file>

<file path=xl/tables/table8.xml><?xml version="1.0" encoding="utf-8"?>
<table xmlns="http://schemas.openxmlformats.org/spreadsheetml/2006/main" ref="A1:R401" displayName="Table1_7" name="Table1_7" id="8">
  <tableColumns count="18">
    <tableColumn name="Column 1" id="1"/>
    <tableColumn name="file" id="2"/>
    <tableColumn name="vars" id="3"/>
    <tableColumn name="clauses" id="4"/>
    <tableColumn name="conflicts" id="5"/>
    <tableColumn name="learned" id="6"/>
    <tableColumn name="decisions" id="7"/>
    <tableColumn name="propagations" id="8"/>
    <tableColumn name="restarts" id="9"/>
    <tableColumn name="restarts unstable" id="10"/>
    <tableColumn name="restarts stable" id="11"/>
    <tableColumn name="learned avg, size" id="12"/>
    <tableColumn name="learnt stack avg" id="13"/>
    <tableColumn name="learnt stack stable counter" id="14"/>
    <tableColumn name="learnt stack unstable counter" id="15"/>
    <tableColumn name="answer" id="16"/>
    <tableColumn name="cpu time" id="17"/>
    <tableColumn name="PAR-2" id="18"/>
  </tableColumns>
  <tableStyleInfo name="11_301_2026-style" showColumnStripes="0" showFirstColumn="1" showLastColumn="1" showRowStripes="1"/>
</table>
</file>

<file path=xl/tables/table9.xml><?xml version="1.0" encoding="utf-8"?>
<table xmlns="http://schemas.openxmlformats.org/spreadsheetml/2006/main" ref="A1:T401" displayName="Table1_6" name="Table1_6" id="9">
  <tableColumns count="20">
    <tableColumn name="Column 1" id="1"/>
    <tableColumn name="file" id="2"/>
    <tableColumn name="vars" id="3"/>
    <tableColumn name="clauses" id="4"/>
    <tableColumn name="conflicts" id="5"/>
    <tableColumn name="learned" id="6"/>
    <tableColumn name="decisions" id="7"/>
    <tableColumn name="propagations" id="8"/>
    <tableColumn name="restarts" id="9"/>
    <tableColumn name="restarts unstable" id="10"/>
    <tableColumn name="restarts stable" id="11"/>
    <tableColumn name="learned avg, size" id="12"/>
    <tableColumn name="learnt stack avg" id="13"/>
    <tableColumn name="learnt stack stable counter" id="14"/>
    <tableColumn name="learnt stack unstable counter" id="15"/>
    <tableColumn name="answer" id="16"/>
    <tableColumn name="cpu time" id="17"/>
    <tableColumn name="PAR-2" id="18"/>
    <tableColumn name="Column 2" id="19"/>
    <tableColumn name="Column 3" id="20"/>
  </tableColumns>
  <tableStyleInfo name="Co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3" max="3" width="10.63"/>
    <col customWidth="1" min="4" max="4" width="12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ht="22.5" customHeight="1">
      <c r="B2" s="2" t="s">
        <v>5</v>
      </c>
      <c r="C2" s="2" t="s">
        <v>6</v>
      </c>
      <c r="D2" s="2">
        <v>0.88</v>
      </c>
      <c r="E2" s="3">
        <f t="shared" ref="E2:E401" si="1">IF(D2&gt;4800, 10000, D2)</f>
        <v>0.88</v>
      </c>
    </row>
    <row r="3" ht="22.5" customHeight="1">
      <c r="B3" s="2" t="s">
        <v>7</v>
      </c>
      <c r="C3" s="2" t="s">
        <v>6</v>
      </c>
      <c r="D3" s="2">
        <v>1.92</v>
      </c>
      <c r="E3" s="3">
        <f t="shared" si="1"/>
        <v>1.92</v>
      </c>
    </row>
    <row r="4" ht="22.5" customHeight="1">
      <c r="B4" s="2" t="s">
        <v>8</v>
      </c>
      <c r="C4" s="2" t="s">
        <v>9</v>
      </c>
      <c r="D4" s="2">
        <v>2.38</v>
      </c>
      <c r="E4" s="3">
        <f t="shared" si="1"/>
        <v>2.38</v>
      </c>
    </row>
    <row r="5" ht="22.5" customHeight="1">
      <c r="B5" s="2" t="s">
        <v>10</v>
      </c>
      <c r="C5" s="2" t="s">
        <v>6</v>
      </c>
      <c r="D5" s="2">
        <v>4.73</v>
      </c>
      <c r="E5" s="3">
        <f t="shared" si="1"/>
        <v>4.73</v>
      </c>
    </row>
    <row r="6" ht="22.5" customHeight="1">
      <c r="B6" s="2" t="s">
        <v>11</v>
      </c>
      <c r="C6" s="2" t="s">
        <v>6</v>
      </c>
      <c r="D6" s="2">
        <v>5.34</v>
      </c>
      <c r="E6" s="3">
        <f t="shared" si="1"/>
        <v>5.34</v>
      </c>
    </row>
    <row r="7" ht="22.5" customHeight="1">
      <c r="B7" s="2" t="s">
        <v>12</v>
      </c>
      <c r="C7" s="2" t="s">
        <v>6</v>
      </c>
      <c r="D7" s="2">
        <v>7.19</v>
      </c>
      <c r="E7" s="3">
        <f t="shared" si="1"/>
        <v>7.19</v>
      </c>
    </row>
    <row r="8" ht="22.5" customHeight="1">
      <c r="B8" s="2" t="s">
        <v>13</v>
      </c>
      <c r="C8" s="2" t="s">
        <v>6</v>
      </c>
      <c r="D8" s="2">
        <v>8.15</v>
      </c>
      <c r="E8" s="3">
        <f t="shared" si="1"/>
        <v>8.15</v>
      </c>
    </row>
    <row r="9" ht="22.5" customHeight="1">
      <c r="B9" s="2" t="s">
        <v>14</v>
      </c>
      <c r="C9" s="2" t="s">
        <v>6</v>
      </c>
      <c r="D9" s="2">
        <v>8.44</v>
      </c>
      <c r="E9" s="3">
        <f t="shared" si="1"/>
        <v>8.44</v>
      </c>
    </row>
    <row r="10" ht="22.5" customHeight="1">
      <c r="B10" s="2" t="s">
        <v>15</v>
      </c>
      <c r="C10" s="2" t="s">
        <v>6</v>
      </c>
      <c r="D10" s="2">
        <v>10.41</v>
      </c>
      <c r="E10" s="3">
        <f t="shared" si="1"/>
        <v>10.41</v>
      </c>
    </row>
    <row r="11" ht="22.5" customHeight="1">
      <c r="B11" s="2" t="s">
        <v>16</v>
      </c>
      <c r="C11" s="2" t="s">
        <v>9</v>
      </c>
      <c r="D11" s="2">
        <v>10.88</v>
      </c>
      <c r="E11" s="3">
        <f t="shared" si="1"/>
        <v>10.88</v>
      </c>
    </row>
    <row r="12" ht="22.5" customHeight="1">
      <c r="B12" s="2" t="s">
        <v>17</v>
      </c>
      <c r="C12" s="2" t="s">
        <v>6</v>
      </c>
      <c r="D12" s="2">
        <v>11.78</v>
      </c>
      <c r="E12" s="3">
        <f t="shared" si="1"/>
        <v>11.78</v>
      </c>
    </row>
    <row r="13" ht="22.5" customHeight="1">
      <c r="B13" s="2" t="s">
        <v>18</v>
      </c>
      <c r="C13" s="2" t="s">
        <v>9</v>
      </c>
      <c r="D13" s="2">
        <v>14.56</v>
      </c>
      <c r="E13" s="3">
        <f t="shared" si="1"/>
        <v>14.56</v>
      </c>
    </row>
    <row r="14" ht="22.5" customHeight="1">
      <c r="B14" s="2" t="s">
        <v>19</v>
      </c>
      <c r="C14" s="2" t="s">
        <v>9</v>
      </c>
      <c r="D14" s="2">
        <v>14.67</v>
      </c>
      <c r="E14" s="3">
        <f t="shared" si="1"/>
        <v>14.67</v>
      </c>
    </row>
    <row r="15" ht="22.5" customHeight="1">
      <c r="B15" s="2" t="s">
        <v>20</v>
      </c>
      <c r="C15" s="2" t="s">
        <v>6</v>
      </c>
      <c r="D15" s="2">
        <v>14.74</v>
      </c>
      <c r="E15" s="3">
        <f t="shared" si="1"/>
        <v>14.74</v>
      </c>
    </row>
    <row r="16" ht="22.5" customHeight="1">
      <c r="B16" s="2" t="s">
        <v>21</v>
      </c>
      <c r="C16" s="2" t="s">
        <v>9</v>
      </c>
      <c r="D16" s="2">
        <v>15.49</v>
      </c>
      <c r="E16" s="3">
        <f t="shared" si="1"/>
        <v>15.49</v>
      </c>
    </row>
    <row r="17" ht="22.5" customHeight="1">
      <c r="B17" s="2" t="s">
        <v>22</v>
      </c>
      <c r="C17" s="2" t="s">
        <v>6</v>
      </c>
      <c r="D17" s="2">
        <v>15.9</v>
      </c>
      <c r="E17" s="3">
        <f t="shared" si="1"/>
        <v>15.9</v>
      </c>
    </row>
    <row r="18" ht="22.5" customHeight="1">
      <c r="B18" s="2" t="s">
        <v>23</v>
      </c>
      <c r="C18" s="2" t="s">
        <v>6</v>
      </c>
      <c r="D18" s="2">
        <v>16.89</v>
      </c>
      <c r="E18" s="3">
        <f t="shared" si="1"/>
        <v>16.89</v>
      </c>
    </row>
    <row r="19" ht="22.5" customHeight="1">
      <c r="B19" s="2" t="s">
        <v>24</v>
      </c>
      <c r="C19" s="2" t="s">
        <v>6</v>
      </c>
      <c r="D19" s="2">
        <v>20.09</v>
      </c>
      <c r="E19" s="3">
        <f t="shared" si="1"/>
        <v>20.09</v>
      </c>
    </row>
    <row r="20" ht="22.5" customHeight="1">
      <c r="B20" s="2" t="s">
        <v>25</v>
      </c>
      <c r="C20" s="2" t="s">
        <v>9</v>
      </c>
      <c r="D20" s="2">
        <v>20.47</v>
      </c>
      <c r="E20" s="3">
        <f t="shared" si="1"/>
        <v>20.47</v>
      </c>
    </row>
    <row r="21" ht="22.5" customHeight="1">
      <c r="B21" s="2" t="s">
        <v>26</v>
      </c>
      <c r="C21" s="2" t="s">
        <v>9</v>
      </c>
      <c r="D21" s="2">
        <v>20.48</v>
      </c>
      <c r="E21" s="3">
        <f t="shared" si="1"/>
        <v>20.48</v>
      </c>
    </row>
    <row r="22" ht="22.5" customHeight="1">
      <c r="B22" s="2" t="s">
        <v>27</v>
      </c>
      <c r="C22" s="2" t="s">
        <v>6</v>
      </c>
      <c r="D22" s="2">
        <v>21.2</v>
      </c>
      <c r="E22" s="3">
        <f t="shared" si="1"/>
        <v>21.2</v>
      </c>
    </row>
    <row r="23" ht="22.5" customHeight="1">
      <c r="B23" s="2" t="s">
        <v>28</v>
      </c>
      <c r="C23" s="2" t="s">
        <v>6</v>
      </c>
      <c r="D23" s="2">
        <v>22.8</v>
      </c>
      <c r="E23" s="3">
        <f t="shared" si="1"/>
        <v>22.8</v>
      </c>
    </row>
    <row r="24" ht="22.5" customHeight="1">
      <c r="B24" s="2" t="s">
        <v>29</v>
      </c>
      <c r="C24" s="2" t="s">
        <v>6</v>
      </c>
      <c r="D24" s="2">
        <v>24.96</v>
      </c>
      <c r="E24" s="3">
        <f t="shared" si="1"/>
        <v>24.96</v>
      </c>
    </row>
    <row r="25" ht="22.5" customHeight="1">
      <c r="B25" s="2" t="s">
        <v>30</v>
      </c>
      <c r="C25" s="2" t="s">
        <v>6</v>
      </c>
      <c r="D25" s="2">
        <v>27.57</v>
      </c>
      <c r="E25" s="3">
        <f t="shared" si="1"/>
        <v>27.57</v>
      </c>
    </row>
    <row r="26" ht="22.5" customHeight="1">
      <c r="B26" s="2" t="s">
        <v>31</v>
      </c>
      <c r="C26" s="2" t="s">
        <v>6</v>
      </c>
      <c r="D26" s="2">
        <v>28.57</v>
      </c>
      <c r="E26" s="3">
        <f t="shared" si="1"/>
        <v>28.57</v>
      </c>
    </row>
    <row r="27" ht="22.5" customHeight="1">
      <c r="B27" s="2" t="s">
        <v>32</v>
      </c>
      <c r="C27" s="2" t="s">
        <v>6</v>
      </c>
      <c r="D27" s="2">
        <v>28.99</v>
      </c>
      <c r="E27" s="3">
        <f t="shared" si="1"/>
        <v>28.99</v>
      </c>
    </row>
    <row r="28" ht="22.5" customHeight="1">
      <c r="B28" s="2" t="s">
        <v>33</v>
      </c>
      <c r="C28" s="2" t="s">
        <v>6</v>
      </c>
      <c r="D28" s="2">
        <v>29.33</v>
      </c>
      <c r="E28" s="3">
        <f t="shared" si="1"/>
        <v>29.33</v>
      </c>
    </row>
    <row r="29" ht="22.5" customHeight="1">
      <c r="B29" s="2" t="s">
        <v>34</v>
      </c>
      <c r="C29" s="2" t="s">
        <v>9</v>
      </c>
      <c r="D29" s="2">
        <v>30.03</v>
      </c>
      <c r="E29" s="3">
        <f t="shared" si="1"/>
        <v>30.03</v>
      </c>
    </row>
    <row r="30" ht="22.5" customHeight="1">
      <c r="B30" s="2" t="s">
        <v>35</v>
      </c>
      <c r="C30" s="2" t="s">
        <v>6</v>
      </c>
      <c r="D30" s="2">
        <v>32.77</v>
      </c>
      <c r="E30" s="3">
        <f t="shared" si="1"/>
        <v>32.77</v>
      </c>
    </row>
    <row r="31" ht="22.5" customHeight="1">
      <c r="B31" s="2" t="s">
        <v>36</v>
      </c>
      <c r="C31" s="2" t="s">
        <v>6</v>
      </c>
      <c r="D31" s="2">
        <v>35.08</v>
      </c>
      <c r="E31" s="3">
        <f t="shared" si="1"/>
        <v>35.08</v>
      </c>
    </row>
    <row r="32" ht="22.5" customHeight="1">
      <c r="B32" s="2" t="s">
        <v>37</v>
      </c>
      <c r="C32" s="2" t="s">
        <v>6</v>
      </c>
      <c r="D32" s="2">
        <v>36.34</v>
      </c>
      <c r="E32" s="3">
        <f t="shared" si="1"/>
        <v>36.34</v>
      </c>
    </row>
    <row r="33" ht="22.5" customHeight="1">
      <c r="B33" s="2" t="s">
        <v>38</v>
      </c>
      <c r="C33" s="2" t="s">
        <v>6</v>
      </c>
      <c r="D33" s="2">
        <v>38.89</v>
      </c>
      <c r="E33" s="3">
        <f t="shared" si="1"/>
        <v>38.89</v>
      </c>
    </row>
    <row r="34" ht="22.5" customHeight="1">
      <c r="B34" s="2" t="s">
        <v>39</v>
      </c>
      <c r="C34" s="2" t="s">
        <v>9</v>
      </c>
      <c r="D34" s="2">
        <v>40.41</v>
      </c>
      <c r="E34" s="3">
        <f t="shared" si="1"/>
        <v>40.41</v>
      </c>
    </row>
    <row r="35" ht="22.5" customHeight="1">
      <c r="B35" s="2" t="s">
        <v>40</v>
      </c>
      <c r="C35" s="2" t="s">
        <v>9</v>
      </c>
      <c r="D35" s="2">
        <v>42.39</v>
      </c>
      <c r="E35" s="3">
        <f t="shared" si="1"/>
        <v>42.39</v>
      </c>
    </row>
    <row r="36" ht="22.5" customHeight="1">
      <c r="B36" s="2" t="s">
        <v>41</v>
      </c>
      <c r="C36" s="2" t="s">
        <v>6</v>
      </c>
      <c r="D36" s="2">
        <v>43.4</v>
      </c>
      <c r="E36" s="3">
        <f t="shared" si="1"/>
        <v>43.4</v>
      </c>
    </row>
    <row r="37" ht="22.5" customHeight="1">
      <c r="B37" s="2" t="s">
        <v>42</v>
      </c>
      <c r="C37" s="2" t="s">
        <v>6</v>
      </c>
      <c r="D37" s="2">
        <v>44.23</v>
      </c>
      <c r="E37" s="3">
        <f t="shared" si="1"/>
        <v>44.23</v>
      </c>
    </row>
    <row r="38" ht="22.5" customHeight="1">
      <c r="B38" s="2" t="s">
        <v>43</v>
      </c>
      <c r="C38" s="2" t="s">
        <v>9</v>
      </c>
      <c r="D38" s="2">
        <v>45.24</v>
      </c>
      <c r="E38" s="3">
        <f t="shared" si="1"/>
        <v>45.24</v>
      </c>
    </row>
    <row r="39" ht="22.5" customHeight="1">
      <c r="B39" s="2" t="s">
        <v>44</v>
      </c>
      <c r="C39" s="2" t="s">
        <v>6</v>
      </c>
      <c r="D39" s="2">
        <v>45.29</v>
      </c>
      <c r="E39" s="3">
        <f t="shared" si="1"/>
        <v>45.29</v>
      </c>
    </row>
    <row r="40" ht="22.5" customHeight="1">
      <c r="B40" s="2" t="s">
        <v>45</v>
      </c>
      <c r="C40" s="2" t="s">
        <v>6</v>
      </c>
      <c r="D40" s="2">
        <v>59.24</v>
      </c>
      <c r="E40" s="3">
        <f t="shared" si="1"/>
        <v>59.24</v>
      </c>
    </row>
    <row r="41" ht="22.5" customHeight="1">
      <c r="B41" s="2" t="s">
        <v>46</v>
      </c>
      <c r="C41" s="2" t="s">
        <v>6</v>
      </c>
      <c r="D41" s="2">
        <v>61.51</v>
      </c>
      <c r="E41" s="3">
        <f t="shared" si="1"/>
        <v>61.51</v>
      </c>
    </row>
    <row r="42" ht="22.5" customHeight="1">
      <c r="B42" s="2" t="s">
        <v>47</v>
      </c>
      <c r="C42" s="2" t="s">
        <v>6</v>
      </c>
      <c r="D42" s="2">
        <v>71.21</v>
      </c>
      <c r="E42" s="3">
        <f t="shared" si="1"/>
        <v>71.21</v>
      </c>
    </row>
    <row r="43" ht="22.5" customHeight="1">
      <c r="B43" s="2" t="s">
        <v>48</v>
      </c>
      <c r="C43" s="2" t="s">
        <v>6</v>
      </c>
      <c r="D43" s="2">
        <v>72.1</v>
      </c>
      <c r="E43" s="3">
        <f t="shared" si="1"/>
        <v>72.1</v>
      </c>
    </row>
    <row r="44" ht="22.5" customHeight="1">
      <c r="B44" s="2" t="s">
        <v>49</v>
      </c>
      <c r="C44" s="2" t="s">
        <v>6</v>
      </c>
      <c r="D44" s="2">
        <v>74.41</v>
      </c>
      <c r="E44" s="3">
        <f t="shared" si="1"/>
        <v>74.41</v>
      </c>
    </row>
    <row r="45" ht="22.5" customHeight="1">
      <c r="B45" s="2" t="s">
        <v>50</v>
      </c>
      <c r="C45" s="2" t="s">
        <v>6</v>
      </c>
      <c r="D45" s="2">
        <v>76.49</v>
      </c>
      <c r="E45" s="3">
        <f t="shared" si="1"/>
        <v>76.49</v>
      </c>
    </row>
    <row r="46" ht="22.5" customHeight="1">
      <c r="B46" s="2" t="s">
        <v>51</v>
      </c>
      <c r="C46" s="2" t="s">
        <v>6</v>
      </c>
      <c r="D46" s="2">
        <v>78.68</v>
      </c>
      <c r="E46" s="3">
        <f t="shared" si="1"/>
        <v>78.68</v>
      </c>
    </row>
    <row r="47" ht="22.5" customHeight="1">
      <c r="B47" s="2" t="s">
        <v>52</v>
      </c>
      <c r="C47" s="2" t="s">
        <v>6</v>
      </c>
      <c r="D47" s="2">
        <v>80.65</v>
      </c>
      <c r="E47" s="3">
        <f t="shared" si="1"/>
        <v>80.65</v>
      </c>
    </row>
    <row r="48" ht="22.5" customHeight="1">
      <c r="B48" s="2" t="s">
        <v>53</v>
      </c>
      <c r="C48" s="2" t="s">
        <v>9</v>
      </c>
      <c r="D48" s="2">
        <v>83.88</v>
      </c>
      <c r="E48" s="3">
        <f t="shared" si="1"/>
        <v>83.88</v>
      </c>
    </row>
    <row r="49" ht="22.5" customHeight="1">
      <c r="B49" s="2" t="s">
        <v>54</v>
      </c>
      <c r="C49" s="2" t="s">
        <v>6</v>
      </c>
      <c r="D49" s="2">
        <v>90.45</v>
      </c>
      <c r="E49" s="3">
        <f t="shared" si="1"/>
        <v>90.45</v>
      </c>
    </row>
    <row r="50" ht="22.5" customHeight="1">
      <c r="B50" s="2" t="s">
        <v>55</v>
      </c>
      <c r="C50" s="2" t="s">
        <v>6</v>
      </c>
      <c r="D50" s="2">
        <v>91.31</v>
      </c>
      <c r="E50" s="3">
        <f t="shared" si="1"/>
        <v>91.31</v>
      </c>
    </row>
    <row r="51" ht="22.5" customHeight="1">
      <c r="B51" s="2" t="s">
        <v>56</v>
      </c>
      <c r="C51" s="2" t="s">
        <v>6</v>
      </c>
      <c r="D51" s="2">
        <v>93.97</v>
      </c>
      <c r="E51" s="3">
        <f t="shared" si="1"/>
        <v>93.97</v>
      </c>
    </row>
    <row r="52" ht="22.5" customHeight="1">
      <c r="B52" s="2" t="s">
        <v>57</v>
      </c>
      <c r="C52" s="2" t="s">
        <v>9</v>
      </c>
      <c r="D52" s="2">
        <v>94.32</v>
      </c>
      <c r="E52" s="3">
        <f t="shared" si="1"/>
        <v>94.32</v>
      </c>
    </row>
    <row r="53" ht="22.5" customHeight="1">
      <c r="B53" s="2" t="s">
        <v>58</v>
      </c>
      <c r="C53" s="2" t="s">
        <v>6</v>
      </c>
      <c r="D53" s="2">
        <v>95.77</v>
      </c>
      <c r="E53" s="3">
        <f t="shared" si="1"/>
        <v>95.77</v>
      </c>
    </row>
    <row r="54" ht="22.5" customHeight="1">
      <c r="B54" s="2" t="s">
        <v>59</v>
      </c>
      <c r="C54" s="2" t="s">
        <v>6</v>
      </c>
      <c r="D54" s="2">
        <v>99.07</v>
      </c>
      <c r="E54" s="3">
        <f t="shared" si="1"/>
        <v>99.07</v>
      </c>
    </row>
    <row r="55" ht="22.5" customHeight="1">
      <c r="B55" s="2" t="s">
        <v>60</v>
      </c>
      <c r="C55" s="2" t="s">
        <v>6</v>
      </c>
      <c r="D55" s="2">
        <v>113.76</v>
      </c>
      <c r="E55" s="3">
        <f t="shared" si="1"/>
        <v>113.76</v>
      </c>
    </row>
    <row r="56" ht="22.5" customHeight="1">
      <c r="B56" s="2" t="s">
        <v>61</v>
      </c>
      <c r="C56" s="2" t="s">
        <v>6</v>
      </c>
      <c r="D56" s="2">
        <v>114.47</v>
      </c>
      <c r="E56" s="3">
        <f t="shared" si="1"/>
        <v>114.47</v>
      </c>
    </row>
    <row r="57" ht="22.5" customHeight="1">
      <c r="B57" s="2" t="s">
        <v>62</v>
      </c>
      <c r="C57" s="2" t="s">
        <v>6</v>
      </c>
      <c r="D57" s="2">
        <v>116.71</v>
      </c>
      <c r="E57" s="3">
        <f t="shared" si="1"/>
        <v>116.71</v>
      </c>
    </row>
    <row r="58" ht="22.5" customHeight="1">
      <c r="B58" s="2" t="s">
        <v>63</v>
      </c>
      <c r="C58" s="2" t="s">
        <v>9</v>
      </c>
      <c r="D58" s="2">
        <v>124.13</v>
      </c>
      <c r="E58" s="3">
        <f t="shared" si="1"/>
        <v>124.13</v>
      </c>
    </row>
    <row r="59" ht="22.5" customHeight="1">
      <c r="B59" s="2" t="s">
        <v>64</v>
      </c>
      <c r="C59" s="2" t="s">
        <v>9</v>
      </c>
      <c r="D59" s="2">
        <v>128.53</v>
      </c>
      <c r="E59" s="3">
        <f t="shared" si="1"/>
        <v>128.53</v>
      </c>
    </row>
    <row r="60" ht="22.5" customHeight="1">
      <c r="B60" s="2" t="s">
        <v>65</v>
      </c>
      <c r="C60" s="2" t="s">
        <v>9</v>
      </c>
      <c r="D60" s="2">
        <v>129.68</v>
      </c>
      <c r="E60" s="3">
        <f t="shared" si="1"/>
        <v>129.68</v>
      </c>
    </row>
    <row r="61" ht="22.5" customHeight="1">
      <c r="B61" s="2" t="s">
        <v>66</v>
      </c>
      <c r="C61" s="2" t="s">
        <v>6</v>
      </c>
      <c r="D61" s="2">
        <v>133.65</v>
      </c>
      <c r="E61" s="3">
        <f t="shared" si="1"/>
        <v>133.65</v>
      </c>
    </row>
    <row r="62" ht="22.5" customHeight="1">
      <c r="B62" s="2" t="s">
        <v>67</v>
      </c>
      <c r="C62" s="2" t="s">
        <v>6</v>
      </c>
      <c r="D62" s="2">
        <v>136.3</v>
      </c>
      <c r="E62" s="3">
        <f t="shared" si="1"/>
        <v>136.3</v>
      </c>
    </row>
    <row r="63" ht="22.5" customHeight="1">
      <c r="B63" s="2" t="s">
        <v>68</v>
      </c>
      <c r="C63" s="2" t="s">
        <v>6</v>
      </c>
      <c r="D63" s="2">
        <v>136.79</v>
      </c>
      <c r="E63" s="3">
        <f t="shared" si="1"/>
        <v>136.79</v>
      </c>
    </row>
    <row r="64" ht="22.5" customHeight="1">
      <c r="B64" s="2" t="s">
        <v>69</v>
      </c>
      <c r="C64" s="2" t="s">
        <v>6</v>
      </c>
      <c r="D64" s="2">
        <v>138.56</v>
      </c>
      <c r="E64" s="3">
        <f t="shared" si="1"/>
        <v>138.56</v>
      </c>
    </row>
    <row r="65" ht="22.5" customHeight="1">
      <c r="B65" s="2" t="s">
        <v>70</v>
      </c>
      <c r="C65" s="2" t="s">
        <v>6</v>
      </c>
      <c r="D65" s="2">
        <v>140.53</v>
      </c>
      <c r="E65" s="3">
        <f t="shared" si="1"/>
        <v>140.53</v>
      </c>
    </row>
    <row r="66" ht="22.5" customHeight="1">
      <c r="B66" s="2" t="s">
        <v>71</v>
      </c>
      <c r="C66" s="2" t="s">
        <v>6</v>
      </c>
      <c r="D66" s="2">
        <v>141.98</v>
      </c>
      <c r="E66" s="3">
        <f t="shared" si="1"/>
        <v>141.98</v>
      </c>
    </row>
    <row r="67" ht="22.5" customHeight="1">
      <c r="B67" s="2" t="s">
        <v>72</v>
      </c>
      <c r="C67" s="2" t="s">
        <v>6</v>
      </c>
      <c r="D67" s="2">
        <v>152.02</v>
      </c>
      <c r="E67" s="3">
        <f t="shared" si="1"/>
        <v>152.02</v>
      </c>
    </row>
    <row r="68" ht="22.5" customHeight="1">
      <c r="B68" s="2" t="s">
        <v>73</v>
      </c>
      <c r="C68" s="2" t="s">
        <v>6</v>
      </c>
      <c r="D68" s="2">
        <v>152.81</v>
      </c>
      <c r="E68" s="3">
        <f t="shared" si="1"/>
        <v>152.81</v>
      </c>
    </row>
    <row r="69" ht="22.5" customHeight="1">
      <c r="B69" s="2" t="s">
        <v>74</v>
      </c>
      <c r="C69" s="2" t="s">
        <v>9</v>
      </c>
      <c r="D69" s="2">
        <v>153.93</v>
      </c>
      <c r="E69" s="3">
        <f t="shared" si="1"/>
        <v>153.93</v>
      </c>
    </row>
    <row r="70" ht="22.5" customHeight="1">
      <c r="B70" s="2" t="s">
        <v>75</v>
      </c>
      <c r="C70" s="2" t="s">
        <v>6</v>
      </c>
      <c r="D70" s="2">
        <v>154.76</v>
      </c>
      <c r="E70" s="3">
        <f t="shared" si="1"/>
        <v>154.76</v>
      </c>
    </row>
    <row r="71" ht="22.5" customHeight="1">
      <c r="B71" s="2" t="s">
        <v>76</v>
      </c>
      <c r="C71" s="2" t="s">
        <v>6</v>
      </c>
      <c r="D71" s="2">
        <v>166.83</v>
      </c>
      <c r="E71" s="3">
        <f t="shared" si="1"/>
        <v>166.83</v>
      </c>
    </row>
    <row r="72" ht="22.5" customHeight="1">
      <c r="B72" s="2" t="s">
        <v>77</v>
      </c>
      <c r="C72" s="2" t="s">
        <v>9</v>
      </c>
      <c r="D72" s="2">
        <v>167.28</v>
      </c>
      <c r="E72" s="3">
        <f t="shared" si="1"/>
        <v>167.28</v>
      </c>
    </row>
    <row r="73" ht="22.5" customHeight="1">
      <c r="B73" s="2" t="s">
        <v>78</v>
      </c>
      <c r="C73" s="2" t="s">
        <v>6</v>
      </c>
      <c r="D73" s="2">
        <v>168.97</v>
      </c>
      <c r="E73" s="3">
        <f t="shared" si="1"/>
        <v>168.97</v>
      </c>
    </row>
    <row r="74" ht="22.5" customHeight="1">
      <c r="B74" s="2" t="s">
        <v>79</v>
      </c>
      <c r="C74" s="2" t="s">
        <v>9</v>
      </c>
      <c r="D74" s="2">
        <v>175.45</v>
      </c>
      <c r="E74" s="3">
        <f t="shared" si="1"/>
        <v>175.45</v>
      </c>
    </row>
    <row r="75" ht="22.5" customHeight="1">
      <c r="B75" s="2" t="s">
        <v>80</v>
      </c>
      <c r="C75" s="2" t="s">
        <v>9</v>
      </c>
      <c r="D75" s="2">
        <v>182.31</v>
      </c>
      <c r="E75" s="3">
        <f t="shared" si="1"/>
        <v>182.31</v>
      </c>
    </row>
    <row r="76" ht="22.5" customHeight="1">
      <c r="B76" s="2" t="s">
        <v>81</v>
      </c>
      <c r="C76" s="2" t="s">
        <v>6</v>
      </c>
      <c r="D76" s="2">
        <v>185.15</v>
      </c>
      <c r="E76" s="3">
        <f t="shared" si="1"/>
        <v>185.15</v>
      </c>
    </row>
    <row r="77" ht="22.5" customHeight="1">
      <c r="B77" s="2" t="s">
        <v>82</v>
      </c>
      <c r="C77" s="2" t="s">
        <v>6</v>
      </c>
      <c r="D77" s="2">
        <v>185.53</v>
      </c>
      <c r="E77" s="3">
        <f t="shared" si="1"/>
        <v>185.53</v>
      </c>
    </row>
    <row r="78" ht="22.5" customHeight="1">
      <c r="B78" s="2" t="s">
        <v>83</v>
      </c>
      <c r="C78" s="2" t="s">
        <v>6</v>
      </c>
      <c r="D78" s="2">
        <v>186.74</v>
      </c>
      <c r="E78" s="3">
        <f t="shared" si="1"/>
        <v>186.74</v>
      </c>
    </row>
    <row r="79" ht="22.5" customHeight="1">
      <c r="B79" s="2" t="s">
        <v>84</v>
      </c>
      <c r="C79" s="2" t="s">
        <v>9</v>
      </c>
      <c r="D79" s="2">
        <v>188.21</v>
      </c>
      <c r="E79" s="3">
        <f t="shared" si="1"/>
        <v>188.21</v>
      </c>
    </row>
    <row r="80" ht="22.5" customHeight="1">
      <c r="B80" s="2" t="s">
        <v>85</v>
      </c>
      <c r="C80" s="2" t="s">
        <v>6</v>
      </c>
      <c r="D80" s="2">
        <v>189.99</v>
      </c>
      <c r="E80" s="3">
        <f t="shared" si="1"/>
        <v>189.99</v>
      </c>
    </row>
    <row r="81" ht="22.5" customHeight="1">
      <c r="B81" s="2" t="s">
        <v>86</v>
      </c>
      <c r="C81" s="2" t="s">
        <v>9</v>
      </c>
      <c r="D81" s="2">
        <v>197.05</v>
      </c>
      <c r="E81" s="3">
        <f t="shared" si="1"/>
        <v>197.05</v>
      </c>
    </row>
    <row r="82" ht="22.5" customHeight="1">
      <c r="B82" s="2" t="s">
        <v>87</v>
      </c>
      <c r="C82" s="2" t="s">
        <v>9</v>
      </c>
      <c r="D82" s="2">
        <v>197.15</v>
      </c>
      <c r="E82" s="3">
        <f t="shared" si="1"/>
        <v>197.15</v>
      </c>
    </row>
    <row r="83" ht="22.5" customHeight="1">
      <c r="B83" s="2" t="s">
        <v>88</v>
      </c>
      <c r="C83" s="2" t="s">
        <v>6</v>
      </c>
      <c r="D83" s="2">
        <v>198.35</v>
      </c>
      <c r="E83" s="3">
        <f t="shared" si="1"/>
        <v>198.35</v>
      </c>
    </row>
    <row r="84" ht="22.5" customHeight="1">
      <c r="B84" s="2" t="s">
        <v>89</v>
      </c>
      <c r="C84" s="2" t="s">
        <v>6</v>
      </c>
      <c r="D84" s="2">
        <v>200.21</v>
      </c>
      <c r="E84" s="3">
        <f t="shared" si="1"/>
        <v>200.21</v>
      </c>
    </row>
    <row r="85" ht="22.5" customHeight="1">
      <c r="B85" s="2" t="s">
        <v>90</v>
      </c>
      <c r="C85" s="2" t="s">
        <v>6</v>
      </c>
      <c r="D85" s="2">
        <v>203.83</v>
      </c>
      <c r="E85" s="3">
        <f t="shared" si="1"/>
        <v>203.83</v>
      </c>
    </row>
    <row r="86" ht="22.5" customHeight="1">
      <c r="B86" s="2" t="s">
        <v>91</v>
      </c>
      <c r="C86" s="2" t="s">
        <v>9</v>
      </c>
      <c r="D86" s="2">
        <v>206.02</v>
      </c>
      <c r="E86" s="3">
        <f t="shared" si="1"/>
        <v>206.02</v>
      </c>
    </row>
    <row r="87" ht="22.5" customHeight="1">
      <c r="B87" s="2" t="s">
        <v>92</v>
      </c>
      <c r="C87" s="2" t="s">
        <v>9</v>
      </c>
      <c r="D87" s="2">
        <v>206.96</v>
      </c>
      <c r="E87" s="3">
        <f t="shared" si="1"/>
        <v>206.96</v>
      </c>
    </row>
    <row r="88" ht="22.5" customHeight="1">
      <c r="B88" s="2" t="s">
        <v>93</v>
      </c>
      <c r="C88" s="2" t="s">
        <v>6</v>
      </c>
      <c r="D88" s="2">
        <v>209.92</v>
      </c>
      <c r="E88" s="3">
        <f t="shared" si="1"/>
        <v>209.92</v>
      </c>
    </row>
    <row r="89" ht="22.5" customHeight="1">
      <c r="B89" s="2" t="s">
        <v>94</v>
      </c>
      <c r="C89" s="2" t="s">
        <v>6</v>
      </c>
      <c r="D89" s="2">
        <v>213.3</v>
      </c>
      <c r="E89" s="3">
        <f t="shared" si="1"/>
        <v>213.3</v>
      </c>
    </row>
    <row r="90" ht="22.5" customHeight="1">
      <c r="B90" s="2" t="s">
        <v>95</v>
      </c>
      <c r="C90" s="2" t="s">
        <v>6</v>
      </c>
      <c r="D90" s="2">
        <v>216.93</v>
      </c>
      <c r="E90" s="3">
        <f t="shared" si="1"/>
        <v>216.93</v>
      </c>
    </row>
    <row r="91" ht="22.5" customHeight="1">
      <c r="B91" s="2" t="s">
        <v>96</v>
      </c>
      <c r="C91" s="2" t="s">
        <v>6</v>
      </c>
      <c r="D91" s="2">
        <v>219.99</v>
      </c>
      <c r="E91" s="3">
        <f t="shared" si="1"/>
        <v>219.99</v>
      </c>
    </row>
    <row r="92" ht="22.5" customHeight="1">
      <c r="B92" s="2" t="s">
        <v>97</v>
      </c>
      <c r="C92" s="2" t="s">
        <v>9</v>
      </c>
      <c r="D92" s="2">
        <v>220.61</v>
      </c>
      <c r="E92" s="3">
        <f t="shared" si="1"/>
        <v>220.61</v>
      </c>
    </row>
    <row r="93" ht="22.5" customHeight="1">
      <c r="B93" s="2" t="s">
        <v>98</v>
      </c>
      <c r="C93" s="2" t="s">
        <v>6</v>
      </c>
      <c r="D93" s="2">
        <v>221.99</v>
      </c>
      <c r="E93" s="3">
        <f t="shared" si="1"/>
        <v>221.99</v>
      </c>
    </row>
    <row r="94" ht="22.5" customHeight="1">
      <c r="B94" s="2" t="s">
        <v>99</v>
      </c>
      <c r="C94" s="2" t="s">
        <v>9</v>
      </c>
      <c r="D94" s="2">
        <v>226.31</v>
      </c>
      <c r="E94" s="3">
        <f t="shared" si="1"/>
        <v>226.31</v>
      </c>
    </row>
    <row r="95" ht="22.5" customHeight="1">
      <c r="B95" s="2" t="s">
        <v>100</v>
      </c>
      <c r="C95" s="2" t="s">
        <v>6</v>
      </c>
      <c r="D95" s="2">
        <v>227.21</v>
      </c>
      <c r="E95" s="3">
        <f t="shared" si="1"/>
        <v>227.21</v>
      </c>
    </row>
    <row r="96" ht="22.5" customHeight="1">
      <c r="B96" s="2" t="s">
        <v>101</v>
      </c>
      <c r="C96" s="2" t="s">
        <v>9</v>
      </c>
      <c r="D96" s="2">
        <v>232.54</v>
      </c>
      <c r="E96" s="3">
        <f t="shared" si="1"/>
        <v>232.54</v>
      </c>
    </row>
    <row r="97" ht="22.5" customHeight="1">
      <c r="B97" s="2" t="s">
        <v>102</v>
      </c>
      <c r="C97" s="2" t="s">
        <v>9</v>
      </c>
      <c r="D97" s="2">
        <v>242.78</v>
      </c>
      <c r="E97" s="3">
        <f t="shared" si="1"/>
        <v>242.78</v>
      </c>
    </row>
    <row r="98" ht="22.5" customHeight="1">
      <c r="B98" s="2" t="s">
        <v>103</v>
      </c>
      <c r="C98" s="2" t="s">
        <v>9</v>
      </c>
      <c r="D98" s="2">
        <v>243.82</v>
      </c>
      <c r="E98" s="3">
        <f t="shared" si="1"/>
        <v>243.82</v>
      </c>
    </row>
    <row r="99" ht="22.5" customHeight="1">
      <c r="B99" s="2" t="s">
        <v>104</v>
      </c>
      <c r="C99" s="2" t="s">
        <v>9</v>
      </c>
      <c r="D99" s="2">
        <v>252.62</v>
      </c>
      <c r="E99" s="3">
        <f t="shared" si="1"/>
        <v>252.62</v>
      </c>
    </row>
    <row r="100" ht="22.5" customHeight="1">
      <c r="B100" s="2" t="s">
        <v>105</v>
      </c>
      <c r="C100" s="2" t="s">
        <v>6</v>
      </c>
      <c r="D100" s="2">
        <v>252.94</v>
      </c>
      <c r="E100" s="3">
        <f t="shared" si="1"/>
        <v>252.94</v>
      </c>
    </row>
    <row r="101" ht="22.5" customHeight="1">
      <c r="B101" s="2" t="s">
        <v>106</v>
      </c>
      <c r="C101" s="2" t="s">
        <v>6</v>
      </c>
      <c r="D101" s="2">
        <v>254.1</v>
      </c>
      <c r="E101" s="3">
        <f t="shared" si="1"/>
        <v>254.1</v>
      </c>
    </row>
    <row r="102" ht="22.5" customHeight="1">
      <c r="B102" s="2" t="s">
        <v>107</v>
      </c>
      <c r="C102" s="2" t="s">
        <v>6</v>
      </c>
      <c r="D102" s="2">
        <v>257.0</v>
      </c>
      <c r="E102" s="3">
        <f t="shared" si="1"/>
        <v>257</v>
      </c>
    </row>
    <row r="103" ht="22.5" customHeight="1">
      <c r="B103" s="2" t="s">
        <v>108</v>
      </c>
      <c r="C103" s="2" t="s">
        <v>6</v>
      </c>
      <c r="D103" s="2">
        <v>263.06</v>
      </c>
      <c r="E103" s="3">
        <f t="shared" si="1"/>
        <v>263.06</v>
      </c>
    </row>
    <row r="104" ht="22.5" customHeight="1">
      <c r="B104" s="2" t="s">
        <v>109</v>
      </c>
      <c r="C104" s="2" t="s">
        <v>9</v>
      </c>
      <c r="D104" s="2">
        <v>264.21</v>
      </c>
      <c r="E104" s="3">
        <f t="shared" si="1"/>
        <v>264.21</v>
      </c>
    </row>
    <row r="105" ht="22.5" customHeight="1">
      <c r="B105" s="2" t="s">
        <v>110</v>
      </c>
      <c r="C105" s="2" t="s">
        <v>6</v>
      </c>
      <c r="D105" s="2">
        <v>267.82</v>
      </c>
      <c r="E105" s="3">
        <f t="shared" si="1"/>
        <v>267.82</v>
      </c>
    </row>
    <row r="106" ht="22.5" customHeight="1">
      <c r="B106" s="2" t="s">
        <v>111</v>
      </c>
      <c r="C106" s="2" t="s">
        <v>6</v>
      </c>
      <c r="D106" s="2">
        <v>275.15</v>
      </c>
      <c r="E106" s="3">
        <f t="shared" si="1"/>
        <v>275.15</v>
      </c>
    </row>
    <row r="107" ht="22.5" customHeight="1">
      <c r="B107" s="2" t="s">
        <v>112</v>
      </c>
      <c r="C107" s="2" t="s">
        <v>9</v>
      </c>
      <c r="D107" s="2">
        <v>276.16</v>
      </c>
      <c r="E107" s="3">
        <f t="shared" si="1"/>
        <v>276.16</v>
      </c>
    </row>
    <row r="108" ht="22.5" customHeight="1">
      <c r="B108" s="2" t="s">
        <v>113</v>
      </c>
      <c r="C108" s="2" t="s">
        <v>9</v>
      </c>
      <c r="D108" s="2">
        <v>277.03</v>
      </c>
      <c r="E108" s="3">
        <f t="shared" si="1"/>
        <v>277.03</v>
      </c>
    </row>
    <row r="109" ht="22.5" customHeight="1">
      <c r="B109" s="2" t="s">
        <v>114</v>
      </c>
      <c r="C109" s="2" t="s">
        <v>6</v>
      </c>
      <c r="D109" s="2">
        <v>278.57</v>
      </c>
      <c r="E109" s="3">
        <f t="shared" si="1"/>
        <v>278.57</v>
      </c>
    </row>
    <row r="110" ht="22.5" customHeight="1">
      <c r="B110" s="2" t="s">
        <v>115</v>
      </c>
      <c r="C110" s="2" t="s">
        <v>6</v>
      </c>
      <c r="D110" s="2">
        <v>279.2</v>
      </c>
      <c r="E110" s="3">
        <f t="shared" si="1"/>
        <v>279.2</v>
      </c>
    </row>
    <row r="111" ht="22.5" customHeight="1">
      <c r="B111" s="2" t="s">
        <v>116</v>
      </c>
      <c r="C111" s="2" t="s">
        <v>6</v>
      </c>
      <c r="D111" s="2">
        <v>286.66</v>
      </c>
      <c r="E111" s="3">
        <f t="shared" si="1"/>
        <v>286.66</v>
      </c>
    </row>
    <row r="112" ht="22.5" customHeight="1">
      <c r="B112" s="2" t="s">
        <v>117</v>
      </c>
      <c r="C112" s="2" t="s">
        <v>6</v>
      </c>
      <c r="D112" s="2">
        <v>302.82</v>
      </c>
      <c r="E112" s="3">
        <f t="shared" si="1"/>
        <v>302.82</v>
      </c>
    </row>
    <row r="113" ht="22.5" customHeight="1">
      <c r="B113" s="2" t="s">
        <v>118</v>
      </c>
      <c r="C113" s="2" t="s">
        <v>9</v>
      </c>
      <c r="D113" s="2">
        <v>308.77</v>
      </c>
      <c r="E113" s="3">
        <f t="shared" si="1"/>
        <v>308.77</v>
      </c>
    </row>
    <row r="114" ht="22.5" customHeight="1">
      <c r="B114" s="2" t="s">
        <v>119</v>
      </c>
      <c r="C114" s="2" t="s">
        <v>6</v>
      </c>
      <c r="D114" s="2">
        <v>309.7</v>
      </c>
      <c r="E114" s="3">
        <f t="shared" si="1"/>
        <v>309.7</v>
      </c>
    </row>
    <row r="115" ht="22.5" customHeight="1">
      <c r="B115" s="2" t="s">
        <v>120</v>
      </c>
      <c r="C115" s="2" t="s">
        <v>9</v>
      </c>
      <c r="D115" s="2">
        <v>315.48</v>
      </c>
      <c r="E115" s="3">
        <f t="shared" si="1"/>
        <v>315.48</v>
      </c>
    </row>
    <row r="116" ht="22.5" customHeight="1">
      <c r="B116" s="2" t="s">
        <v>121</v>
      </c>
      <c r="C116" s="2" t="s">
        <v>9</v>
      </c>
      <c r="D116" s="2">
        <v>320.56</v>
      </c>
      <c r="E116" s="3">
        <f t="shared" si="1"/>
        <v>320.56</v>
      </c>
    </row>
    <row r="117" ht="22.5" customHeight="1">
      <c r="B117" s="2" t="s">
        <v>122</v>
      </c>
      <c r="C117" s="2" t="s">
        <v>6</v>
      </c>
      <c r="D117" s="2">
        <v>324.27</v>
      </c>
      <c r="E117" s="3">
        <f t="shared" si="1"/>
        <v>324.27</v>
      </c>
    </row>
    <row r="118" ht="22.5" customHeight="1">
      <c r="B118" s="2" t="s">
        <v>123</v>
      </c>
      <c r="C118" s="2" t="s">
        <v>6</v>
      </c>
      <c r="D118" s="2">
        <v>328.14</v>
      </c>
      <c r="E118" s="3">
        <f t="shared" si="1"/>
        <v>328.14</v>
      </c>
    </row>
    <row r="119" ht="22.5" customHeight="1">
      <c r="B119" s="2" t="s">
        <v>124</v>
      </c>
      <c r="C119" s="2" t="s">
        <v>6</v>
      </c>
      <c r="D119" s="2">
        <v>330.48</v>
      </c>
      <c r="E119" s="3">
        <f t="shared" si="1"/>
        <v>330.48</v>
      </c>
    </row>
    <row r="120" ht="22.5" customHeight="1">
      <c r="B120" s="2" t="s">
        <v>125</v>
      </c>
      <c r="C120" s="2" t="s">
        <v>6</v>
      </c>
      <c r="D120" s="2">
        <v>354.44</v>
      </c>
      <c r="E120" s="3">
        <f t="shared" si="1"/>
        <v>354.44</v>
      </c>
    </row>
    <row r="121" ht="22.5" customHeight="1">
      <c r="B121" s="2" t="s">
        <v>126</v>
      </c>
      <c r="C121" s="2" t="s">
        <v>9</v>
      </c>
      <c r="D121" s="2">
        <v>357.17</v>
      </c>
      <c r="E121" s="3">
        <f t="shared" si="1"/>
        <v>357.17</v>
      </c>
    </row>
    <row r="122" ht="22.5" customHeight="1">
      <c r="B122" s="2" t="s">
        <v>127</v>
      </c>
      <c r="C122" s="2" t="s">
        <v>9</v>
      </c>
      <c r="D122" s="2">
        <v>396.78</v>
      </c>
      <c r="E122" s="3">
        <f t="shared" si="1"/>
        <v>396.78</v>
      </c>
    </row>
    <row r="123" ht="22.5" customHeight="1">
      <c r="B123" s="2" t="s">
        <v>128</v>
      </c>
      <c r="C123" s="2" t="s">
        <v>9</v>
      </c>
      <c r="D123" s="2">
        <v>398.76</v>
      </c>
      <c r="E123" s="3">
        <f t="shared" si="1"/>
        <v>398.76</v>
      </c>
    </row>
    <row r="124" ht="22.5" customHeight="1">
      <c r="B124" s="2" t="s">
        <v>129</v>
      </c>
      <c r="C124" s="2" t="s">
        <v>6</v>
      </c>
      <c r="D124" s="2">
        <v>402.01</v>
      </c>
      <c r="E124" s="3">
        <f t="shared" si="1"/>
        <v>402.01</v>
      </c>
    </row>
    <row r="125" ht="22.5" customHeight="1">
      <c r="B125" s="2" t="s">
        <v>130</v>
      </c>
      <c r="C125" s="2" t="s">
        <v>9</v>
      </c>
      <c r="D125" s="2">
        <v>403.26</v>
      </c>
      <c r="E125" s="3">
        <f t="shared" si="1"/>
        <v>403.26</v>
      </c>
    </row>
    <row r="126" ht="22.5" customHeight="1">
      <c r="B126" s="2" t="s">
        <v>131</v>
      </c>
      <c r="C126" s="2" t="s">
        <v>9</v>
      </c>
      <c r="D126" s="2">
        <v>407.98</v>
      </c>
      <c r="E126" s="3">
        <f t="shared" si="1"/>
        <v>407.98</v>
      </c>
    </row>
    <row r="127" ht="22.5" customHeight="1">
      <c r="B127" s="2" t="s">
        <v>132</v>
      </c>
      <c r="C127" s="2" t="s">
        <v>6</v>
      </c>
      <c r="D127" s="2">
        <v>410.07</v>
      </c>
      <c r="E127" s="3">
        <f t="shared" si="1"/>
        <v>410.07</v>
      </c>
    </row>
    <row r="128" ht="22.5" customHeight="1">
      <c r="B128" s="2" t="s">
        <v>133</v>
      </c>
      <c r="C128" s="2" t="s">
        <v>9</v>
      </c>
      <c r="D128" s="2">
        <v>412.33</v>
      </c>
      <c r="E128" s="3">
        <f t="shared" si="1"/>
        <v>412.33</v>
      </c>
    </row>
    <row r="129" ht="22.5" customHeight="1">
      <c r="B129" s="2" t="s">
        <v>134</v>
      </c>
      <c r="C129" s="2" t="s">
        <v>9</v>
      </c>
      <c r="D129" s="2">
        <v>414.18</v>
      </c>
      <c r="E129" s="3">
        <f t="shared" si="1"/>
        <v>414.18</v>
      </c>
    </row>
    <row r="130" ht="22.5" customHeight="1">
      <c r="B130" s="2" t="s">
        <v>135</v>
      </c>
      <c r="C130" s="2" t="s">
        <v>9</v>
      </c>
      <c r="D130" s="2">
        <v>416.27</v>
      </c>
      <c r="E130" s="3">
        <f t="shared" si="1"/>
        <v>416.27</v>
      </c>
    </row>
    <row r="131" ht="22.5" customHeight="1">
      <c r="B131" s="2" t="s">
        <v>136</v>
      </c>
      <c r="C131" s="2" t="s">
        <v>9</v>
      </c>
      <c r="D131" s="2">
        <v>419.15</v>
      </c>
      <c r="E131" s="3">
        <f t="shared" si="1"/>
        <v>419.15</v>
      </c>
    </row>
    <row r="132" ht="22.5" customHeight="1">
      <c r="B132" s="2" t="s">
        <v>137</v>
      </c>
      <c r="C132" s="2" t="s">
        <v>9</v>
      </c>
      <c r="D132" s="2">
        <v>433.76</v>
      </c>
      <c r="E132" s="3">
        <f t="shared" si="1"/>
        <v>433.76</v>
      </c>
    </row>
    <row r="133" ht="22.5" customHeight="1">
      <c r="B133" s="2" t="s">
        <v>138</v>
      </c>
      <c r="C133" s="2" t="s">
        <v>6</v>
      </c>
      <c r="D133" s="2">
        <v>434.94</v>
      </c>
      <c r="E133" s="3">
        <f t="shared" si="1"/>
        <v>434.94</v>
      </c>
    </row>
    <row r="134" ht="22.5" customHeight="1">
      <c r="B134" s="2" t="s">
        <v>139</v>
      </c>
      <c r="C134" s="2" t="s">
        <v>6</v>
      </c>
      <c r="D134" s="2">
        <v>457.21</v>
      </c>
      <c r="E134" s="3">
        <f t="shared" si="1"/>
        <v>457.21</v>
      </c>
    </row>
    <row r="135" ht="22.5" customHeight="1">
      <c r="B135" s="2" t="s">
        <v>140</v>
      </c>
      <c r="C135" s="2" t="s">
        <v>6</v>
      </c>
      <c r="D135" s="2">
        <v>462.86</v>
      </c>
      <c r="E135" s="3">
        <f t="shared" si="1"/>
        <v>462.86</v>
      </c>
    </row>
    <row r="136" ht="22.5" customHeight="1">
      <c r="B136" s="2" t="s">
        <v>141</v>
      </c>
      <c r="C136" s="2" t="s">
        <v>6</v>
      </c>
      <c r="D136" s="2">
        <v>479.72</v>
      </c>
      <c r="E136" s="3">
        <f t="shared" si="1"/>
        <v>479.72</v>
      </c>
    </row>
    <row r="137" ht="22.5" customHeight="1">
      <c r="B137" s="2" t="s">
        <v>142</v>
      </c>
      <c r="C137" s="2" t="s">
        <v>6</v>
      </c>
      <c r="D137" s="2">
        <v>488.33</v>
      </c>
      <c r="E137" s="3">
        <f t="shared" si="1"/>
        <v>488.33</v>
      </c>
    </row>
    <row r="138" ht="22.5" customHeight="1">
      <c r="B138" s="2" t="s">
        <v>143</v>
      </c>
      <c r="C138" s="2" t="s">
        <v>6</v>
      </c>
      <c r="D138" s="2">
        <v>493.92</v>
      </c>
      <c r="E138" s="3">
        <f t="shared" si="1"/>
        <v>493.92</v>
      </c>
    </row>
    <row r="139" ht="22.5" customHeight="1">
      <c r="B139" s="2" t="s">
        <v>144</v>
      </c>
      <c r="C139" s="2" t="s">
        <v>6</v>
      </c>
      <c r="D139" s="2">
        <v>510.15</v>
      </c>
      <c r="E139" s="3">
        <f t="shared" si="1"/>
        <v>510.15</v>
      </c>
    </row>
    <row r="140" ht="22.5" customHeight="1">
      <c r="B140" s="2" t="s">
        <v>145</v>
      </c>
      <c r="C140" s="2" t="s">
        <v>6</v>
      </c>
      <c r="D140" s="2">
        <v>510.88</v>
      </c>
      <c r="E140" s="3">
        <f t="shared" si="1"/>
        <v>510.88</v>
      </c>
    </row>
    <row r="141" ht="22.5" customHeight="1">
      <c r="B141" s="2" t="s">
        <v>146</v>
      </c>
      <c r="C141" s="2" t="s">
        <v>6</v>
      </c>
      <c r="D141" s="2">
        <v>527.8</v>
      </c>
      <c r="E141" s="3">
        <f t="shared" si="1"/>
        <v>527.8</v>
      </c>
    </row>
    <row r="142" ht="22.5" customHeight="1">
      <c r="B142" s="2" t="s">
        <v>147</v>
      </c>
      <c r="C142" s="2" t="s">
        <v>6</v>
      </c>
      <c r="D142" s="2">
        <v>543.92</v>
      </c>
      <c r="E142" s="3">
        <f t="shared" si="1"/>
        <v>543.92</v>
      </c>
    </row>
    <row r="143" ht="22.5" customHeight="1">
      <c r="B143" s="2" t="s">
        <v>148</v>
      </c>
      <c r="C143" s="2" t="s">
        <v>9</v>
      </c>
      <c r="D143" s="2">
        <v>545.68</v>
      </c>
      <c r="E143" s="3">
        <f t="shared" si="1"/>
        <v>545.68</v>
      </c>
    </row>
    <row r="144" ht="22.5" customHeight="1">
      <c r="B144" s="2" t="s">
        <v>149</v>
      </c>
      <c r="C144" s="2" t="s">
        <v>6</v>
      </c>
      <c r="D144" s="2">
        <v>590.94</v>
      </c>
      <c r="E144" s="3">
        <f t="shared" si="1"/>
        <v>590.94</v>
      </c>
    </row>
    <row r="145" ht="22.5" customHeight="1">
      <c r="B145" s="2" t="s">
        <v>150</v>
      </c>
      <c r="C145" s="2" t="s">
        <v>6</v>
      </c>
      <c r="D145" s="2">
        <v>592.53</v>
      </c>
      <c r="E145" s="3">
        <f t="shared" si="1"/>
        <v>592.53</v>
      </c>
    </row>
    <row r="146" ht="22.5" customHeight="1">
      <c r="B146" s="2" t="s">
        <v>151</v>
      </c>
      <c r="C146" s="2" t="s">
        <v>6</v>
      </c>
      <c r="D146" s="2">
        <v>594.38</v>
      </c>
      <c r="E146" s="3">
        <f t="shared" si="1"/>
        <v>594.38</v>
      </c>
    </row>
    <row r="147" ht="22.5" customHeight="1">
      <c r="B147" s="2" t="s">
        <v>152</v>
      </c>
      <c r="C147" s="2" t="s">
        <v>9</v>
      </c>
      <c r="D147" s="2">
        <v>595.29</v>
      </c>
      <c r="E147" s="3">
        <f t="shared" si="1"/>
        <v>595.29</v>
      </c>
    </row>
    <row r="148" ht="22.5" customHeight="1">
      <c r="B148" s="2" t="s">
        <v>153</v>
      </c>
      <c r="C148" s="2" t="s">
        <v>6</v>
      </c>
      <c r="D148" s="2">
        <v>599.5</v>
      </c>
      <c r="E148" s="3">
        <f t="shared" si="1"/>
        <v>599.5</v>
      </c>
    </row>
    <row r="149" ht="22.5" customHeight="1">
      <c r="B149" s="2" t="s">
        <v>154</v>
      </c>
      <c r="C149" s="2" t="s">
        <v>9</v>
      </c>
      <c r="D149" s="2">
        <v>601.12</v>
      </c>
      <c r="E149" s="3">
        <f t="shared" si="1"/>
        <v>601.12</v>
      </c>
    </row>
    <row r="150" ht="22.5" customHeight="1">
      <c r="B150" s="2" t="s">
        <v>155</v>
      </c>
      <c r="C150" s="2" t="s">
        <v>6</v>
      </c>
      <c r="D150" s="2">
        <v>604.23</v>
      </c>
      <c r="E150" s="3">
        <f t="shared" si="1"/>
        <v>604.23</v>
      </c>
    </row>
    <row r="151" ht="22.5" customHeight="1">
      <c r="B151" s="2" t="s">
        <v>156</v>
      </c>
      <c r="C151" s="2" t="s">
        <v>6</v>
      </c>
      <c r="D151" s="2">
        <v>612.84</v>
      </c>
      <c r="E151" s="3">
        <f t="shared" si="1"/>
        <v>612.84</v>
      </c>
    </row>
    <row r="152" ht="22.5" customHeight="1">
      <c r="B152" s="2" t="s">
        <v>157</v>
      </c>
      <c r="C152" s="2" t="s">
        <v>6</v>
      </c>
      <c r="D152" s="2">
        <v>617.93</v>
      </c>
      <c r="E152" s="3">
        <f t="shared" si="1"/>
        <v>617.93</v>
      </c>
    </row>
    <row r="153" ht="22.5" customHeight="1">
      <c r="B153" s="2" t="s">
        <v>158</v>
      </c>
      <c r="C153" s="2" t="s">
        <v>9</v>
      </c>
      <c r="D153" s="2">
        <v>641.31</v>
      </c>
      <c r="E153" s="3">
        <f t="shared" si="1"/>
        <v>641.31</v>
      </c>
    </row>
    <row r="154" ht="22.5" customHeight="1">
      <c r="B154" s="2" t="s">
        <v>159</v>
      </c>
      <c r="C154" s="2" t="s">
        <v>6</v>
      </c>
      <c r="D154" s="2">
        <v>647.86</v>
      </c>
      <c r="E154" s="3">
        <f t="shared" si="1"/>
        <v>647.86</v>
      </c>
    </row>
    <row r="155" ht="22.5" customHeight="1">
      <c r="B155" s="2" t="s">
        <v>160</v>
      </c>
      <c r="C155" s="2" t="s">
        <v>9</v>
      </c>
      <c r="D155" s="2">
        <v>659.17</v>
      </c>
      <c r="E155" s="3">
        <f t="shared" si="1"/>
        <v>659.17</v>
      </c>
    </row>
    <row r="156" ht="22.5" customHeight="1">
      <c r="B156" s="2" t="s">
        <v>161</v>
      </c>
      <c r="C156" s="2" t="s">
        <v>9</v>
      </c>
      <c r="D156" s="2">
        <v>669.7</v>
      </c>
      <c r="E156" s="3">
        <f t="shared" si="1"/>
        <v>669.7</v>
      </c>
    </row>
    <row r="157" ht="22.5" customHeight="1">
      <c r="B157" s="2" t="s">
        <v>162</v>
      </c>
      <c r="C157" s="2" t="s">
        <v>6</v>
      </c>
      <c r="D157" s="2">
        <v>673.25</v>
      </c>
      <c r="E157" s="3">
        <f t="shared" si="1"/>
        <v>673.25</v>
      </c>
    </row>
    <row r="158" ht="22.5" customHeight="1">
      <c r="B158" s="2" t="s">
        <v>163</v>
      </c>
      <c r="C158" s="2" t="s">
        <v>9</v>
      </c>
      <c r="D158" s="2">
        <v>684.48</v>
      </c>
      <c r="E158" s="3">
        <f t="shared" si="1"/>
        <v>684.48</v>
      </c>
    </row>
    <row r="159" ht="22.5" customHeight="1">
      <c r="B159" s="2" t="s">
        <v>164</v>
      </c>
      <c r="C159" s="2" t="s">
        <v>9</v>
      </c>
      <c r="D159" s="2">
        <v>689.61</v>
      </c>
      <c r="E159" s="3">
        <f t="shared" si="1"/>
        <v>689.61</v>
      </c>
    </row>
    <row r="160" ht="22.5" customHeight="1">
      <c r="B160" s="2" t="s">
        <v>165</v>
      </c>
      <c r="C160" s="2" t="s">
        <v>6</v>
      </c>
      <c r="D160" s="2">
        <v>714.84</v>
      </c>
      <c r="E160" s="3">
        <f t="shared" si="1"/>
        <v>714.84</v>
      </c>
    </row>
    <row r="161" ht="22.5" customHeight="1">
      <c r="B161" s="2" t="s">
        <v>166</v>
      </c>
      <c r="C161" s="2" t="s">
        <v>9</v>
      </c>
      <c r="D161" s="2">
        <v>728.37</v>
      </c>
      <c r="E161" s="3">
        <f t="shared" si="1"/>
        <v>728.37</v>
      </c>
    </row>
    <row r="162" ht="22.5" customHeight="1">
      <c r="B162" s="2" t="s">
        <v>167</v>
      </c>
      <c r="C162" s="2" t="s">
        <v>9</v>
      </c>
      <c r="D162" s="2">
        <v>736.76</v>
      </c>
      <c r="E162" s="3">
        <f t="shared" si="1"/>
        <v>736.76</v>
      </c>
    </row>
    <row r="163" ht="22.5" customHeight="1">
      <c r="B163" s="2" t="s">
        <v>168</v>
      </c>
      <c r="C163" s="2" t="s">
        <v>6</v>
      </c>
      <c r="D163" s="2">
        <v>737.53</v>
      </c>
      <c r="E163" s="3">
        <f t="shared" si="1"/>
        <v>737.53</v>
      </c>
    </row>
    <row r="164" ht="22.5" customHeight="1">
      <c r="B164" s="2" t="s">
        <v>169</v>
      </c>
      <c r="C164" s="2" t="s">
        <v>9</v>
      </c>
      <c r="D164" s="2">
        <v>752.3</v>
      </c>
      <c r="E164" s="3">
        <f t="shared" si="1"/>
        <v>752.3</v>
      </c>
    </row>
    <row r="165" ht="22.5" customHeight="1">
      <c r="B165" s="2" t="s">
        <v>170</v>
      </c>
      <c r="C165" s="2" t="s">
        <v>6</v>
      </c>
      <c r="D165" s="2">
        <v>754.44</v>
      </c>
      <c r="E165" s="3">
        <f t="shared" si="1"/>
        <v>754.44</v>
      </c>
    </row>
    <row r="166" ht="22.5" customHeight="1">
      <c r="B166" s="2" t="s">
        <v>171</v>
      </c>
      <c r="C166" s="2" t="s">
        <v>6</v>
      </c>
      <c r="D166" s="2">
        <v>771.41</v>
      </c>
      <c r="E166" s="3">
        <f t="shared" si="1"/>
        <v>771.41</v>
      </c>
    </row>
    <row r="167" ht="22.5" customHeight="1">
      <c r="B167" s="2" t="s">
        <v>172</v>
      </c>
      <c r="C167" s="2" t="s">
        <v>6</v>
      </c>
      <c r="D167" s="2">
        <v>795.72</v>
      </c>
      <c r="E167" s="3">
        <f t="shared" si="1"/>
        <v>795.72</v>
      </c>
    </row>
    <row r="168" ht="22.5" customHeight="1">
      <c r="B168" s="2" t="s">
        <v>173</v>
      </c>
      <c r="C168" s="2" t="s">
        <v>6</v>
      </c>
      <c r="D168" s="2">
        <v>831.25</v>
      </c>
      <c r="E168" s="3">
        <f t="shared" si="1"/>
        <v>831.25</v>
      </c>
    </row>
    <row r="169" ht="22.5" customHeight="1">
      <c r="B169" s="2" t="s">
        <v>174</v>
      </c>
      <c r="C169" s="2" t="s">
        <v>9</v>
      </c>
      <c r="D169" s="2">
        <v>858.08</v>
      </c>
      <c r="E169" s="3">
        <f t="shared" si="1"/>
        <v>858.08</v>
      </c>
    </row>
    <row r="170" ht="22.5" customHeight="1">
      <c r="B170" s="2" t="s">
        <v>175</v>
      </c>
      <c r="C170" s="2" t="s">
        <v>9</v>
      </c>
      <c r="D170" s="2">
        <v>874.45</v>
      </c>
      <c r="E170" s="3">
        <f t="shared" si="1"/>
        <v>874.45</v>
      </c>
    </row>
    <row r="171" ht="22.5" customHeight="1">
      <c r="B171" s="2" t="s">
        <v>176</v>
      </c>
      <c r="C171" s="2" t="s">
        <v>6</v>
      </c>
      <c r="D171" s="2">
        <v>908.32</v>
      </c>
      <c r="E171" s="3">
        <f t="shared" si="1"/>
        <v>908.32</v>
      </c>
    </row>
    <row r="172" ht="22.5" customHeight="1">
      <c r="B172" s="2" t="s">
        <v>177</v>
      </c>
      <c r="C172" s="2" t="s">
        <v>9</v>
      </c>
      <c r="D172" s="2">
        <v>916.01</v>
      </c>
      <c r="E172" s="3">
        <f t="shared" si="1"/>
        <v>916.01</v>
      </c>
    </row>
    <row r="173" ht="22.5" customHeight="1">
      <c r="B173" s="2" t="s">
        <v>178</v>
      </c>
      <c r="C173" s="2" t="s">
        <v>9</v>
      </c>
      <c r="D173" s="2">
        <v>920.02</v>
      </c>
      <c r="E173" s="3">
        <f t="shared" si="1"/>
        <v>920.02</v>
      </c>
    </row>
    <row r="174" ht="22.5" customHeight="1">
      <c r="B174" s="2" t="s">
        <v>179</v>
      </c>
      <c r="C174" s="2" t="s">
        <v>6</v>
      </c>
      <c r="D174" s="2">
        <v>929.46</v>
      </c>
      <c r="E174" s="3">
        <f t="shared" si="1"/>
        <v>929.46</v>
      </c>
    </row>
    <row r="175" ht="22.5" customHeight="1">
      <c r="B175" s="2" t="s">
        <v>180</v>
      </c>
      <c r="C175" s="2" t="s">
        <v>9</v>
      </c>
      <c r="D175" s="2">
        <v>949.0</v>
      </c>
      <c r="E175" s="3">
        <f t="shared" si="1"/>
        <v>949</v>
      </c>
    </row>
    <row r="176" ht="22.5" customHeight="1">
      <c r="B176" s="2" t="s">
        <v>181</v>
      </c>
      <c r="C176" s="2" t="s">
        <v>9</v>
      </c>
      <c r="D176" s="2">
        <v>961.26</v>
      </c>
      <c r="E176" s="3">
        <f t="shared" si="1"/>
        <v>961.26</v>
      </c>
    </row>
    <row r="177" ht="22.5" customHeight="1">
      <c r="B177" s="2" t="s">
        <v>182</v>
      </c>
      <c r="C177" s="2" t="s">
        <v>9</v>
      </c>
      <c r="D177" s="2">
        <v>977.46</v>
      </c>
      <c r="E177" s="3">
        <f t="shared" si="1"/>
        <v>977.46</v>
      </c>
    </row>
    <row r="178" ht="22.5" customHeight="1">
      <c r="B178" s="2" t="s">
        <v>183</v>
      </c>
      <c r="C178" s="2" t="s">
        <v>6</v>
      </c>
      <c r="D178" s="2">
        <v>983.17</v>
      </c>
      <c r="E178" s="3">
        <f t="shared" si="1"/>
        <v>983.17</v>
      </c>
    </row>
    <row r="179" ht="22.5" customHeight="1">
      <c r="B179" s="2" t="s">
        <v>184</v>
      </c>
      <c r="C179" s="2" t="s">
        <v>6</v>
      </c>
      <c r="D179" s="2">
        <v>1000.45</v>
      </c>
      <c r="E179" s="3">
        <f t="shared" si="1"/>
        <v>1000.45</v>
      </c>
    </row>
    <row r="180" ht="22.5" customHeight="1">
      <c r="B180" s="2" t="s">
        <v>185</v>
      </c>
      <c r="C180" s="2" t="s">
        <v>6</v>
      </c>
      <c r="D180" s="2">
        <v>1004.36</v>
      </c>
      <c r="E180" s="3">
        <f t="shared" si="1"/>
        <v>1004.36</v>
      </c>
    </row>
    <row r="181" ht="22.5" customHeight="1">
      <c r="B181" s="2" t="s">
        <v>186</v>
      </c>
      <c r="C181" s="2" t="s">
        <v>6</v>
      </c>
      <c r="D181" s="2">
        <v>1044.05</v>
      </c>
      <c r="E181" s="3">
        <f t="shared" si="1"/>
        <v>1044.05</v>
      </c>
    </row>
    <row r="182" ht="22.5" customHeight="1">
      <c r="B182" s="2" t="s">
        <v>187</v>
      </c>
      <c r="C182" s="2" t="s">
        <v>6</v>
      </c>
      <c r="D182" s="2">
        <v>1096.43</v>
      </c>
      <c r="E182" s="3">
        <f t="shared" si="1"/>
        <v>1096.43</v>
      </c>
    </row>
    <row r="183" ht="22.5" customHeight="1">
      <c r="B183" s="2" t="s">
        <v>188</v>
      </c>
      <c r="C183" s="2" t="s">
        <v>9</v>
      </c>
      <c r="D183" s="2">
        <v>1119.12</v>
      </c>
      <c r="E183" s="3">
        <f t="shared" si="1"/>
        <v>1119.12</v>
      </c>
    </row>
    <row r="184" ht="22.5" customHeight="1">
      <c r="B184" s="2" t="s">
        <v>189</v>
      </c>
      <c r="C184" s="2" t="s">
        <v>9</v>
      </c>
      <c r="D184" s="2">
        <v>1137.26</v>
      </c>
      <c r="E184" s="3">
        <f t="shared" si="1"/>
        <v>1137.26</v>
      </c>
    </row>
    <row r="185" ht="22.5" customHeight="1">
      <c r="B185" s="2" t="s">
        <v>190</v>
      </c>
      <c r="C185" s="2" t="s">
        <v>6</v>
      </c>
      <c r="D185" s="2">
        <v>1140.49</v>
      </c>
      <c r="E185" s="3">
        <f t="shared" si="1"/>
        <v>1140.49</v>
      </c>
    </row>
    <row r="186" ht="22.5" customHeight="1">
      <c r="B186" s="2" t="s">
        <v>191</v>
      </c>
      <c r="C186" s="2" t="s">
        <v>6</v>
      </c>
      <c r="D186" s="2">
        <v>1150.28</v>
      </c>
      <c r="E186" s="3">
        <f t="shared" si="1"/>
        <v>1150.28</v>
      </c>
    </row>
    <row r="187" ht="22.5" customHeight="1">
      <c r="B187" s="2" t="s">
        <v>192</v>
      </c>
      <c r="C187" s="2" t="s">
        <v>6</v>
      </c>
      <c r="D187" s="2">
        <v>1157.06</v>
      </c>
      <c r="E187" s="3">
        <f t="shared" si="1"/>
        <v>1157.06</v>
      </c>
    </row>
    <row r="188" ht="22.5" customHeight="1">
      <c r="B188" s="2" t="s">
        <v>193</v>
      </c>
      <c r="C188" s="2" t="s">
        <v>9</v>
      </c>
      <c r="D188" s="2">
        <v>1182.09</v>
      </c>
      <c r="E188" s="3">
        <f t="shared" si="1"/>
        <v>1182.09</v>
      </c>
    </row>
    <row r="189" ht="22.5" customHeight="1">
      <c r="B189" s="2" t="s">
        <v>194</v>
      </c>
      <c r="C189" s="2" t="s">
        <v>6</v>
      </c>
      <c r="D189" s="2">
        <v>1225.71</v>
      </c>
      <c r="E189" s="3">
        <f t="shared" si="1"/>
        <v>1225.71</v>
      </c>
    </row>
    <row r="190" ht="22.5" customHeight="1">
      <c r="B190" s="2" t="s">
        <v>195</v>
      </c>
      <c r="C190" s="2" t="s">
        <v>6</v>
      </c>
      <c r="D190" s="2">
        <v>1255.8</v>
      </c>
      <c r="E190" s="3">
        <f t="shared" si="1"/>
        <v>1255.8</v>
      </c>
    </row>
    <row r="191" ht="22.5" customHeight="1">
      <c r="B191" s="2" t="s">
        <v>196</v>
      </c>
      <c r="C191" s="2" t="s">
        <v>9</v>
      </c>
      <c r="D191" s="2">
        <v>1263.88</v>
      </c>
      <c r="E191" s="3">
        <f t="shared" si="1"/>
        <v>1263.88</v>
      </c>
    </row>
    <row r="192" ht="22.5" customHeight="1">
      <c r="B192" s="2" t="s">
        <v>197</v>
      </c>
      <c r="C192" s="2" t="s">
        <v>6</v>
      </c>
      <c r="D192" s="2">
        <v>1267.73</v>
      </c>
      <c r="E192" s="3">
        <f t="shared" si="1"/>
        <v>1267.73</v>
      </c>
    </row>
    <row r="193" ht="22.5" customHeight="1">
      <c r="B193" s="2" t="s">
        <v>198</v>
      </c>
      <c r="C193" s="2" t="s">
        <v>9</v>
      </c>
      <c r="D193" s="2">
        <v>1291.27</v>
      </c>
      <c r="E193" s="3">
        <f t="shared" si="1"/>
        <v>1291.27</v>
      </c>
    </row>
    <row r="194" ht="22.5" customHeight="1">
      <c r="B194" s="2" t="s">
        <v>199</v>
      </c>
      <c r="C194" s="2" t="s">
        <v>9</v>
      </c>
      <c r="D194" s="2">
        <v>1324.53</v>
      </c>
      <c r="E194" s="3">
        <f t="shared" si="1"/>
        <v>1324.53</v>
      </c>
    </row>
    <row r="195" ht="22.5" customHeight="1">
      <c r="B195" s="2" t="s">
        <v>200</v>
      </c>
      <c r="C195" s="2" t="s">
        <v>9</v>
      </c>
      <c r="D195" s="2">
        <v>1329.71</v>
      </c>
      <c r="E195" s="3">
        <f t="shared" si="1"/>
        <v>1329.71</v>
      </c>
    </row>
    <row r="196" ht="22.5" customHeight="1">
      <c r="B196" s="2" t="s">
        <v>201</v>
      </c>
      <c r="C196" s="2" t="s">
        <v>9</v>
      </c>
      <c r="D196" s="2">
        <v>1352.5</v>
      </c>
      <c r="E196" s="3">
        <f t="shared" si="1"/>
        <v>1352.5</v>
      </c>
    </row>
    <row r="197" ht="22.5" customHeight="1">
      <c r="B197" s="2" t="s">
        <v>202</v>
      </c>
      <c r="C197" s="2" t="s">
        <v>6</v>
      </c>
      <c r="D197" s="2">
        <v>1363.7</v>
      </c>
      <c r="E197" s="3">
        <f t="shared" si="1"/>
        <v>1363.7</v>
      </c>
    </row>
    <row r="198" ht="22.5" customHeight="1">
      <c r="B198" s="2" t="s">
        <v>203</v>
      </c>
      <c r="C198" s="2" t="s">
        <v>9</v>
      </c>
      <c r="D198" s="2">
        <v>1386.75</v>
      </c>
      <c r="E198" s="3">
        <f t="shared" si="1"/>
        <v>1386.75</v>
      </c>
    </row>
    <row r="199" ht="22.5" customHeight="1">
      <c r="B199" s="2" t="s">
        <v>204</v>
      </c>
      <c r="C199" s="2" t="s">
        <v>6</v>
      </c>
      <c r="D199" s="2">
        <v>1422.95</v>
      </c>
      <c r="E199" s="3">
        <f t="shared" si="1"/>
        <v>1422.95</v>
      </c>
    </row>
    <row r="200" ht="22.5" customHeight="1">
      <c r="B200" s="2" t="s">
        <v>205</v>
      </c>
      <c r="C200" s="2" t="s">
        <v>6</v>
      </c>
      <c r="D200" s="2">
        <v>1452.77</v>
      </c>
      <c r="E200" s="3">
        <f t="shared" si="1"/>
        <v>1452.77</v>
      </c>
    </row>
    <row r="201" ht="22.5" customHeight="1">
      <c r="B201" s="2" t="s">
        <v>206</v>
      </c>
      <c r="C201" s="2" t="s">
        <v>6</v>
      </c>
      <c r="D201" s="2">
        <v>1480.68</v>
      </c>
      <c r="E201" s="3">
        <f t="shared" si="1"/>
        <v>1480.68</v>
      </c>
    </row>
    <row r="202" ht="22.5" customHeight="1">
      <c r="B202" s="2" t="s">
        <v>207</v>
      </c>
      <c r="C202" s="2" t="s">
        <v>6</v>
      </c>
      <c r="D202" s="2">
        <v>1575.3</v>
      </c>
      <c r="E202" s="3">
        <f t="shared" si="1"/>
        <v>1575.3</v>
      </c>
    </row>
    <row r="203" ht="22.5" customHeight="1">
      <c r="B203" s="2" t="s">
        <v>208</v>
      </c>
      <c r="C203" s="2" t="s">
        <v>6</v>
      </c>
      <c r="D203" s="2">
        <v>1584.49</v>
      </c>
      <c r="E203" s="3">
        <f t="shared" si="1"/>
        <v>1584.49</v>
      </c>
    </row>
    <row r="204" ht="22.5" customHeight="1">
      <c r="B204" s="2" t="s">
        <v>209</v>
      </c>
      <c r="C204" s="2" t="s">
        <v>9</v>
      </c>
      <c r="D204" s="2">
        <v>1613.7</v>
      </c>
      <c r="E204" s="3">
        <f t="shared" si="1"/>
        <v>1613.7</v>
      </c>
    </row>
    <row r="205" ht="22.5" customHeight="1">
      <c r="B205" s="2" t="s">
        <v>210</v>
      </c>
      <c r="C205" s="2" t="s">
        <v>6</v>
      </c>
      <c r="D205" s="2">
        <v>1684.49</v>
      </c>
      <c r="E205" s="3">
        <f t="shared" si="1"/>
        <v>1684.49</v>
      </c>
    </row>
    <row r="206" ht="22.5" customHeight="1">
      <c r="B206" s="2" t="s">
        <v>211</v>
      </c>
      <c r="C206" s="2" t="s">
        <v>6</v>
      </c>
      <c r="D206" s="2">
        <v>1734.97</v>
      </c>
      <c r="E206" s="3">
        <f t="shared" si="1"/>
        <v>1734.97</v>
      </c>
    </row>
    <row r="207" ht="22.5" customHeight="1">
      <c r="B207" s="2" t="s">
        <v>212</v>
      </c>
      <c r="C207" s="2" t="s">
        <v>9</v>
      </c>
      <c r="D207" s="2">
        <v>1736.17</v>
      </c>
      <c r="E207" s="3">
        <f t="shared" si="1"/>
        <v>1736.17</v>
      </c>
    </row>
    <row r="208" ht="22.5" customHeight="1">
      <c r="B208" s="2" t="s">
        <v>213</v>
      </c>
      <c r="C208" s="2" t="s">
        <v>9</v>
      </c>
      <c r="D208" s="2">
        <v>1736.33</v>
      </c>
      <c r="E208" s="3">
        <f t="shared" si="1"/>
        <v>1736.33</v>
      </c>
    </row>
    <row r="209" ht="22.5" customHeight="1">
      <c r="B209" s="2" t="s">
        <v>214</v>
      </c>
      <c r="C209" s="2" t="s">
        <v>9</v>
      </c>
      <c r="D209" s="2">
        <v>1746.0</v>
      </c>
      <c r="E209" s="3">
        <f t="shared" si="1"/>
        <v>1746</v>
      </c>
    </row>
    <row r="210" ht="22.5" customHeight="1">
      <c r="B210" s="2" t="s">
        <v>215</v>
      </c>
      <c r="C210" s="2" t="s">
        <v>9</v>
      </c>
      <c r="D210" s="2">
        <v>1789.22</v>
      </c>
      <c r="E210" s="3">
        <f t="shared" si="1"/>
        <v>1789.22</v>
      </c>
    </row>
    <row r="211" ht="22.5" customHeight="1">
      <c r="B211" s="2" t="s">
        <v>216</v>
      </c>
      <c r="C211" s="2" t="s">
        <v>6</v>
      </c>
      <c r="D211" s="2">
        <v>1890.59</v>
      </c>
      <c r="E211" s="3">
        <f t="shared" si="1"/>
        <v>1890.59</v>
      </c>
    </row>
    <row r="212" ht="22.5" customHeight="1">
      <c r="B212" s="2" t="s">
        <v>217</v>
      </c>
      <c r="C212" s="2" t="s">
        <v>9</v>
      </c>
      <c r="D212" s="2">
        <v>1913.62</v>
      </c>
      <c r="E212" s="3">
        <f t="shared" si="1"/>
        <v>1913.62</v>
      </c>
    </row>
    <row r="213" ht="22.5" customHeight="1">
      <c r="B213" s="2" t="s">
        <v>218</v>
      </c>
      <c r="C213" s="2" t="s">
        <v>6</v>
      </c>
      <c r="D213" s="2">
        <v>1914.15</v>
      </c>
      <c r="E213" s="3">
        <f t="shared" si="1"/>
        <v>1914.15</v>
      </c>
    </row>
    <row r="214" ht="22.5" customHeight="1">
      <c r="B214" s="2" t="s">
        <v>219</v>
      </c>
      <c r="C214" s="2" t="s">
        <v>9</v>
      </c>
      <c r="D214" s="2">
        <v>1987.12</v>
      </c>
      <c r="E214" s="3">
        <f t="shared" si="1"/>
        <v>1987.12</v>
      </c>
    </row>
    <row r="215" ht="22.5" customHeight="1">
      <c r="B215" s="2" t="s">
        <v>220</v>
      </c>
      <c r="C215" s="2" t="s">
        <v>9</v>
      </c>
      <c r="D215" s="2">
        <v>2028.74</v>
      </c>
      <c r="E215" s="3">
        <f t="shared" si="1"/>
        <v>2028.74</v>
      </c>
    </row>
    <row r="216" ht="22.5" customHeight="1">
      <c r="B216" s="2" t="s">
        <v>221</v>
      </c>
      <c r="C216" s="2" t="s">
        <v>9</v>
      </c>
      <c r="D216" s="2">
        <v>2039.7</v>
      </c>
      <c r="E216" s="3">
        <f t="shared" si="1"/>
        <v>2039.7</v>
      </c>
    </row>
    <row r="217" ht="22.5" customHeight="1">
      <c r="B217" s="2" t="s">
        <v>222</v>
      </c>
      <c r="C217" s="2" t="s">
        <v>6</v>
      </c>
      <c r="D217" s="2">
        <v>2161.56</v>
      </c>
      <c r="E217" s="3">
        <f t="shared" si="1"/>
        <v>2161.56</v>
      </c>
    </row>
    <row r="218" ht="22.5" customHeight="1">
      <c r="B218" s="2" t="s">
        <v>223</v>
      </c>
      <c r="C218" s="2" t="s">
        <v>6</v>
      </c>
      <c r="D218" s="2">
        <v>2181.79</v>
      </c>
      <c r="E218" s="3">
        <f t="shared" si="1"/>
        <v>2181.79</v>
      </c>
    </row>
    <row r="219" ht="22.5" customHeight="1">
      <c r="B219" s="2" t="s">
        <v>224</v>
      </c>
      <c r="C219" s="2" t="s">
        <v>6</v>
      </c>
      <c r="D219" s="2">
        <v>2183.21</v>
      </c>
      <c r="E219" s="3">
        <f t="shared" si="1"/>
        <v>2183.21</v>
      </c>
    </row>
    <row r="220" ht="22.5" customHeight="1">
      <c r="B220" s="2" t="s">
        <v>225</v>
      </c>
      <c r="C220" s="2" t="s">
        <v>6</v>
      </c>
      <c r="D220" s="2">
        <v>2186.15</v>
      </c>
      <c r="E220" s="3">
        <f t="shared" si="1"/>
        <v>2186.15</v>
      </c>
    </row>
    <row r="221" ht="22.5" customHeight="1">
      <c r="B221" s="2" t="s">
        <v>226</v>
      </c>
      <c r="C221" s="2" t="s">
        <v>9</v>
      </c>
      <c r="D221" s="2">
        <v>2205.5</v>
      </c>
      <c r="E221" s="3">
        <f t="shared" si="1"/>
        <v>2205.5</v>
      </c>
    </row>
    <row r="222" ht="22.5" customHeight="1">
      <c r="B222" s="2" t="s">
        <v>227</v>
      </c>
      <c r="C222" s="2" t="s">
        <v>6</v>
      </c>
      <c r="D222" s="2">
        <v>2242.88</v>
      </c>
      <c r="E222" s="3">
        <f t="shared" si="1"/>
        <v>2242.88</v>
      </c>
    </row>
    <row r="223" ht="22.5" customHeight="1">
      <c r="B223" s="2" t="s">
        <v>228</v>
      </c>
      <c r="C223" s="2" t="s">
        <v>6</v>
      </c>
      <c r="D223" s="2">
        <v>2332.65</v>
      </c>
      <c r="E223" s="3">
        <f t="shared" si="1"/>
        <v>2332.65</v>
      </c>
    </row>
    <row r="224" ht="22.5" customHeight="1">
      <c r="B224" s="2" t="s">
        <v>229</v>
      </c>
      <c r="C224" s="2" t="s">
        <v>6</v>
      </c>
      <c r="D224" s="2">
        <v>2371.66</v>
      </c>
      <c r="E224" s="3">
        <f t="shared" si="1"/>
        <v>2371.66</v>
      </c>
    </row>
    <row r="225" ht="22.5" customHeight="1">
      <c r="B225" s="2" t="s">
        <v>230</v>
      </c>
      <c r="C225" s="2" t="s">
        <v>6</v>
      </c>
      <c r="D225" s="2">
        <v>2379.8</v>
      </c>
      <c r="E225" s="3">
        <f t="shared" si="1"/>
        <v>2379.8</v>
      </c>
    </row>
    <row r="226" ht="22.5" customHeight="1">
      <c r="B226" s="2" t="s">
        <v>231</v>
      </c>
      <c r="C226" s="2" t="s">
        <v>6</v>
      </c>
      <c r="D226" s="2">
        <v>2431.63</v>
      </c>
      <c r="E226" s="3">
        <f t="shared" si="1"/>
        <v>2431.63</v>
      </c>
    </row>
    <row r="227" ht="22.5" customHeight="1">
      <c r="B227" s="2" t="s">
        <v>232</v>
      </c>
      <c r="C227" s="2" t="s">
        <v>9</v>
      </c>
      <c r="D227" s="2">
        <v>2433.15</v>
      </c>
      <c r="E227" s="3">
        <f t="shared" si="1"/>
        <v>2433.15</v>
      </c>
    </row>
    <row r="228" ht="22.5" customHeight="1">
      <c r="B228" s="2" t="s">
        <v>233</v>
      </c>
      <c r="C228" s="2" t="s">
        <v>9</v>
      </c>
      <c r="D228" s="2">
        <v>2465.3</v>
      </c>
      <c r="E228" s="3">
        <f t="shared" si="1"/>
        <v>2465.3</v>
      </c>
    </row>
    <row r="229" ht="22.5" customHeight="1">
      <c r="B229" s="2" t="s">
        <v>234</v>
      </c>
      <c r="C229" s="2" t="s">
        <v>6</v>
      </c>
      <c r="D229" s="2">
        <v>2547.69</v>
      </c>
      <c r="E229" s="3">
        <f t="shared" si="1"/>
        <v>2547.69</v>
      </c>
    </row>
    <row r="230" ht="22.5" customHeight="1">
      <c r="B230" s="2" t="s">
        <v>235</v>
      </c>
      <c r="C230" s="2" t="s">
        <v>9</v>
      </c>
      <c r="D230" s="2">
        <v>2556.9</v>
      </c>
      <c r="E230" s="3">
        <f t="shared" si="1"/>
        <v>2556.9</v>
      </c>
    </row>
    <row r="231" ht="22.5" customHeight="1">
      <c r="B231" s="2" t="s">
        <v>236</v>
      </c>
      <c r="C231" s="2" t="s">
        <v>6</v>
      </c>
      <c r="D231" s="2">
        <v>2585.45</v>
      </c>
      <c r="E231" s="3">
        <f t="shared" si="1"/>
        <v>2585.45</v>
      </c>
    </row>
    <row r="232" ht="22.5" customHeight="1">
      <c r="B232" s="2" t="s">
        <v>237</v>
      </c>
      <c r="C232" s="2" t="s">
        <v>6</v>
      </c>
      <c r="D232" s="2">
        <v>2600.03</v>
      </c>
      <c r="E232" s="3">
        <f t="shared" si="1"/>
        <v>2600.03</v>
      </c>
    </row>
    <row r="233" ht="22.5" customHeight="1">
      <c r="B233" s="2" t="s">
        <v>238</v>
      </c>
      <c r="C233" s="2" t="s">
        <v>9</v>
      </c>
      <c r="D233" s="2">
        <v>2611.26</v>
      </c>
      <c r="E233" s="3">
        <f t="shared" si="1"/>
        <v>2611.26</v>
      </c>
    </row>
    <row r="234" ht="22.5" customHeight="1">
      <c r="B234" s="2" t="s">
        <v>239</v>
      </c>
      <c r="C234" s="2" t="s">
        <v>6</v>
      </c>
      <c r="D234" s="2">
        <v>2615.87</v>
      </c>
      <c r="E234" s="3">
        <f t="shared" si="1"/>
        <v>2615.87</v>
      </c>
    </row>
    <row r="235" ht="22.5" customHeight="1">
      <c r="B235" s="2" t="s">
        <v>240</v>
      </c>
      <c r="C235" s="2" t="s">
        <v>6</v>
      </c>
      <c r="D235" s="2">
        <v>2814.61</v>
      </c>
      <c r="E235" s="3">
        <f t="shared" si="1"/>
        <v>2814.61</v>
      </c>
    </row>
    <row r="236" ht="22.5" customHeight="1">
      <c r="B236" s="2" t="s">
        <v>241</v>
      </c>
      <c r="C236" s="2" t="s">
        <v>9</v>
      </c>
      <c r="D236" s="2">
        <v>2823.46</v>
      </c>
      <c r="E236" s="3">
        <f t="shared" si="1"/>
        <v>2823.46</v>
      </c>
    </row>
    <row r="237" ht="22.5" customHeight="1">
      <c r="B237" s="2" t="s">
        <v>242</v>
      </c>
      <c r="C237" s="2" t="s">
        <v>6</v>
      </c>
      <c r="D237" s="2">
        <v>2823.66</v>
      </c>
      <c r="E237" s="3">
        <f t="shared" si="1"/>
        <v>2823.66</v>
      </c>
    </row>
    <row r="238" ht="22.5" customHeight="1">
      <c r="B238" s="2" t="s">
        <v>243</v>
      </c>
      <c r="C238" s="2" t="s">
        <v>6</v>
      </c>
      <c r="D238" s="2">
        <v>2896.77</v>
      </c>
      <c r="E238" s="3">
        <f t="shared" si="1"/>
        <v>2896.77</v>
      </c>
    </row>
    <row r="239" ht="22.5" customHeight="1">
      <c r="B239" s="2" t="s">
        <v>244</v>
      </c>
      <c r="C239" s="2" t="s">
        <v>9</v>
      </c>
      <c r="D239" s="2">
        <v>2970.31</v>
      </c>
      <c r="E239" s="3">
        <f t="shared" si="1"/>
        <v>2970.31</v>
      </c>
    </row>
    <row r="240" ht="22.5" customHeight="1">
      <c r="B240" s="2" t="s">
        <v>245</v>
      </c>
      <c r="C240" s="2" t="s">
        <v>6</v>
      </c>
      <c r="D240" s="2">
        <v>3086.13</v>
      </c>
      <c r="E240" s="3">
        <f t="shared" si="1"/>
        <v>3086.13</v>
      </c>
    </row>
    <row r="241" ht="22.5" customHeight="1">
      <c r="B241" s="2" t="s">
        <v>246</v>
      </c>
      <c r="C241" s="2" t="s">
        <v>9</v>
      </c>
      <c r="D241" s="2">
        <v>3361.39</v>
      </c>
      <c r="E241" s="3">
        <f t="shared" si="1"/>
        <v>3361.39</v>
      </c>
    </row>
    <row r="242" ht="22.5" customHeight="1">
      <c r="B242" s="2" t="s">
        <v>247</v>
      </c>
      <c r="C242" s="2" t="s">
        <v>9</v>
      </c>
      <c r="D242" s="2">
        <v>3399.28</v>
      </c>
      <c r="E242" s="3">
        <f t="shared" si="1"/>
        <v>3399.28</v>
      </c>
    </row>
    <row r="243" ht="22.5" customHeight="1">
      <c r="B243" s="2" t="s">
        <v>248</v>
      </c>
      <c r="C243" s="2" t="s">
        <v>6</v>
      </c>
      <c r="D243" s="2">
        <v>3485.0</v>
      </c>
      <c r="E243" s="3">
        <f t="shared" si="1"/>
        <v>3485</v>
      </c>
    </row>
    <row r="244" ht="22.5" customHeight="1">
      <c r="B244" s="2" t="s">
        <v>249</v>
      </c>
      <c r="C244" s="2" t="s">
        <v>6</v>
      </c>
      <c r="D244" s="2">
        <v>3680.14</v>
      </c>
      <c r="E244" s="3">
        <f t="shared" si="1"/>
        <v>3680.14</v>
      </c>
    </row>
    <row r="245" ht="22.5" customHeight="1">
      <c r="B245" s="2" t="s">
        <v>250</v>
      </c>
      <c r="C245" s="2" t="s">
        <v>9</v>
      </c>
      <c r="D245" s="2">
        <v>3740.3</v>
      </c>
      <c r="E245" s="3">
        <f t="shared" si="1"/>
        <v>3740.3</v>
      </c>
    </row>
    <row r="246" ht="22.5" customHeight="1">
      <c r="B246" s="2" t="s">
        <v>251</v>
      </c>
      <c r="C246" s="2" t="s">
        <v>9</v>
      </c>
      <c r="D246" s="2">
        <v>3823.69</v>
      </c>
      <c r="E246" s="3">
        <f t="shared" si="1"/>
        <v>3823.69</v>
      </c>
    </row>
    <row r="247" ht="22.5" customHeight="1">
      <c r="B247" s="2" t="s">
        <v>252</v>
      </c>
      <c r="C247" s="2" t="s">
        <v>9</v>
      </c>
      <c r="D247" s="2">
        <v>3831.48</v>
      </c>
      <c r="E247" s="3">
        <f t="shared" si="1"/>
        <v>3831.48</v>
      </c>
    </row>
    <row r="248" ht="22.5" customHeight="1">
      <c r="B248" s="2" t="s">
        <v>253</v>
      </c>
      <c r="C248" s="2" t="s">
        <v>9</v>
      </c>
      <c r="D248" s="2">
        <v>3898.45</v>
      </c>
      <c r="E248" s="3">
        <f t="shared" si="1"/>
        <v>3898.45</v>
      </c>
    </row>
    <row r="249" ht="22.5" customHeight="1">
      <c r="B249" s="2" t="s">
        <v>254</v>
      </c>
      <c r="C249" s="2" t="s">
        <v>9</v>
      </c>
      <c r="D249" s="2">
        <v>3928.85</v>
      </c>
      <c r="E249" s="3">
        <f t="shared" si="1"/>
        <v>3928.85</v>
      </c>
    </row>
    <row r="250" ht="22.5" customHeight="1">
      <c r="B250" s="2" t="s">
        <v>255</v>
      </c>
      <c r="C250" s="2" t="s">
        <v>6</v>
      </c>
      <c r="D250" s="2">
        <v>3940.33</v>
      </c>
      <c r="E250" s="3">
        <f t="shared" si="1"/>
        <v>3940.33</v>
      </c>
    </row>
    <row r="251" ht="22.5" customHeight="1">
      <c r="B251" s="2" t="s">
        <v>256</v>
      </c>
      <c r="C251" s="2" t="s">
        <v>6</v>
      </c>
      <c r="D251" s="2">
        <v>4306.22</v>
      </c>
      <c r="E251" s="3">
        <f t="shared" si="1"/>
        <v>4306.22</v>
      </c>
    </row>
    <row r="252" ht="22.5" customHeight="1">
      <c r="B252" s="2" t="s">
        <v>257</v>
      </c>
      <c r="C252" s="2" t="s">
        <v>9</v>
      </c>
      <c r="D252" s="2">
        <v>4312.36</v>
      </c>
      <c r="E252" s="3">
        <f t="shared" si="1"/>
        <v>4312.36</v>
      </c>
    </row>
    <row r="253" ht="22.5" customHeight="1">
      <c r="B253" s="2" t="s">
        <v>258</v>
      </c>
      <c r="C253" s="2" t="s">
        <v>9</v>
      </c>
      <c r="D253" s="2">
        <v>4389.32</v>
      </c>
      <c r="E253" s="3">
        <f t="shared" si="1"/>
        <v>4389.32</v>
      </c>
    </row>
    <row r="254" ht="22.5" customHeight="1">
      <c r="B254" s="2" t="s">
        <v>259</v>
      </c>
      <c r="C254" s="2" t="s">
        <v>6</v>
      </c>
      <c r="D254" s="2">
        <v>4728.01</v>
      </c>
      <c r="E254" s="3">
        <f t="shared" si="1"/>
        <v>4728.01</v>
      </c>
    </row>
    <row r="255" ht="22.5" customHeight="1">
      <c r="B255" s="2" t="s">
        <v>260</v>
      </c>
      <c r="C255" s="2" t="s">
        <v>6</v>
      </c>
      <c r="D255" s="2">
        <v>4741.26</v>
      </c>
      <c r="E255" s="3">
        <f t="shared" si="1"/>
        <v>4741.26</v>
      </c>
    </row>
    <row r="256" ht="22.5" customHeight="1">
      <c r="B256" s="2" t="s">
        <v>261</v>
      </c>
      <c r="C256" s="2" t="s">
        <v>6</v>
      </c>
      <c r="D256" s="2">
        <v>4749.26</v>
      </c>
      <c r="E256" s="3">
        <f t="shared" si="1"/>
        <v>4749.26</v>
      </c>
    </row>
    <row r="257" ht="22.5" customHeight="1">
      <c r="B257" s="2" t="s">
        <v>262</v>
      </c>
      <c r="C257" s="2" t="s">
        <v>263</v>
      </c>
      <c r="D257" s="2">
        <v>5003.27</v>
      </c>
      <c r="E257" s="3">
        <f t="shared" si="1"/>
        <v>10000</v>
      </c>
    </row>
    <row r="258" ht="22.5" customHeight="1">
      <c r="B258" s="2" t="s">
        <v>264</v>
      </c>
      <c r="C258" s="2" t="s">
        <v>263</v>
      </c>
      <c r="D258" s="2">
        <v>5003.28</v>
      </c>
      <c r="E258" s="3">
        <f t="shared" si="1"/>
        <v>10000</v>
      </c>
    </row>
    <row r="259" ht="22.5" customHeight="1">
      <c r="B259" s="2" t="s">
        <v>265</v>
      </c>
      <c r="C259" s="2" t="s">
        <v>263</v>
      </c>
      <c r="D259" s="2">
        <v>5003.44</v>
      </c>
      <c r="E259" s="3">
        <f t="shared" si="1"/>
        <v>10000</v>
      </c>
    </row>
    <row r="260" ht="22.5" customHeight="1">
      <c r="B260" s="2" t="s">
        <v>266</v>
      </c>
      <c r="C260" s="2" t="s">
        <v>263</v>
      </c>
      <c r="D260" s="2">
        <v>5003.37</v>
      </c>
      <c r="E260" s="3">
        <f t="shared" si="1"/>
        <v>10000</v>
      </c>
    </row>
    <row r="261" ht="22.5" customHeight="1">
      <c r="B261" s="2" t="s">
        <v>267</v>
      </c>
      <c r="C261" s="2" t="s">
        <v>263</v>
      </c>
      <c r="D261" s="2">
        <v>5003.0</v>
      </c>
      <c r="E261" s="3">
        <f t="shared" si="1"/>
        <v>10000</v>
      </c>
    </row>
    <row r="262" ht="22.5" customHeight="1">
      <c r="B262" s="2" t="s">
        <v>268</v>
      </c>
      <c r="C262" s="2" t="s">
        <v>263</v>
      </c>
      <c r="D262" s="2">
        <v>5003.46</v>
      </c>
      <c r="E262" s="3">
        <f t="shared" si="1"/>
        <v>10000</v>
      </c>
    </row>
    <row r="263" ht="22.5" customHeight="1">
      <c r="B263" s="2" t="s">
        <v>269</v>
      </c>
      <c r="C263" s="2" t="s">
        <v>263</v>
      </c>
      <c r="D263" s="2">
        <v>5003.01</v>
      </c>
      <c r="E263" s="3">
        <f t="shared" si="1"/>
        <v>10000</v>
      </c>
    </row>
    <row r="264" ht="22.5" customHeight="1">
      <c r="B264" s="2" t="s">
        <v>270</v>
      </c>
      <c r="C264" s="2" t="s">
        <v>263</v>
      </c>
      <c r="D264" s="2">
        <v>5002.97</v>
      </c>
      <c r="E264" s="3">
        <f t="shared" si="1"/>
        <v>10000</v>
      </c>
    </row>
    <row r="265" ht="22.5" customHeight="1">
      <c r="B265" s="2" t="s">
        <v>271</v>
      </c>
      <c r="C265" s="2" t="s">
        <v>263</v>
      </c>
      <c r="D265" s="2">
        <v>5003.34</v>
      </c>
      <c r="E265" s="3">
        <f t="shared" si="1"/>
        <v>10000</v>
      </c>
    </row>
    <row r="266" ht="22.5" customHeight="1">
      <c r="B266" s="2" t="s">
        <v>272</v>
      </c>
      <c r="C266" s="2" t="s">
        <v>263</v>
      </c>
      <c r="D266" s="2">
        <v>5003.12</v>
      </c>
      <c r="E266" s="3">
        <f t="shared" si="1"/>
        <v>10000</v>
      </c>
    </row>
    <row r="267" ht="22.5" customHeight="1">
      <c r="B267" s="2" t="s">
        <v>273</v>
      </c>
      <c r="C267" s="2" t="s">
        <v>263</v>
      </c>
      <c r="D267" s="2">
        <v>5002.7</v>
      </c>
      <c r="E267" s="3">
        <f t="shared" si="1"/>
        <v>10000</v>
      </c>
    </row>
    <row r="268" ht="22.5" customHeight="1">
      <c r="B268" s="2" t="s">
        <v>274</v>
      </c>
      <c r="C268" s="2" t="s">
        <v>263</v>
      </c>
      <c r="D268" s="2">
        <v>5003.6</v>
      </c>
      <c r="E268" s="3">
        <f t="shared" si="1"/>
        <v>10000</v>
      </c>
    </row>
    <row r="269" ht="22.5" customHeight="1">
      <c r="B269" s="2" t="s">
        <v>275</v>
      </c>
      <c r="C269" s="2" t="s">
        <v>263</v>
      </c>
      <c r="D269" s="2">
        <v>5003.82</v>
      </c>
      <c r="E269" s="3">
        <f t="shared" si="1"/>
        <v>10000</v>
      </c>
    </row>
    <row r="270" ht="22.5" customHeight="1">
      <c r="B270" s="2" t="s">
        <v>276</v>
      </c>
      <c r="C270" s="2" t="s">
        <v>263</v>
      </c>
      <c r="D270" s="2">
        <v>5003.48</v>
      </c>
      <c r="E270" s="3">
        <f t="shared" si="1"/>
        <v>10000</v>
      </c>
    </row>
    <row r="271" ht="22.5" customHeight="1">
      <c r="B271" s="2" t="s">
        <v>277</v>
      </c>
      <c r="C271" s="2" t="s">
        <v>263</v>
      </c>
      <c r="D271" s="2">
        <v>5003.43</v>
      </c>
      <c r="E271" s="3">
        <f t="shared" si="1"/>
        <v>10000</v>
      </c>
    </row>
    <row r="272" ht="22.5" customHeight="1">
      <c r="B272" s="2" t="s">
        <v>278</v>
      </c>
      <c r="C272" s="2" t="s">
        <v>263</v>
      </c>
      <c r="D272" s="2">
        <v>5003.41</v>
      </c>
      <c r="E272" s="3">
        <f t="shared" si="1"/>
        <v>10000</v>
      </c>
    </row>
    <row r="273" ht="22.5" customHeight="1">
      <c r="B273" s="2" t="s">
        <v>279</v>
      </c>
      <c r="C273" s="2" t="s">
        <v>263</v>
      </c>
      <c r="D273" s="2">
        <v>5003.34</v>
      </c>
      <c r="E273" s="3">
        <f t="shared" si="1"/>
        <v>10000</v>
      </c>
    </row>
    <row r="274" ht="22.5" customHeight="1">
      <c r="B274" s="2" t="s">
        <v>280</v>
      </c>
      <c r="C274" s="2" t="s">
        <v>263</v>
      </c>
      <c r="D274" s="2">
        <v>5003.97</v>
      </c>
      <c r="E274" s="3">
        <f t="shared" si="1"/>
        <v>10000</v>
      </c>
    </row>
    <row r="275" ht="22.5" customHeight="1">
      <c r="B275" s="2" t="s">
        <v>281</v>
      </c>
      <c r="C275" s="2" t="s">
        <v>263</v>
      </c>
      <c r="D275" s="2">
        <v>5003.98</v>
      </c>
      <c r="E275" s="3">
        <f t="shared" si="1"/>
        <v>10000</v>
      </c>
    </row>
    <row r="276" ht="22.5" customHeight="1">
      <c r="B276" s="2" t="s">
        <v>282</v>
      </c>
      <c r="C276" s="2" t="s">
        <v>263</v>
      </c>
      <c r="D276" s="2">
        <v>5003.94</v>
      </c>
      <c r="E276" s="3">
        <f t="shared" si="1"/>
        <v>10000</v>
      </c>
    </row>
    <row r="277" ht="22.5" customHeight="1">
      <c r="B277" s="2" t="s">
        <v>283</v>
      </c>
      <c r="C277" s="2" t="s">
        <v>263</v>
      </c>
      <c r="D277" s="2">
        <v>5003.88</v>
      </c>
      <c r="E277" s="3">
        <f t="shared" si="1"/>
        <v>10000</v>
      </c>
    </row>
    <row r="278" ht="22.5" customHeight="1">
      <c r="B278" s="2" t="s">
        <v>284</v>
      </c>
      <c r="C278" s="2" t="s">
        <v>263</v>
      </c>
      <c r="D278" s="2">
        <v>5003.97</v>
      </c>
      <c r="E278" s="3">
        <f t="shared" si="1"/>
        <v>10000</v>
      </c>
    </row>
    <row r="279" ht="22.5" customHeight="1">
      <c r="B279" s="2" t="s">
        <v>285</v>
      </c>
      <c r="C279" s="2" t="s">
        <v>263</v>
      </c>
      <c r="D279" s="2">
        <v>5003.7</v>
      </c>
      <c r="E279" s="3">
        <f t="shared" si="1"/>
        <v>10000</v>
      </c>
    </row>
    <row r="280" ht="22.5" customHeight="1">
      <c r="B280" s="2" t="s">
        <v>286</v>
      </c>
      <c r="C280" s="2" t="s">
        <v>263</v>
      </c>
      <c r="D280" s="2">
        <v>5003.69</v>
      </c>
      <c r="E280" s="3">
        <f t="shared" si="1"/>
        <v>10000</v>
      </c>
    </row>
    <row r="281" ht="22.5" customHeight="1">
      <c r="B281" s="2" t="s">
        <v>287</v>
      </c>
      <c r="C281" s="2" t="s">
        <v>263</v>
      </c>
      <c r="D281" s="2">
        <v>5003.53</v>
      </c>
      <c r="E281" s="3">
        <f t="shared" si="1"/>
        <v>10000</v>
      </c>
    </row>
    <row r="282" ht="22.5" customHeight="1">
      <c r="B282" s="2" t="s">
        <v>288</v>
      </c>
      <c r="C282" s="2" t="s">
        <v>263</v>
      </c>
      <c r="D282" s="2">
        <v>5003.87</v>
      </c>
      <c r="E282" s="3">
        <f t="shared" si="1"/>
        <v>10000</v>
      </c>
    </row>
    <row r="283" ht="22.5" customHeight="1">
      <c r="B283" s="2" t="s">
        <v>289</v>
      </c>
      <c r="C283" s="2" t="s">
        <v>263</v>
      </c>
      <c r="D283" s="2">
        <v>5003.82</v>
      </c>
      <c r="E283" s="3">
        <f t="shared" si="1"/>
        <v>10000</v>
      </c>
    </row>
    <row r="284" ht="22.5" customHeight="1">
      <c r="B284" s="2" t="s">
        <v>290</v>
      </c>
      <c r="C284" s="2" t="s">
        <v>263</v>
      </c>
      <c r="D284" s="2">
        <v>5003.93</v>
      </c>
      <c r="E284" s="3">
        <f t="shared" si="1"/>
        <v>10000</v>
      </c>
    </row>
    <row r="285" ht="22.5" customHeight="1">
      <c r="B285" s="2" t="s">
        <v>291</v>
      </c>
      <c r="C285" s="2" t="s">
        <v>263</v>
      </c>
      <c r="D285" s="2">
        <v>5003.9</v>
      </c>
      <c r="E285" s="3">
        <f t="shared" si="1"/>
        <v>10000</v>
      </c>
    </row>
    <row r="286" ht="22.5" customHeight="1">
      <c r="B286" s="2" t="s">
        <v>292</v>
      </c>
      <c r="C286" s="2" t="s">
        <v>263</v>
      </c>
      <c r="D286" s="2">
        <v>5003.91</v>
      </c>
      <c r="E286" s="3">
        <f t="shared" si="1"/>
        <v>10000</v>
      </c>
    </row>
    <row r="287" ht="22.5" customHeight="1">
      <c r="B287" s="2" t="s">
        <v>293</v>
      </c>
      <c r="C287" s="2" t="s">
        <v>263</v>
      </c>
      <c r="D287" s="2">
        <v>5003.8</v>
      </c>
      <c r="E287" s="3">
        <f t="shared" si="1"/>
        <v>10000</v>
      </c>
    </row>
    <row r="288" ht="22.5" customHeight="1">
      <c r="B288" s="2" t="s">
        <v>294</v>
      </c>
      <c r="C288" s="2" t="s">
        <v>263</v>
      </c>
      <c r="D288" s="2">
        <v>5003.97</v>
      </c>
      <c r="E288" s="3">
        <f t="shared" si="1"/>
        <v>10000</v>
      </c>
    </row>
    <row r="289" ht="22.5" customHeight="1">
      <c r="B289" s="2" t="s">
        <v>295</v>
      </c>
      <c r="C289" s="2" t="s">
        <v>263</v>
      </c>
      <c r="D289" s="2">
        <v>5003.78</v>
      </c>
      <c r="E289" s="3">
        <f t="shared" si="1"/>
        <v>10000</v>
      </c>
    </row>
    <row r="290" ht="22.5" customHeight="1">
      <c r="B290" s="2" t="s">
        <v>296</v>
      </c>
      <c r="C290" s="2" t="s">
        <v>263</v>
      </c>
      <c r="D290" s="2">
        <v>5003.75</v>
      </c>
      <c r="E290" s="3">
        <f t="shared" si="1"/>
        <v>10000</v>
      </c>
    </row>
    <row r="291" ht="22.5" customHeight="1">
      <c r="B291" s="2" t="s">
        <v>297</v>
      </c>
      <c r="C291" s="2" t="s">
        <v>263</v>
      </c>
      <c r="D291" s="2">
        <v>5003.96</v>
      </c>
      <c r="E291" s="3">
        <f t="shared" si="1"/>
        <v>10000</v>
      </c>
    </row>
    <row r="292" ht="22.5" customHeight="1">
      <c r="B292" s="2" t="s">
        <v>298</v>
      </c>
      <c r="C292" s="2" t="s">
        <v>263</v>
      </c>
      <c r="D292" s="2">
        <v>5003.77</v>
      </c>
      <c r="E292" s="3">
        <f t="shared" si="1"/>
        <v>10000</v>
      </c>
    </row>
    <row r="293" ht="22.5" customHeight="1">
      <c r="B293" s="2" t="s">
        <v>299</v>
      </c>
      <c r="C293" s="2" t="s">
        <v>263</v>
      </c>
      <c r="D293" s="2">
        <v>5003.76</v>
      </c>
      <c r="E293" s="3">
        <f t="shared" si="1"/>
        <v>10000</v>
      </c>
    </row>
    <row r="294" ht="22.5" customHeight="1">
      <c r="B294" s="2" t="s">
        <v>300</v>
      </c>
      <c r="C294" s="2" t="s">
        <v>263</v>
      </c>
      <c r="D294" s="2">
        <v>5003.95</v>
      </c>
      <c r="E294" s="3">
        <f t="shared" si="1"/>
        <v>10000</v>
      </c>
    </row>
    <row r="295" ht="22.5" customHeight="1">
      <c r="B295" s="2" t="s">
        <v>301</v>
      </c>
      <c r="C295" s="2" t="s">
        <v>263</v>
      </c>
      <c r="D295" s="2">
        <v>5004.0</v>
      </c>
      <c r="E295" s="3">
        <f t="shared" si="1"/>
        <v>10000</v>
      </c>
    </row>
    <row r="296" ht="22.5" customHeight="1">
      <c r="B296" s="2" t="s">
        <v>302</v>
      </c>
      <c r="C296" s="2" t="s">
        <v>263</v>
      </c>
      <c r="D296" s="2">
        <v>5003.82</v>
      </c>
      <c r="E296" s="3">
        <f t="shared" si="1"/>
        <v>10000</v>
      </c>
    </row>
    <row r="297" ht="22.5" customHeight="1">
      <c r="B297" s="2" t="s">
        <v>303</v>
      </c>
      <c r="C297" s="2" t="s">
        <v>263</v>
      </c>
      <c r="D297" s="2">
        <v>5003.65</v>
      </c>
      <c r="E297" s="3">
        <f t="shared" si="1"/>
        <v>10000</v>
      </c>
    </row>
    <row r="298" ht="22.5" customHeight="1">
      <c r="B298" s="2" t="s">
        <v>304</v>
      </c>
      <c r="C298" s="2" t="s">
        <v>263</v>
      </c>
      <c r="D298" s="2">
        <v>5003.3</v>
      </c>
      <c r="E298" s="3">
        <f t="shared" si="1"/>
        <v>10000</v>
      </c>
    </row>
    <row r="299" ht="22.5" customHeight="1">
      <c r="B299" s="2" t="s">
        <v>305</v>
      </c>
      <c r="C299" s="2" t="s">
        <v>263</v>
      </c>
      <c r="D299" s="2">
        <v>5003.75</v>
      </c>
      <c r="E299" s="3">
        <f t="shared" si="1"/>
        <v>10000</v>
      </c>
    </row>
    <row r="300" ht="22.5" customHeight="1">
      <c r="B300" s="2" t="s">
        <v>306</v>
      </c>
      <c r="C300" s="2" t="s">
        <v>263</v>
      </c>
      <c r="D300" s="2">
        <v>5003.82</v>
      </c>
      <c r="E300" s="3">
        <f t="shared" si="1"/>
        <v>10000</v>
      </c>
    </row>
    <row r="301" ht="22.5" customHeight="1">
      <c r="B301" s="2" t="s">
        <v>307</v>
      </c>
      <c r="C301" s="2" t="s">
        <v>9</v>
      </c>
      <c r="D301" s="2">
        <v>4957.41</v>
      </c>
      <c r="E301" s="3">
        <f t="shared" si="1"/>
        <v>10000</v>
      </c>
    </row>
    <row r="302" ht="22.5" customHeight="1">
      <c r="B302" s="2" t="s">
        <v>308</v>
      </c>
      <c r="C302" s="2" t="s">
        <v>263</v>
      </c>
      <c r="D302" s="2">
        <v>5003.93</v>
      </c>
      <c r="E302" s="3">
        <f t="shared" si="1"/>
        <v>10000</v>
      </c>
    </row>
    <row r="303" ht="22.5" customHeight="1">
      <c r="B303" s="2" t="s">
        <v>309</v>
      </c>
      <c r="C303" s="2" t="s">
        <v>263</v>
      </c>
      <c r="D303" s="2">
        <v>5003.91</v>
      </c>
      <c r="E303" s="3">
        <f t="shared" si="1"/>
        <v>10000</v>
      </c>
    </row>
    <row r="304" ht="22.5" customHeight="1">
      <c r="B304" s="2" t="s">
        <v>310</v>
      </c>
      <c r="C304" s="2" t="s">
        <v>263</v>
      </c>
      <c r="D304" s="2">
        <v>5004.03</v>
      </c>
      <c r="E304" s="3">
        <f t="shared" si="1"/>
        <v>10000</v>
      </c>
    </row>
    <row r="305" ht="22.5" customHeight="1">
      <c r="B305" s="2" t="s">
        <v>311</v>
      </c>
      <c r="C305" s="2" t="s">
        <v>263</v>
      </c>
      <c r="D305" s="2">
        <v>5003.69</v>
      </c>
      <c r="E305" s="3">
        <f t="shared" si="1"/>
        <v>10000</v>
      </c>
    </row>
    <row r="306" ht="22.5" customHeight="1">
      <c r="B306" s="2" t="s">
        <v>312</v>
      </c>
      <c r="C306" s="2" t="s">
        <v>263</v>
      </c>
      <c r="D306" s="2">
        <v>5003.96</v>
      </c>
      <c r="E306" s="3">
        <f t="shared" si="1"/>
        <v>10000</v>
      </c>
    </row>
    <row r="307" ht="22.5" customHeight="1">
      <c r="B307" s="2" t="s">
        <v>313</v>
      </c>
      <c r="C307" s="2" t="s">
        <v>263</v>
      </c>
      <c r="D307" s="2">
        <v>5005.91</v>
      </c>
      <c r="E307" s="3">
        <f t="shared" si="1"/>
        <v>10000</v>
      </c>
    </row>
    <row r="308" ht="22.5" customHeight="1">
      <c r="B308" s="2" t="s">
        <v>314</v>
      </c>
      <c r="C308" s="2" t="s">
        <v>263</v>
      </c>
      <c r="D308" s="2">
        <v>5004.02</v>
      </c>
      <c r="E308" s="3">
        <f t="shared" si="1"/>
        <v>10000</v>
      </c>
    </row>
    <row r="309" ht="22.5" customHeight="1">
      <c r="B309" s="2" t="s">
        <v>315</v>
      </c>
      <c r="C309" s="2" t="s">
        <v>263</v>
      </c>
      <c r="D309" s="2">
        <v>5004.01</v>
      </c>
      <c r="E309" s="3">
        <f t="shared" si="1"/>
        <v>10000</v>
      </c>
    </row>
    <row r="310" ht="22.5" customHeight="1">
      <c r="B310" s="2" t="s">
        <v>316</v>
      </c>
      <c r="C310" s="2" t="s">
        <v>263</v>
      </c>
      <c r="D310" s="2">
        <v>5003.97</v>
      </c>
      <c r="E310" s="3">
        <f t="shared" si="1"/>
        <v>10000</v>
      </c>
    </row>
    <row r="311" ht="22.5" customHeight="1">
      <c r="B311" s="2" t="s">
        <v>317</v>
      </c>
      <c r="C311" s="2" t="s">
        <v>263</v>
      </c>
      <c r="D311" s="2">
        <v>5003.99</v>
      </c>
      <c r="E311" s="3">
        <f t="shared" si="1"/>
        <v>10000</v>
      </c>
    </row>
    <row r="312" ht="22.5" customHeight="1">
      <c r="B312" s="2" t="s">
        <v>318</v>
      </c>
      <c r="C312" s="2" t="s">
        <v>263</v>
      </c>
      <c r="D312" s="2">
        <v>5003.97</v>
      </c>
      <c r="E312" s="3">
        <f t="shared" si="1"/>
        <v>10000</v>
      </c>
    </row>
    <row r="313" ht="22.5" customHeight="1">
      <c r="B313" s="2" t="s">
        <v>319</v>
      </c>
      <c r="C313" s="2" t="s">
        <v>263</v>
      </c>
      <c r="D313" s="2">
        <v>5003.98</v>
      </c>
      <c r="E313" s="3">
        <f t="shared" si="1"/>
        <v>10000</v>
      </c>
    </row>
    <row r="314" ht="22.5" customHeight="1">
      <c r="B314" s="2" t="s">
        <v>320</v>
      </c>
      <c r="C314" s="2" t="s">
        <v>263</v>
      </c>
      <c r="D314" s="2">
        <v>5003.98</v>
      </c>
      <c r="E314" s="3">
        <f t="shared" si="1"/>
        <v>10000</v>
      </c>
    </row>
    <row r="315" ht="22.5" customHeight="1">
      <c r="B315" s="2" t="s">
        <v>321</v>
      </c>
      <c r="C315" s="2" t="s">
        <v>263</v>
      </c>
      <c r="D315" s="2">
        <v>5003.95</v>
      </c>
      <c r="E315" s="3">
        <f t="shared" si="1"/>
        <v>10000</v>
      </c>
    </row>
    <row r="316" ht="22.5" customHeight="1">
      <c r="B316" s="2" t="s">
        <v>322</v>
      </c>
      <c r="C316" s="2" t="s">
        <v>263</v>
      </c>
      <c r="D316" s="2">
        <v>5004.01</v>
      </c>
      <c r="E316" s="3">
        <f t="shared" si="1"/>
        <v>10000</v>
      </c>
    </row>
    <row r="317" ht="22.5" customHeight="1">
      <c r="B317" s="2" t="s">
        <v>323</v>
      </c>
      <c r="C317" s="2" t="s">
        <v>263</v>
      </c>
      <c r="D317" s="2">
        <v>5003.99</v>
      </c>
      <c r="E317" s="3">
        <f t="shared" si="1"/>
        <v>10000</v>
      </c>
    </row>
    <row r="318" ht="22.5" customHeight="1">
      <c r="B318" s="2" t="s">
        <v>324</v>
      </c>
      <c r="C318" s="2" t="s">
        <v>263</v>
      </c>
      <c r="D318" s="2">
        <v>5003.95</v>
      </c>
      <c r="E318" s="3">
        <f t="shared" si="1"/>
        <v>10000</v>
      </c>
    </row>
    <row r="319" ht="22.5" customHeight="1">
      <c r="B319" s="2" t="s">
        <v>325</v>
      </c>
      <c r="C319" s="2" t="s">
        <v>263</v>
      </c>
      <c r="D319" s="2">
        <v>5003.97</v>
      </c>
      <c r="E319" s="3">
        <f t="shared" si="1"/>
        <v>10000</v>
      </c>
    </row>
    <row r="320" ht="22.5" customHeight="1">
      <c r="B320" s="2" t="s">
        <v>326</v>
      </c>
      <c r="C320" s="2" t="s">
        <v>263</v>
      </c>
      <c r="D320" s="2">
        <v>5003.49</v>
      </c>
      <c r="E320" s="3">
        <f t="shared" si="1"/>
        <v>10000</v>
      </c>
    </row>
    <row r="321" ht="22.5" customHeight="1">
      <c r="B321" s="2" t="s">
        <v>327</v>
      </c>
      <c r="C321" s="2" t="s">
        <v>263</v>
      </c>
      <c r="D321" s="2">
        <v>5004.0</v>
      </c>
      <c r="E321" s="3">
        <f t="shared" si="1"/>
        <v>10000</v>
      </c>
    </row>
    <row r="322" ht="22.5" customHeight="1">
      <c r="B322" s="2" t="s">
        <v>328</v>
      </c>
      <c r="C322" s="2" t="s">
        <v>263</v>
      </c>
      <c r="D322" s="2">
        <v>5003.74</v>
      </c>
      <c r="E322" s="3">
        <f t="shared" si="1"/>
        <v>10000</v>
      </c>
    </row>
    <row r="323" ht="22.5" customHeight="1">
      <c r="B323" s="2" t="s">
        <v>329</v>
      </c>
      <c r="C323" s="2" t="s">
        <v>263</v>
      </c>
      <c r="D323" s="2">
        <v>5003.98</v>
      </c>
      <c r="E323" s="3">
        <f t="shared" si="1"/>
        <v>10000</v>
      </c>
    </row>
    <row r="324" ht="22.5" customHeight="1">
      <c r="B324" s="2" t="s">
        <v>330</v>
      </c>
      <c r="C324" s="2" t="s">
        <v>263</v>
      </c>
      <c r="D324" s="2">
        <v>5004.0</v>
      </c>
      <c r="E324" s="3">
        <f t="shared" si="1"/>
        <v>10000</v>
      </c>
    </row>
    <row r="325" ht="22.5" customHeight="1">
      <c r="B325" s="2" t="s">
        <v>331</v>
      </c>
      <c r="C325" s="2" t="s">
        <v>263</v>
      </c>
      <c r="D325" s="2">
        <v>5004.0</v>
      </c>
      <c r="E325" s="3">
        <f t="shared" si="1"/>
        <v>10000</v>
      </c>
    </row>
    <row r="326" ht="22.5" customHeight="1">
      <c r="B326" s="2" t="s">
        <v>332</v>
      </c>
      <c r="C326" s="2" t="s">
        <v>263</v>
      </c>
      <c r="D326" s="2">
        <v>5003.86</v>
      </c>
      <c r="E326" s="3">
        <f t="shared" si="1"/>
        <v>10000</v>
      </c>
    </row>
    <row r="327" ht="22.5" customHeight="1">
      <c r="B327" s="2" t="s">
        <v>333</v>
      </c>
      <c r="C327" s="2" t="s">
        <v>263</v>
      </c>
      <c r="D327" s="2">
        <v>5003.92</v>
      </c>
      <c r="E327" s="3">
        <f t="shared" si="1"/>
        <v>10000</v>
      </c>
    </row>
    <row r="328" ht="22.5" customHeight="1">
      <c r="B328" s="2" t="s">
        <v>334</v>
      </c>
      <c r="C328" s="2" t="s">
        <v>263</v>
      </c>
      <c r="D328" s="2">
        <v>5003.95</v>
      </c>
      <c r="E328" s="3">
        <f t="shared" si="1"/>
        <v>10000</v>
      </c>
    </row>
    <row r="329" ht="22.5" customHeight="1">
      <c r="B329" s="2" t="s">
        <v>335</v>
      </c>
      <c r="C329" s="2" t="s">
        <v>263</v>
      </c>
      <c r="D329" s="2">
        <v>5003.99</v>
      </c>
      <c r="E329" s="3">
        <f t="shared" si="1"/>
        <v>10000</v>
      </c>
    </row>
    <row r="330" ht="22.5" customHeight="1">
      <c r="B330" s="2" t="s">
        <v>336</v>
      </c>
      <c r="C330" s="2" t="s">
        <v>263</v>
      </c>
      <c r="D330" s="2">
        <v>5003.99</v>
      </c>
      <c r="E330" s="3">
        <f t="shared" si="1"/>
        <v>10000</v>
      </c>
    </row>
    <row r="331" ht="22.5" customHeight="1">
      <c r="B331" s="2" t="s">
        <v>337</v>
      </c>
      <c r="C331" s="2" t="s">
        <v>263</v>
      </c>
      <c r="D331" s="2">
        <v>5003.61</v>
      </c>
      <c r="E331" s="3">
        <f t="shared" si="1"/>
        <v>10000</v>
      </c>
    </row>
    <row r="332" ht="22.5" customHeight="1">
      <c r="B332" s="2" t="s">
        <v>338</v>
      </c>
      <c r="C332" s="2" t="s">
        <v>263</v>
      </c>
      <c r="D332" s="2">
        <v>5004.01</v>
      </c>
      <c r="E332" s="3">
        <f t="shared" si="1"/>
        <v>10000</v>
      </c>
    </row>
    <row r="333" ht="22.5" customHeight="1">
      <c r="B333" s="2" t="s">
        <v>339</v>
      </c>
      <c r="C333" s="2" t="s">
        <v>263</v>
      </c>
      <c r="D333" s="2">
        <v>5003.98</v>
      </c>
      <c r="E333" s="3">
        <f t="shared" si="1"/>
        <v>10000</v>
      </c>
    </row>
    <row r="334" ht="22.5" customHeight="1">
      <c r="B334" s="2" t="s">
        <v>340</v>
      </c>
      <c r="C334" s="2" t="s">
        <v>263</v>
      </c>
      <c r="D334" s="2">
        <v>5003.69</v>
      </c>
      <c r="E334" s="3">
        <f t="shared" si="1"/>
        <v>10000</v>
      </c>
    </row>
    <row r="335" ht="22.5" customHeight="1">
      <c r="B335" s="2" t="s">
        <v>341</v>
      </c>
      <c r="C335" s="2" t="s">
        <v>263</v>
      </c>
      <c r="D335" s="2">
        <v>5003.98</v>
      </c>
      <c r="E335" s="3">
        <f t="shared" si="1"/>
        <v>10000</v>
      </c>
    </row>
    <row r="336" ht="22.5" customHeight="1">
      <c r="B336" s="2" t="s">
        <v>342</v>
      </c>
      <c r="C336" s="2" t="s">
        <v>263</v>
      </c>
      <c r="D336" s="2">
        <v>5003.95</v>
      </c>
      <c r="E336" s="3">
        <f t="shared" si="1"/>
        <v>10000</v>
      </c>
    </row>
    <row r="337" ht="22.5" customHeight="1">
      <c r="B337" s="2" t="s">
        <v>343</v>
      </c>
      <c r="C337" s="2" t="s">
        <v>263</v>
      </c>
      <c r="D337" s="2">
        <v>5003.92</v>
      </c>
      <c r="E337" s="3">
        <f t="shared" si="1"/>
        <v>10000</v>
      </c>
    </row>
    <row r="338" ht="22.5" customHeight="1">
      <c r="B338" s="2" t="s">
        <v>344</v>
      </c>
      <c r="C338" s="2" t="s">
        <v>263</v>
      </c>
      <c r="D338" s="2">
        <v>5003.92</v>
      </c>
      <c r="E338" s="3">
        <f t="shared" si="1"/>
        <v>10000</v>
      </c>
    </row>
    <row r="339" ht="22.5" customHeight="1">
      <c r="B339" s="2" t="s">
        <v>345</v>
      </c>
      <c r="C339" s="2" t="s">
        <v>263</v>
      </c>
      <c r="D339" s="2">
        <v>5003.97</v>
      </c>
      <c r="E339" s="3">
        <f t="shared" si="1"/>
        <v>10000</v>
      </c>
    </row>
    <row r="340" ht="22.5" customHeight="1">
      <c r="B340" s="2" t="s">
        <v>346</v>
      </c>
      <c r="C340" s="2" t="s">
        <v>263</v>
      </c>
      <c r="D340" s="2">
        <v>5004.0</v>
      </c>
      <c r="E340" s="3">
        <f t="shared" si="1"/>
        <v>10000</v>
      </c>
    </row>
    <row r="341" ht="22.5" customHeight="1">
      <c r="B341" s="2" t="s">
        <v>347</v>
      </c>
      <c r="C341" s="2" t="s">
        <v>263</v>
      </c>
      <c r="D341" s="2">
        <v>5003.98</v>
      </c>
      <c r="E341" s="3">
        <f t="shared" si="1"/>
        <v>10000</v>
      </c>
    </row>
    <row r="342" ht="22.5" customHeight="1">
      <c r="B342" s="2" t="s">
        <v>348</v>
      </c>
      <c r="C342" s="2" t="s">
        <v>263</v>
      </c>
      <c r="D342" s="2">
        <v>5003.92</v>
      </c>
      <c r="E342" s="3">
        <f t="shared" si="1"/>
        <v>10000</v>
      </c>
    </row>
    <row r="343" ht="22.5" customHeight="1">
      <c r="B343" s="2" t="s">
        <v>349</v>
      </c>
      <c r="C343" s="2" t="s">
        <v>263</v>
      </c>
      <c r="D343" s="2">
        <v>5003.94</v>
      </c>
      <c r="E343" s="3">
        <f t="shared" si="1"/>
        <v>10000</v>
      </c>
    </row>
    <row r="344" ht="22.5" customHeight="1">
      <c r="B344" s="2" t="s">
        <v>350</v>
      </c>
      <c r="C344" s="2" t="s">
        <v>263</v>
      </c>
      <c r="D344" s="2">
        <v>5003.93</v>
      </c>
      <c r="E344" s="3">
        <f t="shared" si="1"/>
        <v>10000</v>
      </c>
    </row>
    <row r="345" ht="22.5" customHeight="1">
      <c r="B345" s="2" t="s">
        <v>351</v>
      </c>
      <c r="C345" s="2" t="s">
        <v>263</v>
      </c>
      <c r="D345" s="2">
        <v>5003.92</v>
      </c>
      <c r="E345" s="3">
        <f t="shared" si="1"/>
        <v>10000</v>
      </c>
    </row>
    <row r="346" ht="22.5" customHeight="1">
      <c r="B346" s="2" t="s">
        <v>352</v>
      </c>
      <c r="C346" s="2" t="s">
        <v>263</v>
      </c>
      <c r="D346" s="2">
        <v>5003.88</v>
      </c>
      <c r="E346" s="3">
        <f t="shared" si="1"/>
        <v>10000</v>
      </c>
    </row>
    <row r="347" ht="22.5" customHeight="1">
      <c r="B347" s="2" t="s">
        <v>353</v>
      </c>
      <c r="C347" s="2" t="s">
        <v>263</v>
      </c>
      <c r="D347" s="2">
        <v>5003.85</v>
      </c>
      <c r="E347" s="3">
        <f t="shared" si="1"/>
        <v>10000</v>
      </c>
    </row>
    <row r="348" ht="22.5" customHeight="1">
      <c r="B348" s="2" t="s">
        <v>354</v>
      </c>
      <c r="C348" s="2" t="s">
        <v>263</v>
      </c>
      <c r="D348" s="2">
        <v>5003.95</v>
      </c>
      <c r="E348" s="3">
        <f t="shared" si="1"/>
        <v>10000</v>
      </c>
    </row>
    <row r="349" ht="22.5" customHeight="1">
      <c r="B349" s="2" t="s">
        <v>355</v>
      </c>
      <c r="C349" s="2" t="s">
        <v>263</v>
      </c>
      <c r="D349" s="2">
        <v>5003.94</v>
      </c>
      <c r="E349" s="3">
        <f t="shared" si="1"/>
        <v>10000</v>
      </c>
    </row>
    <row r="350" ht="22.5" customHeight="1">
      <c r="B350" s="2" t="s">
        <v>356</v>
      </c>
      <c r="C350" s="2" t="s">
        <v>263</v>
      </c>
      <c r="D350" s="2">
        <v>5003.91</v>
      </c>
      <c r="E350" s="3">
        <f t="shared" si="1"/>
        <v>10000</v>
      </c>
    </row>
    <row r="351" ht="22.5" customHeight="1">
      <c r="B351" s="2" t="s">
        <v>357</v>
      </c>
      <c r="C351" s="2" t="s">
        <v>263</v>
      </c>
      <c r="D351" s="2">
        <v>5003.86</v>
      </c>
      <c r="E351" s="3">
        <f t="shared" si="1"/>
        <v>10000</v>
      </c>
    </row>
    <row r="352" ht="22.5" customHeight="1">
      <c r="B352" s="2" t="s">
        <v>358</v>
      </c>
      <c r="C352" s="2" t="s">
        <v>263</v>
      </c>
      <c r="D352" s="2">
        <v>5003.97</v>
      </c>
      <c r="E352" s="3">
        <f t="shared" si="1"/>
        <v>10000</v>
      </c>
    </row>
    <row r="353" ht="22.5" customHeight="1">
      <c r="B353" s="2" t="s">
        <v>359</v>
      </c>
      <c r="C353" s="2" t="s">
        <v>263</v>
      </c>
      <c r="D353" s="2">
        <v>5003.92</v>
      </c>
      <c r="E353" s="3">
        <f t="shared" si="1"/>
        <v>10000</v>
      </c>
    </row>
    <row r="354" ht="22.5" customHeight="1">
      <c r="B354" s="2" t="s">
        <v>360</v>
      </c>
      <c r="C354" s="2" t="s">
        <v>263</v>
      </c>
      <c r="D354" s="2">
        <v>5003.94</v>
      </c>
      <c r="E354" s="3">
        <f t="shared" si="1"/>
        <v>10000</v>
      </c>
    </row>
    <row r="355" ht="22.5" customHeight="1">
      <c r="B355" s="2" t="s">
        <v>361</v>
      </c>
      <c r="C355" s="2" t="s">
        <v>263</v>
      </c>
      <c r="D355" s="2">
        <v>5003.92</v>
      </c>
      <c r="E355" s="3">
        <f t="shared" si="1"/>
        <v>10000</v>
      </c>
    </row>
    <row r="356" ht="22.5" customHeight="1">
      <c r="B356" s="2" t="s">
        <v>362</v>
      </c>
      <c r="C356" s="2" t="s">
        <v>263</v>
      </c>
      <c r="D356" s="2">
        <v>5003.93</v>
      </c>
      <c r="E356" s="3">
        <f t="shared" si="1"/>
        <v>10000</v>
      </c>
    </row>
    <row r="357" ht="22.5" customHeight="1">
      <c r="B357" s="2" t="s">
        <v>363</v>
      </c>
      <c r="C357" s="2" t="s">
        <v>263</v>
      </c>
      <c r="D357" s="2">
        <v>5003.91</v>
      </c>
      <c r="E357" s="3">
        <f t="shared" si="1"/>
        <v>10000</v>
      </c>
    </row>
    <row r="358" ht="22.5" customHeight="1">
      <c r="B358" s="2" t="s">
        <v>364</v>
      </c>
      <c r="C358" s="2" t="s">
        <v>263</v>
      </c>
      <c r="D358" s="2">
        <v>5003.91</v>
      </c>
      <c r="E358" s="3">
        <f t="shared" si="1"/>
        <v>10000</v>
      </c>
    </row>
    <row r="359" ht="22.5" customHeight="1">
      <c r="B359" s="2" t="s">
        <v>365</v>
      </c>
      <c r="C359" s="2" t="s">
        <v>263</v>
      </c>
      <c r="D359" s="2">
        <v>5003.9</v>
      </c>
      <c r="E359" s="3">
        <f t="shared" si="1"/>
        <v>10000</v>
      </c>
    </row>
    <row r="360" ht="22.5" customHeight="1">
      <c r="B360" s="2" t="s">
        <v>366</v>
      </c>
      <c r="C360" s="2" t="s">
        <v>263</v>
      </c>
      <c r="D360" s="2">
        <v>5003.91</v>
      </c>
      <c r="E360" s="3">
        <f t="shared" si="1"/>
        <v>10000</v>
      </c>
    </row>
    <row r="361" ht="22.5" customHeight="1">
      <c r="B361" s="2" t="s">
        <v>367</v>
      </c>
      <c r="C361" s="2" t="s">
        <v>263</v>
      </c>
      <c r="D361" s="2">
        <v>5003.88</v>
      </c>
      <c r="E361" s="3">
        <f t="shared" si="1"/>
        <v>10000</v>
      </c>
    </row>
    <row r="362" ht="22.5" customHeight="1">
      <c r="B362" s="2" t="s">
        <v>368</v>
      </c>
      <c r="C362" s="2" t="s">
        <v>263</v>
      </c>
      <c r="D362" s="2">
        <v>5003.89</v>
      </c>
      <c r="E362" s="3">
        <f t="shared" si="1"/>
        <v>10000</v>
      </c>
    </row>
    <row r="363" ht="22.5" customHeight="1">
      <c r="B363" s="2" t="s">
        <v>369</v>
      </c>
      <c r="C363" s="2" t="s">
        <v>263</v>
      </c>
      <c r="D363" s="2">
        <v>5003.91</v>
      </c>
      <c r="E363" s="3">
        <f t="shared" si="1"/>
        <v>10000</v>
      </c>
    </row>
    <row r="364" ht="22.5" customHeight="1">
      <c r="B364" s="2" t="s">
        <v>370</v>
      </c>
      <c r="C364" s="2" t="s">
        <v>263</v>
      </c>
      <c r="D364" s="2">
        <v>5004.01</v>
      </c>
      <c r="E364" s="3">
        <f t="shared" si="1"/>
        <v>10000</v>
      </c>
    </row>
    <row r="365" ht="22.5" customHeight="1">
      <c r="B365" s="2" t="s">
        <v>371</v>
      </c>
      <c r="C365" s="2" t="s">
        <v>263</v>
      </c>
      <c r="D365" s="2">
        <v>5003.82</v>
      </c>
      <c r="E365" s="3">
        <f t="shared" si="1"/>
        <v>10000</v>
      </c>
    </row>
    <row r="366" ht="22.5" customHeight="1">
      <c r="B366" s="2" t="s">
        <v>372</v>
      </c>
      <c r="C366" s="2" t="s">
        <v>263</v>
      </c>
      <c r="D366" s="2">
        <v>5003.9</v>
      </c>
      <c r="E366" s="3">
        <f t="shared" si="1"/>
        <v>10000</v>
      </c>
    </row>
    <row r="367" ht="22.5" customHeight="1">
      <c r="B367" s="2" t="s">
        <v>373</v>
      </c>
      <c r="C367" s="2" t="s">
        <v>263</v>
      </c>
      <c r="D367" s="2">
        <v>5003.9</v>
      </c>
      <c r="E367" s="3">
        <f t="shared" si="1"/>
        <v>10000</v>
      </c>
    </row>
    <row r="368" ht="22.5" customHeight="1">
      <c r="B368" s="2" t="s">
        <v>374</v>
      </c>
      <c r="C368" s="2" t="s">
        <v>263</v>
      </c>
      <c r="D368" s="2">
        <v>5003.84</v>
      </c>
      <c r="E368" s="3">
        <f t="shared" si="1"/>
        <v>10000</v>
      </c>
    </row>
    <row r="369" ht="22.5" customHeight="1">
      <c r="B369" s="2" t="s">
        <v>375</v>
      </c>
      <c r="C369" s="2" t="s">
        <v>263</v>
      </c>
      <c r="D369" s="2">
        <v>5003.95</v>
      </c>
      <c r="E369" s="3">
        <f t="shared" si="1"/>
        <v>10000</v>
      </c>
    </row>
    <row r="370" ht="22.5" customHeight="1">
      <c r="B370" s="2" t="s">
        <v>376</v>
      </c>
      <c r="C370" s="2" t="s">
        <v>263</v>
      </c>
      <c r="D370" s="2">
        <v>5003.87</v>
      </c>
      <c r="E370" s="3">
        <f t="shared" si="1"/>
        <v>10000</v>
      </c>
    </row>
    <row r="371" ht="22.5" customHeight="1">
      <c r="B371" s="2" t="s">
        <v>377</v>
      </c>
      <c r="C371" s="2" t="s">
        <v>263</v>
      </c>
      <c r="D371" s="2">
        <v>5003.91</v>
      </c>
      <c r="E371" s="3">
        <f t="shared" si="1"/>
        <v>10000</v>
      </c>
    </row>
    <row r="372" ht="22.5" customHeight="1">
      <c r="B372" s="2" t="s">
        <v>378</v>
      </c>
      <c r="C372" s="2" t="s">
        <v>263</v>
      </c>
      <c r="D372" s="2">
        <v>5003.95</v>
      </c>
      <c r="E372" s="3">
        <f t="shared" si="1"/>
        <v>10000</v>
      </c>
    </row>
    <row r="373" ht="22.5" customHeight="1">
      <c r="B373" s="2" t="s">
        <v>379</v>
      </c>
      <c r="C373" s="2" t="s">
        <v>263</v>
      </c>
      <c r="D373" s="2">
        <v>5005.79</v>
      </c>
      <c r="E373" s="3">
        <f t="shared" si="1"/>
        <v>10000</v>
      </c>
    </row>
    <row r="374" ht="22.5" customHeight="1">
      <c r="B374" s="2" t="s">
        <v>380</v>
      </c>
      <c r="C374" s="2" t="s">
        <v>263</v>
      </c>
      <c r="D374" s="2">
        <v>5003.97</v>
      </c>
      <c r="E374" s="3">
        <f t="shared" si="1"/>
        <v>10000</v>
      </c>
    </row>
    <row r="375" ht="22.5" customHeight="1">
      <c r="B375" s="2" t="s">
        <v>381</v>
      </c>
      <c r="C375" s="2" t="s">
        <v>6</v>
      </c>
      <c r="D375" s="2">
        <v>4953.68</v>
      </c>
      <c r="E375" s="3">
        <f t="shared" si="1"/>
        <v>10000</v>
      </c>
    </row>
    <row r="376" ht="22.5" customHeight="1">
      <c r="B376" s="2" t="s">
        <v>382</v>
      </c>
      <c r="C376" s="2" t="s">
        <v>263</v>
      </c>
      <c r="D376" s="2">
        <v>5004.02</v>
      </c>
      <c r="E376" s="3">
        <f t="shared" si="1"/>
        <v>10000</v>
      </c>
    </row>
    <row r="377" ht="22.5" customHeight="1">
      <c r="B377" s="2" t="s">
        <v>383</v>
      </c>
      <c r="C377" s="2" t="s">
        <v>263</v>
      </c>
      <c r="D377" s="2">
        <v>5003.77</v>
      </c>
      <c r="E377" s="3">
        <f t="shared" si="1"/>
        <v>10000</v>
      </c>
    </row>
    <row r="378" ht="22.5" customHeight="1">
      <c r="B378" s="2" t="s">
        <v>384</v>
      </c>
      <c r="C378" s="2" t="s">
        <v>263</v>
      </c>
      <c r="D378" s="2">
        <v>5004.02</v>
      </c>
      <c r="E378" s="3">
        <f t="shared" si="1"/>
        <v>10000</v>
      </c>
    </row>
    <row r="379" ht="22.5" customHeight="1">
      <c r="B379" s="2" t="s">
        <v>385</v>
      </c>
      <c r="C379" s="2" t="s">
        <v>263</v>
      </c>
      <c r="D379" s="2">
        <v>5003.95</v>
      </c>
      <c r="E379" s="3">
        <f t="shared" si="1"/>
        <v>10000</v>
      </c>
    </row>
    <row r="380" ht="22.5" customHeight="1">
      <c r="B380" s="2" t="s">
        <v>386</v>
      </c>
      <c r="C380" s="2" t="s">
        <v>9</v>
      </c>
      <c r="D380" s="2">
        <v>4810.55</v>
      </c>
      <c r="E380" s="3">
        <f t="shared" si="1"/>
        <v>10000</v>
      </c>
    </row>
    <row r="381" ht="22.5" customHeight="1">
      <c r="B381" s="2" t="s">
        <v>387</v>
      </c>
      <c r="C381" s="2" t="s">
        <v>263</v>
      </c>
      <c r="D381" s="2">
        <v>5003.73</v>
      </c>
      <c r="E381" s="3">
        <f t="shared" si="1"/>
        <v>10000</v>
      </c>
    </row>
    <row r="382" ht="22.5" customHeight="1">
      <c r="B382" s="2" t="s">
        <v>388</v>
      </c>
      <c r="C382" s="2" t="s">
        <v>263</v>
      </c>
      <c r="D382" s="2">
        <v>5003.83</v>
      </c>
      <c r="E382" s="3">
        <f t="shared" si="1"/>
        <v>10000</v>
      </c>
    </row>
    <row r="383" ht="22.5" customHeight="1">
      <c r="B383" s="2" t="s">
        <v>389</v>
      </c>
      <c r="C383" s="2" t="s">
        <v>263</v>
      </c>
      <c r="D383" s="2">
        <v>5003.55</v>
      </c>
      <c r="E383" s="3">
        <f t="shared" si="1"/>
        <v>10000</v>
      </c>
    </row>
    <row r="384" ht="22.5" customHeight="1">
      <c r="B384" s="2" t="s">
        <v>390</v>
      </c>
      <c r="C384" s="2" t="s">
        <v>263</v>
      </c>
      <c r="D384" s="2">
        <v>5003.98</v>
      </c>
      <c r="E384" s="3">
        <f t="shared" si="1"/>
        <v>10000</v>
      </c>
    </row>
    <row r="385" ht="22.5" customHeight="1">
      <c r="B385" s="2" t="s">
        <v>391</v>
      </c>
      <c r="C385" s="2" t="s">
        <v>263</v>
      </c>
      <c r="D385" s="2">
        <v>5003.83</v>
      </c>
      <c r="E385" s="3">
        <f t="shared" si="1"/>
        <v>10000</v>
      </c>
    </row>
    <row r="386" ht="22.5" customHeight="1">
      <c r="B386" s="2" t="s">
        <v>392</v>
      </c>
      <c r="C386" s="2" t="s">
        <v>263</v>
      </c>
      <c r="D386" s="2">
        <v>5003.94</v>
      </c>
      <c r="E386" s="3">
        <f t="shared" si="1"/>
        <v>10000</v>
      </c>
    </row>
    <row r="387" ht="22.5" customHeight="1">
      <c r="B387" s="2" t="s">
        <v>393</v>
      </c>
      <c r="C387" s="2" t="s">
        <v>263</v>
      </c>
      <c r="D387" s="2">
        <v>5004.18</v>
      </c>
      <c r="E387" s="3">
        <f t="shared" si="1"/>
        <v>10000</v>
      </c>
    </row>
    <row r="388" ht="22.5" customHeight="1">
      <c r="B388" s="2" t="s">
        <v>394</v>
      </c>
      <c r="C388" s="2" t="s">
        <v>263</v>
      </c>
      <c r="D388" s="2">
        <v>5003.55</v>
      </c>
      <c r="E388" s="3">
        <f t="shared" si="1"/>
        <v>10000</v>
      </c>
    </row>
    <row r="389" ht="22.5" customHeight="1">
      <c r="B389" s="2" t="s">
        <v>395</v>
      </c>
      <c r="C389" s="2" t="s">
        <v>263</v>
      </c>
      <c r="D389" s="2">
        <v>5004.03</v>
      </c>
      <c r="E389" s="3">
        <f t="shared" si="1"/>
        <v>10000</v>
      </c>
    </row>
    <row r="390" ht="22.5" customHeight="1">
      <c r="B390" s="2" t="s">
        <v>396</v>
      </c>
      <c r="C390" s="2" t="s">
        <v>263</v>
      </c>
      <c r="D390" s="2">
        <v>5003.95</v>
      </c>
      <c r="E390" s="3">
        <f t="shared" si="1"/>
        <v>10000</v>
      </c>
    </row>
    <row r="391" ht="22.5" customHeight="1">
      <c r="B391" s="2" t="s">
        <v>397</v>
      </c>
      <c r="C391" s="2" t="s">
        <v>263</v>
      </c>
      <c r="D391" s="2">
        <v>5003.93</v>
      </c>
      <c r="E391" s="3">
        <f t="shared" si="1"/>
        <v>10000</v>
      </c>
    </row>
    <row r="392" ht="22.5" customHeight="1">
      <c r="B392" s="2" t="s">
        <v>398</v>
      </c>
      <c r="C392" s="2" t="s">
        <v>263</v>
      </c>
      <c r="D392" s="2">
        <v>5004.03</v>
      </c>
      <c r="E392" s="3">
        <f t="shared" si="1"/>
        <v>10000</v>
      </c>
    </row>
    <row r="393" ht="22.5" customHeight="1">
      <c r="B393" s="2" t="s">
        <v>399</v>
      </c>
      <c r="C393" s="2" t="s">
        <v>263</v>
      </c>
      <c r="D393" s="2">
        <v>5003.99</v>
      </c>
      <c r="E393" s="3">
        <f t="shared" si="1"/>
        <v>10000</v>
      </c>
    </row>
    <row r="394" ht="22.5" customHeight="1">
      <c r="B394" s="2" t="s">
        <v>400</v>
      </c>
      <c r="C394" s="2" t="s">
        <v>263</v>
      </c>
      <c r="D394" s="2">
        <v>5003.97</v>
      </c>
      <c r="E394" s="3">
        <f t="shared" si="1"/>
        <v>10000</v>
      </c>
    </row>
    <row r="395" ht="22.5" customHeight="1">
      <c r="B395" s="2" t="s">
        <v>401</v>
      </c>
      <c r="C395" s="2" t="s">
        <v>263</v>
      </c>
      <c r="D395" s="2">
        <v>5003.83</v>
      </c>
      <c r="E395" s="3">
        <f t="shared" si="1"/>
        <v>10000</v>
      </c>
    </row>
    <row r="396" ht="22.5" customHeight="1">
      <c r="B396" s="2" t="s">
        <v>402</v>
      </c>
      <c r="C396" s="2" t="s">
        <v>263</v>
      </c>
      <c r="D396" s="2">
        <v>5003.77</v>
      </c>
      <c r="E396" s="3">
        <f t="shared" si="1"/>
        <v>10000</v>
      </c>
    </row>
    <row r="397" ht="22.5" customHeight="1">
      <c r="B397" s="2" t="s">
        <v>403</v>
      </c>
      <c r="C397" s="2" t="s">
        <v>263</v>
      </c>
      <c r="D397" s="2">
        <v>5003.77</v>
      </c>
      <c r="E397" s="3">
        <f t="shared" si="1"/>
        <v>10000</v>
      </c>
    </row>
    <row r="398" ht="22.5" customHeight="1">
      <c r="B398" s="2" t="s">
        <v>404</v>
      </c>
      <c r="C398" s="2" t="s">
        <v>263</v>
      </c>
      <c r="D398" s="2">
        <v>5003.75</v>
      </c>
      <c r="E398" s="3">
        <f t="shared" si="1"/>
        <v>10000</v>
      </c>
    </row>
    <row r="399" ht="22.5" customHeight="1">
      <c r="B399" s="2" t="s">
        <v>405</v>
      </c>
      <c r="C399" s="2" t="s">
        <v>263</v>
      </c>
      <c r="D399" s="2">
        <v>5003.85</v>
      </c>
      <c r="E399" s="3">
        <f t="shared" si="1"/>
        <v>10000</v>
      </c>
    </row>
    <row r="400" ht="22.5" customHeight="1">
      <c r="B400" s="2" t="s">
        <v>406</v>
      </c>
      <c r="C400" s="2" t="s">
        <v>263</v>
      </c>
      <c r="D400" s="2">
        <v>5003.06</v>
      </c>
      <c r="E400" s="3">
        <f t="shared" si="1"/>
        <v>10000</v>
      </c>
    </row>
    <row r="401" ht="22.5" customHeight="1">
      <c r="B401" s="2" t="s">
        <v>407</v>
      </c>
      <c r="C401" s="2" t="s">
        <v>263</v>
      </c>
      <c r="D401" s="2">
        <v>5003.66</v>
      </c>
      <c r="E401" s="3">
        <f t="shared" si="1"/>
        <v>10000</v>
      </c>
    </row>
    <row r="403">
      <c r="C403" s="4" t="s">
        <v>408</v>
      </c>
      <c r="D403" s="4" t="s">
        <v>4</v>
      </c>
    </row>
    <row r="404">
      <c r="C404" s="5">
        <f t="shared" ref="C404:D404" si="2">SUM(D2:D401)/400</f>
        <v>2395.77535</v>
      </c>
      <c r="D404" s="5">
        <f t="shared" si="2"/>
        <v>4207.608</v>
      </c>
    </row>
    <row r="405">
      <c r="A405" s="4" t="s">
        <v>409</v>
      </c>
      <c r="B405" s="5">
        <f>COUNTIF(C2:C401,"=SATISFIABLE")</f>
        <v>157</v>
      </c>
    </row>
    <row r="406">
      <c r="A406" s="4" t="s">
        <v>410</v>
      </c>
      <c r="B406" s="5">
        <f>COUNTIF(C2:C401,"=UNSATISFIABLE")</f>
        <v>101</v>
      </c>
    </row>
    <row r="407">
      <c r="A407" s="4" t="s">
        <v>411</v>
      </c>
      <c r="B407" s="5">
        <f>COUNTIF(C2:C401,"=UNKNOWN")</f>
        <v>142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8" max="8" width="8.13"/>
    <col customWidth="1" min="9" max="9" width="7.75"/>
    <col customWidth="1" min="10" max="10" width="6.63"/>
    <col customWidth="1" min="11" max="11" width="10.63"/>
    <col customWidth="1" min="12" max="12" width="10.5"/>
    <col customWidth="1" min="13" max="13" width="11.13"/>
    <col customWidth="1" min="14" max="14" width="10.5"/>
    <col customWidth="1" min="15" max="15" width="9.75"/>
    <col customWidth="1" min="16" max="16" width="10.63"/>
    <col customWidth="1" min="17" max="17" width="12.13"/>
  </cols>
  <sheetData>
    <row r="1" ht="22.5" customHeight="1">
      <c r="A1" s="1" t="s">
        <v>0</v>
      </c>
      <c r="B1" s="2" t="s">
        <v>1</v>
      </c>
      <c r="C1" s="6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419</v>
      </c>
      <c r="K1" s="2" t="s">
        <v>420</v>
      </c>
      <c r="L1" s="2" t="s">
        <v>421</v>
      </c>
      <c r="M1" s="2" t="s">
        <v>422</v>
      </c>
      <c r="N1" s="2" t="s">
        <v>423</v>
      </c>
      <c r="O1" s="2" t="s">
        <v>424</v>
      </c>
      <c r="P1" s="2" t="s">
        <v>2</v>
      </c>
      <c r="Q1" s="2" t="s">
        <v>3</v>
      </c>
      <c r="R1" s="1" t="s">
        <v>4</v>
      </c>
    </row>
    <row r="2" ht="22.5" customHeight="1">
      <c r="B2" s="7" t="s">
        <v>14</v>
      </c>
      <c r="C2" s="7">
        <v>35320.0</v>
      </c>
      <c r="D2" s="7">
        <v>1182493.0</v>
      </c>
      <c r="E2" s="7">
        <v>1082.0</v>
      </c>
      <c r="F2" s="7">
        <v>1069.0</v>
      </c>
      <c r="G2" s="7">
        <v>23463.0</v>
      </c>
      <c r="H2" s="7">
        <v>226033.0</v>
      </c>
      <c r="I2" s="7">
        <v>47.0</v>
      </c>
      <c r="J2" s="7">
        <v>47.0</v>
      </c>
      <c r="K2" s="7">
        <v>0.0</v>
      </c>
      <c r="L2" s="7">
        <v>19.18</v>
      </c>
      <c r="M2" s="7">
        <v>-0.15</v>
      </c>
      <c r="N2" s="7">
        <v>1.0</v>
      </c>
      <c r="O2" s="7">
        <v>10249.0</v>
      </c>
      <c r="P2" s="7" t="s">
        <v>409</v>
      </c>
      <c r="Q2" s="7">
        <v>1.6</v>
      </c>
      <c r="R2" s="3">
        <f t="shared" ref="R2:R401" si="1">IF(P2="IND", 10000, Q2)</f>
        <v>1.6</v>
      </c>
    </row>
    <row r="3" ht="22.5" customHeight="1">
      <c r="B3" s="7" t="s">
        <v>13</v>
      </c>
      <c r="C3" s="7">
        <v>134780.0</v>
      </c>
      <c r="D3" s="7">
        <v>648622.0</v>
      </c>
      <c r="E3" s="7">
        <v>1012.0</v>
      </c>
      <c r="F3" s="7">
        <v>978.0</v>
      </c>
      <c r="G3" s="7">
        <v>30271.0</v>
      </c>
      <c r="H3" s="7">
        <v>1634482.0</v>
      </c>
      <c r="I3" s="7">
        <v>45.0</v>
      </c>
      <c r="J3" s="7">
        <v>45.0</v>
      </c>
      <c r="K3" s="7">
        <v>0.0</v>
      </c>
      <c r="L3" s="7">
        <v>26.63</v>
      </c>
      <c r="M3" s="7">
        <v>-0.24</v>
      </c>
      <c r="N3" s="7">
        <v>1.0</v>
      </c>
      <c r="O3" s="7">
        <v>4694.0</v>
      </c>
      <c r="P3" s="7" t="s">
        <v>409</v>
      </c>
      <c r="Q3" s="7">
        <v>1.72</v>
      </c>
      <c r="R3" s="3">
        <f t="shared" si="1"/>
        <v>1.72</v>
      </c>
    </row>
    <row r="4" ht="22.5" customHeight="1">
      <c r="B4" s="7" t="s">
        <v>5</v>
      </c>
      <c r="C4" s="7">
        <v>35945.0</v>
      </c>
      <c r="D4" s="7">
        <v>1218255.0</v>
      </c>
      <c r="E4" s="7">
        <v>1042.0</v>
      </c>
      <c r="F4" s="7">
        <v>1019.0</v>
      </c>
      <c r="G4" s="7">
        <v>17325.0</v>
      </c>
      <c r="H4" s="7">
        <v>175580.0</v>
      </c>
      <c r="I4" s="7">
        <v>36.0</v>
      </c>
      <c r="J4" s="7">
        <v>36.0</v>
      </c>
      <c r="K4" s="7">
        <v>0.0</v>
      </c>
      <c r="L4" s="7">
        <v>14.02</v>
      </c>
      <c r="M4" s="7">
        <v>-0.17</v>
      </c>
      <c r="N4" s="7">
        <v>1.0</v>
      </c>
      <c r="O4" s="7">
        <v>6689.0</v>
      </c>
      <c r="P4" s="7" t="s">
        <v>409</v>
      </c>
      <c r="Q4" s="7">
        <v>1.83</v>
      </c>
      <c r="R4" s="3">
        <f t="shared" si="1"/>
        <v>1.83</v>
      </c>
    </row>
    <row r="5" ht="22.5" customHeight="1">
      <c r="B5" s="7" t="s">
        <v>146</v>
      </c>
      <c r="C5" s="7">
        <v>520.0</v>
      </c>
      <c r="D5" s="7">
        <v>5763.0</v>
      </c>
      <c r="E5" s="7">
        <v>85324.0</v>
      </c>
      <c r="F5" s="7">
        <v>84514.0</v>
      </c>
      <c r="G5" s="7">
        <v>189415.0</v>
      </c>
      <c r="H5" s="7">
        <v>2749118.0</v>
      </c>
      <c r="I5" s="7">
        <v>5421.0</v>
      </c>
      <c r="J5" s="7">
        <v>5291.0</v>
      </c>
      <c r="K5" s="7">
        <v>130.0</v>
      </c>
      <c r="L5" s="7">
        <v>18.93</v>
      </c>
      <c r="M5" s="7">
        <v>-0.09</v>
      </c>
      <c r="N5" s="7">
        <v>197.0</v>
      </c>
      <c r="O5" s="7">
        <v>31066.0</v>
      </c>
      <c r="P5" s="7" t="s">
        <v>409</v>
      </c>
      <c r="Q5" s="7">
        <v>4.19</v>
      </c>
      <c r="R5" s="3">
        <f t="shared" si="1"/>
        <v>4.19</v>
      </c>
    </row>
    <row r="6" ht="22.5" customHeight="1">
      <c r="B6" s="7" t="s">
        <v>7</v>
      </c>
      <c r="C6" s="7">
        <v>23345.0</v>
      </c>
      <c r="D6" s="7">
        <v>49263.0</v>
      </c>
      <c r="E6" s="7">
        <v>32794.0</v>
      </c>
      <c r="F6" s="7">
        <v>31661.0</v>
      </c>
      <c r="G6" s="7">
        <v>480164.0</v>
      </c>
      <c r="H6" s="7">
        <v>8274358.0</v>
      </c>
      <c r="I6" s="7">
        <v>3580.0</v>
      </c>
      <c r="J6" s="7">
        <v>3555.0</v>
      </c>
      <c r="K6" s="7">
        <v>25.0</v>
      </c>
      <c r="L6" s="7">
        <v>37.9</v>
      </c>
      <c r="M6" s="7">
        <v>-0.26</v>
      </c>
      <c r="N6" s="7">
        <v>45.0</v>
      </c>
      <c r="O6" s="7">
        <v>33930.0</v>
      </c>
      <c r="P6" s="7" t="s">
        <v>409</v>
      </c>
      <c r="Q6" s="7">
        <v>4.91</v>
      </c>
      <c r="R6" s="3">
        <f t="shared" si="1"/>
        <v>4.91</v>
      </c>
    </row>
    <row r="7" ht="22.5" customHeight="1">
      <c r="B7" s="7" t="s">
        <v>26</v>
      </c>
      <c r="C7" s="7">
        <v>26421.0</v>
      </c>
      <c r="D7" s="7">
        <v>122125.0</v>
      </c>
      <c r="E7" s="7">
        <v>19964.0</v>
      </c>
      <c r="F7" s="7">
        <v>18846.0</v>
      </c>
      <c r="G7" s="7">
        <v>57140.0</v>
      </c>
      <c r="H7" s="7">
        <v>1.5238253E7</v>
      </c>
      <c r="I7" s="7">
        <v>558.0</v>
      </c>
      <c r="J7" s="7">
        <v>526.0</v>
      </c>
      <c r="K7" s="7">
        <v>32.0</v>
      </c>
      <c r="L7" s="7">
        <v>41.25</v>
      </c>
      <c r="M7" s="7">
        <v>-0.12</v>
      </c>
      <c r="N7" s="7">
        <v>49.0</v>
      </c>
      <c r="O7" s="7">
        <v>13341.0</v>
      </c>
      <c r="P7" s="7" t="s">
        <v>410</v>
      </c>
      <c r="Q7" s="7">
        <v>5.49</v>
      </c>
      <c r="R7" s="3">
        <f t="shared" si="1"/>
        <v>5.49</v>
      </c>
    </row>
    <row r="8" ht="22.5" customHeight="1">
      <c r="B8" s="7" t="s">
        <v>157</v>
      </c>
      <c r="C8" s="7">
        <v>72078.0</v>
      </c>
      <c r="D8" s="7">
        <v>517702.0</v>
      </c>
      <c r="E8" s="7">
        <v>10543.0</v>
      </c>
      <c r="F8" s="7">
        <v>10306.0</v>
      </c>
      <c r="G8" s="7">
        <v>63439.0</v>
      </c>
      <c r="H8" s="7">
        <v>4969479.0</v>
      </c>
      <c r="I8" s="7">
        <v>506.0</v>
      </c>
      <c r="J8" s="7">
        <v>492.0</v>
      </c>
      <c r="K8" s="7">
        <v>14.0</v>
      </c>
      <c r="L8" s="7">
        <v>44.67</v>
      </c>
      <c r="M8" s="7">
        <v>-0.15</v>
      </c>
      <c r="N8" s="7">
        <v>24.0</v>
      </c>
      <c r="O8" s="7">
        <v>14064.0</v>
      </c>
      <c r="P8" s="7" t="s">
        <v>409</v>
      </c>
      <c r="Q8" s="7">
        <v>5.78</v>
      </c>
      <c r="R8" s="3">
        <f t="shared" si="1"/>
        <v>5.78</v>
      </c>
    </row>
    <row r="9" ht="22.5" customHeight="1">
      <c r="B9" s="7" t="s">
        <v>10</v>
      </c>
      <c r="C9" s="7">
        <v>32852.0</v>
      </c>
      <c r="D9" s="7">
        <v>170331.0</v>
      </c>
      <c r="E9" s="7">
        <v>14343.0</v>
      </c>
      <c r="F9" s="7">
        <v>13812.0</v>
      </c>
      <c r="G9" s="7">
        <v>78773.0</v>
      </c>
      <c r="H9" s="7">
        <v>5129077.0</v>
      </c>
      <c r="I9" s="7">
        <v>796.0</v>
      </c>
      <c r="J9" s="7">
        <v>778.0</v>
      </c>
      <c r="K9" s="7">
        <v>18.0</v>
      </c>
      <c r="L9" s="7">
        <v>18.31</v>
      </c>
      <c r="M9" s="7">
        <v>-0.18</v>
      </c>
      <c r="N9" s="7">
        <v>34.0</v>
      </c>
      <c r="O9" s="7">
        <v>21744.0</v>
      </c>
      <c r="P9" s="7" t="s">
        <v>409</v>
      </c>
      <c r="Q9" s="7">
        <v>6.76</v>
      </c>
      <c r="R9" s="3">
        <f t="shared" si="1"/>
        <v>6.76</v>
      </c>
    </row>
    <row r="10" ht="22.5" customHeight="1">
      <c r="B10" s="7" t="s">
        <v>11</v>
      </c>
      <c r="C10" s="7">
        <v>760.0</v>
      </c>
      <c r="D10" s="7">
        <v>37548.0</v>
      </c>
      <c r="E10" s="7">
        <v>127012.0</v>
      </c>
      <c r="F10" s="7">
        <v>123386.0</v>
      </c>
      <c r="G10" s="7">
        <v>207661.0</v>
      </c>
      <c r="H10" s="7">
        <v>1.1527999E7</v>
      </c>
      <c r="I10" s="7">
        <v>5083.0</v>
      </c>
      <c r="J10" s="7">
        <v>4967.0</v>
      </c>
      <c r="K10" s="7">
        <v>116.0</v>
      </c>
      <c r="L10" s="7">
        <v>45.63</v>
      </c>
      <c r="M10" s="7">
        <v>-0.07</v>
      </c>
      <c r="N10" s="7">
        <v>184.0</v>
      </c>
      <c r="O10" s="7">
        <v>87187.0</v>
      </c>
      <c r="P10" s="7" t="s">
        <v>409</v>
      </c>
      <c r="Q10" s="7">
        <v>9.15</v>
      </c>
      <c r="R10" s="3">
        <f t="shared" si="1"/>
        <v>9.15</v>
      </c>
    </row>
    <row r="11" ht="22.5" customHeight="1">
      <c r="B11" s="7" t="s">
        <v>36</v>
      </c>
      <c r="C11" s="7">
        <v>1385.0</v>
      </c>
      <c r="D11" s="7">
        <v>27650.0</v>
      </c>
      <c r="E11" s="7">
        <v>132026.0</v>
      </c>
      <c r="F11" s="7">
        <v>128827.0</v>
      </c>
      <c r="G11" s="7">
        <v>351999.0</v>
      </c>
      <c r="H11" s="7">
        <v>1.5368318E7</v>
      </c>
      <c r="I11" s="7">
        <v>6822.0</v>
      </c>
      <c r="J11" s="7">
        <v>6716.0</v>
      </c>
      <c r="K11" s="7">
        <v>106.0</v>
      </c>
      <c r="L11" s="7">
        <v>39.61</v>
      </c>
      <c r="M11" s="7">
        <v>-0.12</v>
      </c>
      <c r="N11" s="7">
        <v>181.0</v>
      </c>
      <c r="O11" s="7">
        <v>95934.0</v>
      </c>
      <c r="P11" s="7" t="s">
        <v>409</v>
      </c>
      <c r="Q11" s="7">
        <v>9.45</v>
      </c>
      <c r="R11" s="3">
        <f t="shared" si="1"/>
        <v>9.45</v>
      </c>
    </row>
    <row r="12" ht="22.5" customHeight="1">
      <c r="B12" s="7" t="s">
        <v>16</v>
      </c>
      <c r="C12" s="7">
        <v>190399.0</v>
      </c>
      <c r="D12" s="7">
        <v>564772.0</v>
      </c>
      <c r="E12" s="7">
        <v>66584.0</v>
      </c>
      <c r="F12" s="7">
        <v>65044.0</v>
      </c>
      <c r="G12" s="7">
        <v>393283.0</v>
      </c>
      <c r="H12" s="7">
        <v>1.6899807E7</v>
      </c>
      <c r="I12" s="7">
        <v>2466.0</v>
      </c>
      <c r="J12" s="7">
        <v>2365.0</v>
      </c>
      <c r="K12" s="7">
        <v>101.0</v>
      </c>
      <c r="L12" s="7">
        <v>19.14</v>
      </c>
      <c r="M12" s="7">
        <v>-0.12</v>
      </c>
      <c r="N12" s="7">
        <v>168.0</v>
      </c>
      <c r="O12" s="7">
        <v>76615.0</v>
      </c>
      <c r="P12" s="7" t="s">
        <v>410</v>
      </c>
      <c r="Q12" s="7">
        <v>13.83</v>
      </c>
      <c r="R12" s="3">
        <f t="shared" si="1"/>
        <v>13.83</v>
      </c>
    </row>
    <row r="13" ht="22.5" customHeight="1">
      <c r="B13" s="7" t="s">
        <v>15</v>
      </c>
      <c r="C13" s="7">
        <v>323138.0</v>
      </c>
      <c r="D13" s="7">
        <v>2.1567424E7</v>
      </c>
      <c r="E13" s="7">
        <v>42.0</v>
      </c>
      <c r="F13" s="7">
        <v>42.0</v>
      </c>
      <c r="G13" s="7">
        <v>488000.0</v>
      </c>
      <c r="H13" s="7">
        <v>577871.0</v>
      </c>
      <c r="I13" s="7">
        <v>0.0</v>
      </c>
      <c r="J13" s="7">
        <v>0.0</v>
      </c>
      <c r="K13" s="7">
        <v>0.0</v>
      </c>
      <c r="L13" s="7">
        <v>9.19</v>
      </c>
      <c r="M13" s="7">
        <v>-0.74</v>
      </c>
      <c r="N13" s="7">
        <v>0.0</v>
      </c>
      <c r="O13" s="7">
        <v>487781.0</v>
      </c>
      <c r="P13" s="7" t="s">
        <v>409</v>
      </c>
      <c r="Q13" s="7">
        <v>14.36</v>
      </c>
      <c r="R13" s="3">
        <f t="shared" si="1"/>
        <v>14.36</v>
      </c>
    </row>
    <row r="14" ht="22.5" customHeight="1">
      <c r="B14" s="7" t="s">
        <v>31</v>
      </c>
      <c r="C14" s="7">
        <v>600.0</v>
      </c>
      <c r="D14" s="7">
        <v>16668.0</v>
      </c>
      <c r="E14" s="7">
        <v>217303.0</v>
      </c>
      <c r="F14" s="7">
        <v>215223.0</v>
      </c>
      <c r="G14" s="7">
        <v>364950.0</v>
      </c>
      <c r="H14" s="7">
        <v>1.4044574E7</v>
      </c>
      <c r="I14" s="7">
        <v>8710.0</v>
      </c>
      <c r="J14" s="7">
        <v>8327.0</v>
      </c>
      <c r="K14" s="7">
        <v>383.0</v>
      </c>
      <c r="L14" s="7">
        <v>20.39</v>
      </c>
      <c r="M14" s="7">
        <v>-0.06</v>
      </c>
      <c r="N14" s="7">
        <v>589.0</v>
      </c>
      <c r="O14" s="7">
        <v>70324.0</v>
      </c>
      <c r="P14" s="7" t="s">
        <v>409</v>
      </c>
      <c r="Q14" s="7">
        <v>15.6</v>
      </c>
      <c r="R14" s="3">
        <f t="shared" si="1"/>
        <v>15.6</v>
      </c>
    </row>
    <row r="15" ht="22.5" customHeight="1">
      <c r="B15" s="7" t="s">
        <v>12</v>
      </c>
      <c r="C15" s="7">
        <v>12197.0</v>
      </c>
      <c r="D15" s="7">
        <v>78363.0</v>
      </c>
      <c r="E15" s="7">
        <v>249443.0</v>
      </c>
      <c r="F15" s="7">
        <v>240571.0</v>
      </c>
      <c r="G15" s="7">
        <v>2944733.0</v>
      </c>
      <c r="H15" s="7">
        <v>2.1612099E7</v>
      </c>
      <c r="I15" s="7">
        <v>11480.0</v>
      </c>
      <c r="J15" s="7">
        <v>11174.0</v>
      </c>
      <c r="K15" s="7">
        <v>306.0</v>
      </c>
      <c r="L15" s="7">
        <v>15.2</v>
      </c>
      <c r="M15" s="7">
        <v>-0.2</v>
      </c>
      <c r="N15" s="7">
        <v>563.0</v>
      </c>
      <c r="O15" s="7">
        <v>456909.0</v>
      </c>
      <c r="P15" s="7" t="s">
        <v>409</v>
      </c>
      <c r="Q15" s="7">
        <v>16.2</v>
      </c>
      <c r="R15" s="3">
        <f t="shared" si="1"/>
        <v>16.2</v>
      </c>
    </row>
    <row r="16" ht="22.5" customHeight="1">
      <c r="B16" s="7" t="s">
        <v>8</v>
      </c>
      <c r="C16" s="7">
        <v>6061.0</v>
      </c>
      <c r="D16" s="7">
        <v>17574.0</v>
      </c>
      <c r="E16" s="7">
        <v>301990.0</v>
      </c>
      <c r="F16" s="7">
        <v>298117.0</v>
      </c>
      <c r="G16" s="7">
        <v>721268.0</v>
      </c>
      <c r="H16" s="7">
        <v>2.4353868E7</v>
      </c>
      <c r="I16" s="7">
        <v>12466.0</v>
      </c>
      <c r="J16" s="7">
        <v>11947.0</v>
      </c>
      <c r="K16" s="7">
        <v>519.0</v>
      </c>
      <c r="L16" s="7">
        <v>19.63</v>
      </c>
      <c r="M16" s="7">
        <v>-0.09</v>
      </c>
      <c r="N16" s="7">
        <v>783.0</v>
      </c>
      <c r="O16" s="7">
        <v>127405.0</v>
      </c>
      <c r="P16" s="7" t="s">
        <v>410</v>
      </c>
      <c r="Q16" s="7">
        <v>16.52</v>
      </c>
      <c r="R16" s="3">
        <f t="shared" si="1"/>
        <v>16.52</v>
      </c>
    </row>
    <row r="17" ht="22.5" customHeight="1">
      <c r="B17" s="7" t="s">
        <v>35</v>
      </c>
      <c r="C17" s="7">
        <v>679.0</v>
      </c>
      <c r="D17" s="7">
        <v>18401.0</v>
      </c>
      <c r="E17" s="7">
        <v>283102.0</v>
      </c>
      <c r="F17" s="7">
        <v>280629.0</v>
      </c>
      <c r="G17" s="7">
        <v>463994.0</v>
      </c>
      <c r="H17" s="7">
        <v>2.2005709E7</v>
      </c>
      <c r="I17" s="7">
        <v>12742.0</v>
      </c>
      <c r="J17" s="7">
        <v>12238.0</v>
      </c>
      <c r="K17" s="7">
        <v>504.0</v>
      </c>
      <c r="L17" s="7">
        <v>20.58</v>
      </c>
      <c r="M17" s="7">
        <v>-0.06</v>
      </c>
      <c r="N17" s="7">
        <v>768.0</v>
      </c>
      <c r="O17" s="7">
        <v>89318.0</v>
      </c>
      <c r="P17" s="7" t="s">
        <v>409</v>
      </c>
      <c r="Q17" s="7">
        <v>24.9</v>
      </c>
      <c r="R17" s="3">
        <f t="shared" si="1"/>
        <v>24.9</v>
      </c>
    </row>
    <row r="18" ht="22.5" customHeight="1">
      <c r="B18" s="7" t="s">
        <v>49</v>
      </c>
      <c r="C18" s="7">
        <v>945.0</v>
      </c>
      <c r="D18" s="7">
        <v>61409.0</v>
      </c>
      <c r="E18" s="7">
        <v>245291.0</v>
      </c>
      <c r="F18" s="7">
        <v>239608.0</v>
      </c>
      <c r="G18" s="7">
        <v>355648.0</v>
      </c>
      <c r="H18" s="7">
        <v>2.2665269E7</v>
      </c>
      <c r="I18" s="7">
        <v>5023.0</v>
      </c>
      <c r="J18" s="7">
        <v>4572.0</v>
      </c>
      <c r="K18" s="7">
        <v>451.0</v>
      </c>
      <c r="L18" s="7">
        <v>58.34</v>
      </c>
      <c r="M18" s="7">
        <v>-0.05</v>
      </c>
      <c r="N18" s="7">
        <v>699.0</v>
      </c>
      <c r="O18" s="7">
        <v>88101.0</v>
      </c>
      <c r="P18" s="7" t="s">
        <v>409</v>
      </c>
      <c r="Q18" s="7">
        <v>27.23</v>
      </c>
      <c r="R18" s="3">
        <f t="shared" si="1"/>
        <v>27.23</v>
      </c>
    </row>
    <row r="19" ht="22.5" customHeight="1">
      <c r="B19" s="7" t="s">
        <v>33</v>
      </c>
      <c r="C19" s="7">
        <v>3298.0</v>
      </c>
      <c r="D19" s="7">
        <v>142629.0</v>
      </c>
      <c r="E19" s="7">
        <v>292753.0</v>
      </c>
      <c r="F19" s="7">
        <v>283301.0</v>
      </c>
      <c r="G19" s="7">
        <v>750784.0</v>
      </c>
      <c r="H19" s="7">
        <v>3.784214E7</v>
      </c>
      <c r="I19" s="7">
        <v>11382.0</v>
      </c>
      <c r="J19" s="7">
        <v>10931.0</v>
      </c>
      <c r="K19" s="7">
        <v>451.0</v>
      </c>
      <c r="L19" s="7">
        <v>70.93</v>
      </c>
      <c r="M19" s="7">
        <v>-0.09</v>
      </c>
      <c r="N19" s="7">
        <v>715.0</v>
      </c>
      <c r="O19" s="7">
        <v>142692.0</v>
      </c>
      <c r="P19" s="7" t="s">
        <v>409</v>
      </c>
      <c r="Q19" s="7">
        <v>28.6</v>
      </c>
      <c r="R19" s="3">
        <f t="shared" si="1"/>
        <v>28.6</v>
      </c>
    </row>
    <row r="20" ht="22.5" customHeight="1">
      <c r="B20" s="7" t="s">
        <v>28</v>
      </c>
      <c r="C20" s="7">
        <v>2633376.0</v>
      </c>
      <c r="D20" s="7">
        <v>1.2055676E7</v>
      </c>
      <c r="E20" s="7">
        <v>2483.0</v>
      </c>
      <c r="F20" s="7">
        <v>2327.0</v>
      </c>
      <c r="G20" s="7">
        <v>594857.0</v>
      </c>
      <c r="H20" s="7">
        <v>1.7460821E7</v>
      </c>
      <c r="I20" s="7">
        <v>126.0</v>
      </c>
      <c r="J20" s="7">
        <v>126.0</v>
      </c>
      <c r="K20" s="7">
        <v>0.0</v>
      </c>
      <c r="L20" s="7">
        <v>101.56</v>
      </c>
      <c r="M20" s="7">
        <v>-0.23</v>
      </c>
      <c r="N20" s="7">
        <v>3.0</v>
      </c>
      <c r="O20" s="7">
        <v>9823.0</v>
      </c>
      <c r="P20" s="7" t="s">
        <v>409</v>
      </c>
      <c r="Q20" s="7">
        <v>30.19</v>
      </c>
      <c r="R20" s="3">
        <f t="shared" si="1"/>
        <v>30.19</v>
      </c>
    </row>
    <row r="21" ht="22.5" customHeight="1">
      <c r="B21" s="7" t="s">
        <v>44</v>
      </c>
      <c r="C21" s="7">
        <v>3738383.0</v>
      </c>
      <c r="D21" s="7">
        <v>1.6651874E7</v>
      </c>
      <c r="E21" s="7">
        <v>1833.0</v>
      </c>
      <c r="F21" s="7">
        <v>1626.0</v>
      </c>
      <c r="G21" s="7">
        <v>2108250.0</v>
      </c>
      <c r="H21" s="7">
        <v>2.3026303E7</v>
      </c>
      <c r="I21" s="7">
        <v>71.0</v>
      </c>
      <c r="J21" s="7">
        <v>71.0</v>
      </c>
      <c r="K21" s="7">
        <v>0.0</v>
      </c>
      <c r="L21" s="7">
        <v>20.67</v>
      </c>
      <c r="M21" s="7">
        <v>-0.22</v>
      </c>
      <c r="N21" s="7">
        <v>2.0</v>
      </c>
      <c r="O21" s="7">
        <v>3992.0</v>
      </c>
      <c r="P21" s="7" t="s">
        <v>409</v>
      </c>
      <c r="Q21" s="7">
        <v>33.62</v>
      </c>
      <c r="R21" s="3">
        <f t="shared" si="1"/>
        <v>33.62</v>
      </c>
    </row>
    <row r="22" ht="22.5" customHeight="1">
      <c r="B22" s="7" t="s">
        <v>18</v>
      </c>
      <c r="C22" s="7">
        <v>5448.0</v>
      </c>
      <c r="D22" s="7">
        <v>15992.0</v>
      </c>
      <c r="E22" s="7">
        <v>501846.0</v>
      </c>
      <c r="F22" s="7">
        <v>494476.0</v>
      </c>
      <c r="G22" s="7">
        <v>1189031.0</v>
      </c>
      <c r="H22" s="7">
        <v>5.6129566E7</v>
      </c>
      <c r="I22" s="7">
        <v>22688.0</v>
      </c>
      <c r="J22" s="7">
        <v>22211.0</v>
      </c>
      <c r="K22" s="7">
        <v>477.0</v>
      </c>
      <c r="L22" s="7">
        <v>24.81</v>
      </c>
      <c r="M22" s="7">
        <v>-0.08</v>
      </c>
      <c r="N22" s="7">
        <v>741.0</v>
      </c>
      <c r="O22" s="7">
        <v>300495.0</v>
      </c>
      <c r="P22" s="7" t="s">
        <v>410</v>
      </c>
      <c r="Q22" s="7">
        <v>34.47</v>
      </c>
      <c r="R22" s="3">
        <f t="shared" si="1"/>
        <v>34.47</v>
      </c>
    </row>
    <row r="23" ht="22.5" customHeight="1">
      <c r="B23" s="7" t="s">
        <v>32</v>
      </c>
      <c r="C23" s="7">
        <v>48941.0</v>
      </c>
      <c r="D23" s="7">
        <v>552747.0</v>
      </c>
      <c r="E23" s="7">
        <v>157976.0</v>
      </c>
      <c r="F23" s="7">
        <v>152969.0</v>
      </c>
      <c r="G23" s="7">
        <v>2707876.0</v>
      </c>
      <c r="H23" s="7">
        <v>7.4021984E7</v>
      </c>
      <c r="I23" s="7">
        <v>9127.0</v>
      </c>
      <c r="J23" s="7">
        <v>8958.0</v>
      </c>
      <c r="K23" s="7">
        <v>169.0</v>
      </c>
      <c r="L23" s="7">
        <v>13.73</v>
      </c>
      <c r="M23" s="7">
        <v>-0.24</v>
      </c>
      <c r="N23" s="7">
        <v>284.0</v>
      </c>
      <c r="O23" s="7">
        <v>620745.0</v>
      </c>
      <c r="P23" s="7" t="s">
        <v>409</v>
      </c>
      <c r="Q23" s="7">
        <v>35.66</v>
      </c>
      <c r="R23" s="3">
        <f t="shared" si="1"/>
        <v>35.66</v>
      </c>
    </row>
    <row r="24" ht="22.5" customHeight="1">
      <c r="B24" s="7" t="s">
        <v>39</v>
      </c>
      <c r="C24" s="7">
        <v>19995.0</v>
      </c>
      <c r="D24" s="7">
        <v>62866.0</v>
      </c>
      <c r="E24" s="7">
        <v>398484.0</v>
      </c>
      <c r="F24" s="7">
        <v>388882.0</v>
      </c>
      <c r="G24" s="7">
        <v>805906.0</v>
      </c>
      <c r="H24" s="7">
        <v>1.00044871E8</v>
      </c>
      <c r="I24" s="7">
        <v>13101.0</v>
      </c>
      <c r="J24" s="7">
        <v>12613.0</v>
      </c>
      <c r="K24" s="7">
        <v>488.0</v>
      </c>
      <c r="L24" s="7">
        <v>35.16</v>
      </c>
      <c r="M24" s="7">
        <v>-0.07</v>
      </c>
      <c r="N24" s="7">
        <v>752.0</v>
      </c>
      <c r="O24" s="7">
        <v>214493.0</v>
      </c>
      <c r="P24" s="7" t="s">
        <v>410</v>
      </c>
      <c r="Q24" s="7">
        <v>38.59</v>
      </c>
      <c r="R24" s="3">
        <f t="shared" si="1"/>
        <v>38.59</v>
      </c>
    </row>
    <row r="25" ht="22.5" customHeight="1">
      <c r="B25" s="7" t="s">
        <v>47</v>
      </c>
      <c r="C25" s="7">
        <v>693001.0</v>
      </c>
      <c r="D25" s="7">
        <v>3661576.0</v>
      </c>
      <c r="E25" s="7">
        <v>11762.0</v>
      </c>
      <c r="F25" s="7">
        <v>10851.0</v>
      </c>
      <c r="G25" s="7">
        <v>1017661.0</v>
      </c>
      <c r="H25" s="7">
        <v>2.4977307E7</v>
      </c>
      <c r="I25" s="7">
        <v>451.0</v>
      </c>
      <c r="J25" s="7">
        <v>447.0</v>
      </c>
      <c r="K25" s="7">
        <v>4.0</v>
      </c>
      <c r="L25" s="7">
        <v>26.61</v>
      </c>
      <c r="M25" s="7">
        <v>-0.2</v>
      </c>
      <c r="N25" s="7">
        <v>16.0</v>
      </c>
      <c r="O25" s="7">
        <v>803832.0</v>
      </c>
      <c r="P25" s="7" t="s">
        <v>409</v>
      </c>
      <c r="Q25" s="7">
        <v>43.32</v>
      </c>
      <c r="R25" s="3">
        <f t="shared" si="1"/>
        <v>43.32</v>
      </c>
    </row>
    <row r="26" ht="22.5" customHeight="1">
      <c r="B26" s="7" t="s">
        <v>51</v>
      </c>
      <c r="C26" s="7">
        <v>66201.0</v>
      </c>
      <c r="D26" s="7">
        <v>915628.0</v>
      </c>
      <c r="E26" s="7">
        <v>142558.0</v>
      </c>
      <c r="F26" s="7">
        <v>137653.0</v>
      </c>
      <c r="G26" s="7">
        <v>2302121.0</v>
      </c>
      <c r="H26" s="7">
        <v>6.2176528E7</v>
      </c>
      <c r="I26" s="7">
        <v>7426.0</v>
      </c>
      <c r="J26" s="7">
        <v>7341.0</v>
      </c>
      <c r="K26" s="7">
        <v>85.0</v>
      </c>
      <c r="L26" s="7">
        <v>13.39</v>
      </c>
      <c r="M26" s="7">
        <v>-0.24</v>
      </c>
      <c r="N26" s="7">
        <v>177.0</v>
      </c>
      <c r="O26" s="7">
        <v>729937.0</v>
      </c>
      <c r="P26" s="7" t="s">
        <v>409</v>
      </c>
      <c r="Q26" s="7">
        <v>45.06</v>
      </c>
      <c r="R26" s="3">
        <f t="shared" si="1"/>
        <v>45.06</v>
      </c>
    </row>
    <row r="27" ht="22.5" customHeight="1">
      <c r="B27" s="7" t="s">
        <v>105</v>
      </c>
      <c r="C27" s="7">
        <v>3220.0</v>
      </c>
      <c r="D27" s="7">
        <v>12314.0</v>
      </c>
      <c r="E27" s="7">
        <v>709498.0</v>
      </c>
      <c r="F27" s="7">
        <v>697627.0</v>
      </c>
      <c r="G27" s="7">
        <v>2429890.0</v>
      </c>
      <c r="H27" s="7">
        <v>5.5703184E7</v>
      </c>
      <c r="I27" s="7">
        <v>38745.0</v>
      </c>
      <c r="J27" s="7">
        <v>37791.0</v>
      </c>
      <c r="K27" s="7">
        <v>954.0</v>
      </c>
      <c r="L27" s="7">
        <v>32.28</v>
      </c>
      <c r="M27" s="7">
        <v>-0.11</v>
      </c>
      <c r="N27" s="7">
        <v>1524.0</v>
      </c>
      <c r="O27" s="7">
        <v>290680.0</v>
      </c>
      <c r="P27" s="7" t="s">
        <v>409</v>
      </c>
      <c r="Q27" s="7">
        <v>48.8</v>
      </c>
      <c r="R27" s="3">
        <f t="shared" si="1"/>
        <v>48.8</v>
      </c>
    </row>
    <row r="28" ht="22.5" customHeight="1">
      <c r="B28" s="7" t="s">
        <v>29</v>
      </c>
      <c r="C28" s="7">
        <v>76668.0</v>
      </c>
      <c r="D28" s="7">
        <v>639201.0</v>
      </c>
      <c r="E28" s="7">
        <v>133335.0</v>
      </c>
      <c r="F28" s="7">
        <v>57051.0</v>
      </c>
      <c r="G28" s="7">
        <v>1386439.0</v>
      </c>
      <c r="H28" s="7">
        <v>1.81020537E8</v>
      </c>
      <c r="I28" s="7">
        <v>1416.0</v>
      </c>
      <c r="J28" s="7">
        <v>1269.0</v>
      </c>
      <c r="K28" s="7">
        <v>147.0</v>
      </c>
      <c r="L28" s="7">
        <v>1539.0</v>
      </c>
      <c r="M28" s="7">
        <v>-0.08</v>
      </c>
      <c r="N28" s="7">
        <v>201.0</v>
      </c>
      <c r="O28" s="7">
        <v>220898.0</v>
      </c>
      <c r="P28" s="7" t="s">
        <v>409</v>
      </c>
      <c r="Q28" s="7">
        <v>49.54</v>
      </c>
      <c r="R28" s="3">
        <f t="shared" si="1"/>
        <v>49.54</v>
      </c>
    </row>
    <row r="29" ht="22.5" customHeight="1">
      <c r="B29" s="7" t="s">
        <v>170</v>
      </c>
      <c r="C29" s="7">
        <v>2425.0</v>
      </c>
      <c r="D29" s="7">
        <v>23032.0</v>
      </c>
      <c r="E29" s="7">
        <v>1066001.0</v>
      </c>
      <c r="F29" s="7">
        <v>1064676.0</v>
      </c>
      <c r="G29" s="7">
        <v>1167946.0</v>
      </c>
      <c r="H29" s="7">
        <v>7.7359952E7</v>
      </c>
      <c r="I29" s="7">
        <v>9947.0</v>
      </c>
      <c r="J29" s="7">
        <v>8142.0</v>
      </c>
      <c r="K29" s="7">
        <v>1805.0</v>
      </c>
      <c r="L29" s="7">
        <v>24.91</v>
      </c>
      <c r="M29" s="7">
        <v>-0.01</v>
      </c>
      <c r="N29" s="7">
        <v>2859.0</v>
      </c>
      <c r="O29" s="7">
        <v>366048.0</v>
      </c>
      <c r="P29" s="7" t="s">
        <v>409</v>
      </c>
      <c r="Q29" s="7">
        <v>53.69</v>
      </c>
      <c r="R29" s="3">
        <f t="shared" si="1"/>
        <v>53.69</v>
      </c>
    </row>
    <row r="30" ht="22.5" customHeight="1">
      <c r="B30" s="7" t="s">
        <v>60</v>
      </c>
      <c r="C30" s="7">
        <v>110108.0</v>
      </c>
      <c r="D30" s="7">
        <v>506718.0</v>
      </c>
      <c r="E30" s="7">
        <v>61047.0</v>
      </c>
      <c r="F30" s="7">
        <v>58252.0</v>
      </c>
      <c r="G30" s="7">
        <v>189594.0</v>
      </c>
      <c r="H30" s="7">
        <v>1.37134463E8</v>
      </c>
      <c r="I30" s="7">
        <v>1415.0</v>
      </c>
      <c r="J30" s="7">
        <v>1303.0</v>
      </c>
      <c r="K30" s="7">
        <v>112.0</v>
      </c>
      <c r="L30" s="7">
        <v>66.07</v>
      </c>
      <c r="M30" s="7">
        <v>-0.1</v>
      </c>
      <c r="N30" s="7">
        <v>176.0</v>
      </c>
      <c r="O30" s="7">
        <v>34027.0</v>
      </c>
      <c r="P30" s="7" t="s">
        <v>409</v>
      </c>
      <c r="Q30" s="7">
        <v>53.96</v>
      </c>
      <c r="R30" s="3">
        <f t="shared" si="1"/>
        <v>53.96</v>
      </c>
    </row>
    <row r="31" ht="22.5" customHeight="1">
      <c r="B31" s="7" t="s">
        <v>100</v>
      </c>
      <c r="C31" s="7">
        <v>2692.0</v>
      </c>
      <c r="D31" s="7">
        <v>79064.0</v>
      </c>
      <c r="E31" s="7">
        <v>515406.0</v>
      </c>
      <c r="F31" s="7">
        <v>503336.0</v>
      </c>
      <c r="G31" s="7">
        <v>1783640.0</v>
      </c>
      <c r="H31" s="7">
        <v>6.8683753E7</v>
      </c>
      <c r="I31" s="7">
        <v>31485.0</v>
      </c>
      <c r="J31" s="7">
        <v>31040.0</v>
      </c>
      <c r="K31" s="7">
        <v>445.0</v>
      </c>
      <c r="L31" s="7">
        <v>52.12</v>
      </c>
      <c r="M31" s="7">
        <v>-0.15</v>
      </c>
      <c r="N31" s="7">
        <v>716.0</v>
      </c>
      <c r="O31" s="7">
        <v>418305.0</v>
      </c>
      <c r="P31" s="7" t="s">
        <v>409</v>
      </c>
      <c r="Q31" s="7">
        <v>56.77</v>
      </c>
      <c r="R31" s="3">
        <f t="shared" si="1"/>
        <v>56.77</v>
      </c>
    </row>
    <row r="32" ht="22.5" customHeight="1">
      <c r="B32" s="7" t="s">
        <v>79</v>
      </c>
      <c r="C32" s="7">
        <v>18607.0</v>
      </c>
      <c r="D32" s="7">
        <v>55720.0</v>
      </c>
      <c r="E32" s="7">
        <v>314643.0</v>
      </c>
      <c r="F32" s="7">
        <v>309554.0</v>
      </c>
      <c r="G32" s="7">
        <v>694858.0</v>
      </c>
      <c r="H32" s="7">
        <v>1.36055803E8</v>
      </c>
      <c r="I32" s="7">
        <v>15154.0</v>
      </c>
      <c r="J32" s="7">
        <v>14666.0</v>
      </c>
      <c r="K32" s="7">
        <v>488.0</v>
      </c>
      <c r="L32" s="7">
        <v>34.28</v>
      </c>
      <c r="M32" s="7">
        <v>-0.09</v>
      </c>
      <c r="N32" s="7">
        <v>752.0</v>
      </c>
      <c r="O32" s="7">
        <v>120391.0</v>
      </c>
      <c r="P32" s="7" t="s">
        <v>410</v>
      </c>
      <c r="Q32" s="7">
        <v>57.82</v>
      </c>
      <c r="R32" s="3">
        <f t="shared" si="1"/>
        <v>57.82</v>
      </c>
    </row>
    <row r="33" ht="22.5" customHeight="1">
      <c r="B33" s="7" t="s">
        <v>48</v>
      </c>
      <c r="C33" s="7">
        <v>3559.0</v>
      </c>
      <c r="D33" s="7">
        <v>14096.0</v>
      </c>
      <c r="E33" s="7">
        <v>584209.0</v>
      </c>
      <c r="F33" s="7">
        <v>572757.0</v>
      </c>
      <c r="G33" s="7">
        <v>1326609.0</v>
      </c>
      <c r="H33" s="7">
        <v>8.8464941E7</v>
      </c>
      <c r="I33" s="7">
        <v>30177.0</v>
      </c>
      <c r="J33" s="7">
        <v>29529.0</v>
      </c>
      <c r="K33" s="7">
        <v>648.0</v>
      </c>
      <c r="L33" s="7">
        <v>33.22</v>
      </c>
      <c r="M33" s="7">
        <v>-0.1</v>
      </c>
      <c r="N33" s="7">
        <v>1026.0</v>
      </c>
      <c r="O33" s="7">
        <v>286780.0</v>
      </c>
      <c r="P33" s="7" t="s">
        <v>409</v>
      </c>
      <c r="Q33" s="7">
        <v>58.59</v>
      </c>
      <c r="R33" s="3">
        <f t="shared" si="1"/>
        <v>58.59</v>
      </c>
    </row>
    <row r="34" ht="22.5" customHeight="1">
      <c r="B34" s="7" t="s">
        <v>52</v>
      </c>
      <c r="C34" s="7">
        <v>97675.0</v>
      </c>
      <c r="D34" s="7">
        <v>809532.0</v>
      </c>
      <c r="E34" s="7">
        <v>139062.0</v>
      </c>
      <c r="F34" s="7">
        <v>65346.0</v>
      </c>
      <c r="G34" s="7">
        <v>1419336.0</v>
      </c>
      <c r="H34" s="7">
        <v>1.84665788E8</v>
      </c>
      <c r="I34" s="7">
        <v>1356.0</v>
      </c>
      <c r="J34" s="7">
        <v>1223.0</v>
      </c>
      <c r="K34" s="7">
        <v>133.0</v>
      </c>
      <c r="L34" s="7">
        <v>1429.11</v>
      </c>
      <c r="M34" s="7">
        <v>-0.08</v>
      </c>
      <c r="N34" s="7">
        <v>197.0</v>
      </c>
      <c r="O34" s="7">
        <v>251168.0</v>
      </c>
      <c r="P34" s="7" t="s">
        <v>409</v>
      </c>
      <c r="Q34" s="7">
        <v>61.46</v>
      </c>
      <c r="R34" s="3">
        <f t="shared" si="1"/>
        <v>61.46</v>
      </c>
    </row>
    <row r="35" ht="22.5" customHeight="1">
      <c r="B35" s="7" t="s">
        <v>40</v>
      </c>
      <c r="C35" s="7">
        <v>13240.0</v>
      </c>
      <c r="D35" s="7">
        <v>39135.0</v>
      </c>
      <c r="E35" s="7">
        <v>450510.0</v>
      </c>
      <c r="F35" s="7">
        <v>436858.0</v>
      </c>
      <c r="G35" s="7">
        <v>1627766.0</v>
      </c>
      <c r="H35" s="7">
        <v>7.0353243E7</v>
      </c>
      <c r="I35" s="7">
        <v>29656.0</v>
      </c>
      <c r="J35" s="7">
        <v>29164.0</v>
      </c>
      <c r="K35" s="7">
        <v>492.0</v>
      </c>
      <c r="L35" s="7">
        <v>35.0</v>
      </c>
      <c r="M35" s="7">
        <v>-0.14</v>
      </c>
      <c r="N35" s="7">
        <v>756.0</v>
      </c>
      <c r="O35" s="7">
        <v>294020.0</v>
      </c>
      <c r="P35" s="7" t="s">
        <v>410</v>
      </c>
      <c r="Q35" s="7">
        <v>62.46</v>
      </c>
      <c r="R35" s="3">
        <f t="shared" si="1"/>
        <v>62.46</v>
      </c>
    </row>
    <row r="36" ht="22.5" customHeight="1">
      <c r="B36" s="7" t="s">
        <v>56</v>
      </c>
      <c r="C36" s="7">
        <v>600.0</v>
      </c>
      <c r="D36" s="7">
        <v>16790.0</v>
      </c>
      <c r="E36" s="7">
        <v>463134.0</v>
      </c>
      <c r="F36" s="7">
        <v>460034.0</v>
      </c>
      <c r="G36" s="7">
        <v>721455.0</v>
      </c>
      <c r="H36" s="7">
        <v>4.0533167E7</v>
      </c>
      <c r="I36" s="7">
        <v>30130.0</v>
      </c>
      <c r="J36" s="7">
        <v>29641.0</v>
      </c>
      <c r="K36" s="7">
        <v>489.0</v>
      </c>
      <c r="L36" s="7">
        <v>20.83</v>
      </c>
      <c r="M36" s="7">
        <v>-0.06</v>
      </c>
      <c r="N36" s="7">
        <v>753.0</v>
      </c>
      <c r="O36" s="7">
        <v>220423.0</v>
      </c>
      <c r="P36" s="7" t="s">
        <v>409</v>
      </c>
      <c r="Q36" s="7">
        <v>67.05</v>
      </c>
      <c r="R36" s="3">
        <f t="shared" si="1"/>
        <v>67.05</v>
      </c>
    </row>
    <row r="37" ht="22.5" customHeight="1">
      <c r="B37" s="7" t="s">
        <v>141</v>
      </c>
      <c r="C37" s="7">
        <v>827.0</v>
      </c>
      <c r="D37" s="7">
        <v>20662.0</v>
      </c>
      <c r="E37" s="7">
        <v>564490.0</v>
      </c>
      <c r="F37" s="7">
        <v>559071.0</v>
      </c>
      <c r="G37" s="7">
        <v>1031954.0</v>
      </c>
      <c r="H37" s="7">
        <v>5.1042877E7</v>
      </c>
      <c r="I37" s="7">
        <v>35212.0</v>
      </c>
      <c r="J37" s="7">
        <v>34548.0</v>
      </c>
      <c r="K37" s="7">
        <v>664.0</v>
      </c>
      <c r="L37" s="7">
        <v>23.39</v>
      </c>
      <c r="M37" s="7">
        <v>-0.08</v>
      </c>
      <c r="N37" s="7">
        <v>1011.0</v>
      </c>
      <c r="O37" s="7">
        <v>262382.0</v>
      </c>
      <c r="P37" s="7" t="s">
        <v>409</v>
      </c>
      <c r="Q37" s="7">
        <v>68.88</v>
      </c>
      <c r="R37" s="3">
        <f t="shared" si="1"/>
        <v>68.88</v>
      </c>
    </row>
    <row r="38" ht="22.5" customHeight="1">
      <c r="B38" s="7" t="s">
        <v>17</v>
      </c>
      <c r="C38" s="7">
        <v>479.0</v>
      </c>
      <c r="D38" s="7">
        <v>123439.0</v>
      </c>
      <c r="E38" s="7">
        <v>623694.0</v>
      </c>
      <c r="F38" s="7">
        <v>611628.0</v>
      </c>
      <c r="G38" s="7">
        <v>2452823.0</v>
      </c>
      <c r="H38" s="7">
        <v>1.5784417E7</v>
      </c>
      <c r="I38" s="7">
        <v>45965.0</v>
      </c>
      <c r="J38" s="7">
        <v>45221.0</v>
      </c>
      <c r="K38" s="7">
        <v>744.0</v>
      </c>
      <c r="L38" s="7">
        <v>21.77</v>
      </c>
      <c r="M38" s="7">
        <v>-0.14</v>
      </c>
      <c r="N38" s="7">
        <v>1182.0</v>
      </c>
      <c r="O38" s="7">
        <v>293530.0</v>
      </c>
      <c r="P38" s="7" t="s">
        <v>409</v>
      </c>
      <c r="Q38" s="7">
        <v>70.24</v>
      </c>
      <c r="R38" s="3">
        <f t="shared" si="1"/>
        <v>70.24</v>
      </c>
    </row>
    <row r="39" ht="22.5" customHeight="1">
      <c r="B39" s="7" t="s">
        <v>53</v>
      </c>
      <c r="C39" s="7">
        <v>15254.0</v>
      </c>
      <c r="D39" s="7">
        <v>68087.0</v>
      </c>
      <c r="E39" s="7">
        <v>826555.0</v>
      </c>
      <c r="F39" s="7">
        <v>819314.0</v>
      </c>
      <c r="G39" s="7">
        <v>1135234.0</v>
      </c>
      <c r="H39" s="7">
        <v>1.26876238E8</v>
      </c>
      <c r="I39" s="7">
        <v>29487.0</v>
      </c>
      <c r="J39" s="7">
        <v>28192.0</v>
      </c>
      <c r="K39" s="7">
        <v>1295.0</v>
      </c>
      <c r="L39" s="7">
        <v>26.42</v>
      </c>
      <c r="M39" s="7">
        <v>-0.04</v>
      </c>
      <c r="N39" s="7">
        <v>2045.0</v>
      </c>
      <c r="O39" s="7">
        <v>270082.0</v>
      </c>
      <c r="P39" s="7" t="s">
        <v>410</v>
      </c>
      <c r="Q39" s="7">
        <v>72.39</v>
      </c>
      <c r="R39" s="3">
        <f t="shared" si="1"/>
        <v>72.39</v>
      </c>
    </row>
    <row r="40" ht="22.5" customHeight="1">
      <c r="B40" s="7" t="s">
        <v>38</v>
      </c>
      <c r="C40" s="7">
        <v>679.0</v>
      </c>
      <c r="D40" s="7">
        <v>18374.0</v>
      </c>
      <c r="E40" s="7">
        <v>587072.0</v>
      </c>
      <c r="F40" s="7">
        <v>581388.0</v>
      </c>
      <c r="G40" s="7">
        <v>1035309.0</v>
      </c>
      <c r="H40" s="7">
        <v>4.9619925E7</v>
      </c>
      <c r="I40" s="7">
        <v>34205.0</v>
      </c>
      <c r="J40" s="7">
        <v>33461.0</v>
      </c>
      <c r="K40" s="7">
        <v>744.0</v>
      </c>
      <c r="L40" s="7">
        <v>20.54</v>
      </c>
      <c r="M40" s="7">
        <v>-0.08</v>
      </c>
      <c r="N40" s="7">
        <v>1125.0</v>
      </c>
      <c r="O40" s="7">
        <v>267196.0</v>
      </c>
      <c r="P40" s="7" t="s">
        <v>409</v>
      </c>
      <c r="Q40" s="7">
        <v>78.62</v>
      </c>
      <c r="R40" s="3">
        <f t="shared" si="1"/>
        <v>78.62</v>
      </c>
    </row>
    <row r="41" ht="22.5" customHeight="1">
      <c r="B41" s="7" t="s">
        <v>76</v>
      </c>
      <c r="C41" s="7">
        <v>687.0</v>
      </c>
      <c r="D41" s="7">
        <v>19681.0</v>
      </c>
      <c r="E41" s="7">
        <v>646937.0</v>
      </c>
      <c r="F41" s="7">
        <v>641142.0</v>
      </c>
      <c r="G41" s="7">
        <v>1138113.0</v>
      </c>
      <c r="H41" s="7">
        <v>5.387968E7</v>
      </c>
      <c r="I41" s="7">
        <v>35573.0</v>
      </c>
      <c r="J41" s="7">
        <v>34713.0</v>
      </c>
      <c r="K41" s="7">
        <v>860.0</v>
      </c>
      <c r="L41" s="7">
        <v>22.21</v>
      </c>
      <c r="M41" s="7">
        <v>-0.07</v>
      </c>
      <c r="N41" s="7">
        <v>1333.0</v>
      </c>
      <c r="O41" s="7">
        <v>264828.0</v>
      </c>
      <c r="P41" s="7" t="s">
        <v>409</v>
      </c>
      <c r="Q41" s="7">
        <v>83.22</v>
      </c>
      <c r="R41" s="3">
        <f t="shared" si="1"/>
        <v>83.22</v>
      </c>
    </row>
    <row r="42" ht="22.5" customHeight="1">
      <c r="B42" s="7" t="s">
        <v>268</v>
      </c>
      <c r="C42" s="7">
        <v>4128.0</v>
      </c>
      <c r="D42" s="7">
        <v>72567.0</v>
      </c>
      <c r="E42" s="7">
        <v>778565.0</v>
      </c>
      <c r="F42" s="7">
        <v>757764.0</v>
      </c>
      <c r="G42" s="7">
        <v>1.5175493E7</v>
      </c>
      <c r="H42" s="7">
        <v>1.14132321E8</v>
      </c>
      <c r="I42" s="7">
        <v>56196.0</v>
      </c>
      <c r="J42" s="7">
        <v>54938.0</v>
      </c>
      <c r="K42" s="7">
        <v>1258.0</v>
      </c>
      <c r="L42" s="7">
        <v>66.08</v>
      </c>
      <c r="M42" s="7">
        <v>-0.23</v>
      </c>
      <c r="N42" s="7">
        <v>1933.0</v>
      </c>
      <c r="O42" s="7">
        <v>1123286.0</v>
      </c>
      <c r="P42" s="7" t="s">
        <v>409</v>
      </c>
      <c r="Q42" s="7">
        <v>87.88</v>
      </c>
      <c r="R42" s="3">
        <f t="shared" si="1"/>
        <v>87.88</v>
      </c>
    </row>
    <row r="43" ht="22.5" customHeight="1">
      <c r="B43" s="7" t="s">
        <v>117</v>
      </c>
      <c r="C43" s="7">
        <v>827.0</v>
      </c>
      <c r="D43" s="7">
        <v>20669.0</v>
      </c>
      <c r="E43" s="7">
        <v>667581.0</v>
      </c>
      <c r="F43" s="7">
        <v>661544.0</v>
      </c>
      <c r="G43" s="7">
        <v>1146261.0</v>
      </c>
      <c r="H43" s="7">
        <v>6.2485703E7</v>
      </c>
      <c r="I43" s="7">
        <v>35894.0</v>
      </c>
      <c r="J43" s="7">
        <v>34959.0</v>
      </c>
      <c r="K43" s="7">
        <v>935.0</v>
      </c>
      <c r="L43" s="7">
        <v>23.24</v>
      </c>
      <c r="M43" s="7">
        <v>-0.07</v>
      </c>
      <c r="N43" s="7">
        <v>1440.0</v>
      </c>
      <c r="O43" s="7">
        <v>264017.0</v>
      </c>
      <c r="P43" s="7" t="s">
        <v>409</v>
      </c>
      <c r="Q43" s="7">
        <v>90.9</v>
      </c>
      <c r="R43" s="3">
        <f t="shared" si="1"/>
        <v>90.9</v>
      </c>
    </row>
    <row r="44" ht="22.5" customHeight="1">
      <c r="B44" s="7" t="s">
        <v>46</v>
      </c>
      <c r="C44" s="7">
        <v>919562.0</v>
      </c>
      <c r="D44" s="7">
        <v>1.03439854E8</v>
      </c>
      <c r="E44" s="7">
        <v>0.0</v>
      </c>
      <c r="F44" s="7">
        <v>0.0</v>
      </c>
      <c r="G44" s="7">
        <v>0.0</v>
      </c>
      <c r="H44" s="7">
        <v>230180.0</v>
      </c>
      <c r="I44" s="7">
        <v>0.0</v>
      </c>
      <c r="J44" s="7">
        <v>0.0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 t="s">
        <v>409</v>
      </c>
      <c r="Q44" s="7">
        <v>91.41</v>
      </c>
      <c r="R44" s="3">
        <f t="shared" si="1"/>
        <v>91.41</v>
      </c>
    </row>
    <row r="45" ht="22.5" customHeight="1">
      <c r="B45" s="7" t="s">
        <v>43</v>
      </c>
      <c r="C45" s="7">
        <v>2441.0</v>
      </c>
      <c r="D45" s="7">
        <v>15733.0</v>
      </c>
      <c r="E45" s="7">
        <v>739612.0</v>
      </c>
      <c r="F45" s="7">
        <v>727339.0</v>
      </c>
      <c r="G45" s="7">
        <v>1185152.0</v>
      </c>
      <c r="H45" s="7">
        <v>5.1247292E7</v>
      </c>
      <c r="I45" s="7">
        <v>24173.0</v>
      </c>
      <c r="J45" s="7">
        <v>23118.0</v>
      </c>
      <c r="K45" s="7">
        <v>1055.0</v>
      </c>
      <c r="L45" s="7">
        <v>26.68</v>
      </c>
      <c r="M45" s="7">
        <v>-0.06</v>
      </c>
      <c r="N45" s="7">
        <v>1671.0</v>
      </c>
      <c r="O45" s="7">
        <v>318099.0</v>
      </c>
      <c r="P45" s="7" t="s">
        <v>410</v>
      </c>
      <c r="Q45" s="7">
        <v>103.04</v>
      </c>
      <c r="R45" s="3">
        <f t="shared" si="1"/>
        <v>103.04</v>
      </c>
    </row>
    <row r="46" ht="22.5" customHeight="1">
      <c r="B46" s="7" t="s">
        <v>54</v>
      </c>
      <c r="C46" s="7">
        <v>7807714.0</v>
      </c>
      <c r="D46" s="7">
        <v>3.59743E7</v>
      </c>
      <c r="E46" s="7">
        <v>1322.0</v>
      </c>
      <c r="F46" s="7">
        <v>1222.0</v>
      </c>
      <c r="G46" s="7">
        <v>2744543.0</v>
      </c>
      <c r="H46" s="7">
        <v>3.3737143E7</v>
      </c>
      <c r="I46" s="7">
        <v>70.0</v>
      </c>
      <c r="J46" s="7">
        <v>70.0</v>
      </c>
      <c r="K46" s="7">
        <v>0.0</v>
      </c>
      <c r="L46" s="7">
        <v>15.74</v>
      </c>
      <c r="M46" s="7">
        <v>-0.27</v>
      </c>
      <c r="N46" s="7">
        <v>1.0</v>
      </c>
      <c r="O46" s="7">
        <v>13679.0</v>
      </c>
      <c r="P46" s="7" t="s">
        <v>409</v>
      </c>
      <c r="Q46" s="7">
        <v>103.52</v>
      </c>
      <c r="R46" s="3">
        <f t="shared" si="1"/>
        <v>103.52</v>
      </c>
    </row>
    <row r="47" ht="22.5" customHeight="1">
      <c r="B47" s="7" t="s">
        <v>59</v>
      </c>
      <c r="C47" s="7">
        <v>2200.0</v>
      </c>
      <c r="D47" s="7">
        <v>9086.0</v>
      </c>
      <c r="E47" s="7">
        <v>641775.0</v>
      </c>
      <c r="F47" s="7">
        <v>623301.0</v>
      </c>
      <c r="G47" s="7">
        <v>1914955.0</v>
      </c>
      <c r="H47" s="7">
        <v>1.25134571E8</v>
      </c>
      <c r="I47" s="7">
        <v>41812.0</v>
      </c>
      <c r="J47" s="7">
        <v>41015.0</v>
      </c>
      <c r="K47" s="7">
        <v>797.0</v>
      </c>
      <c r="L47" s="7">
        <v>25.83</v>
      </c>
      <c r="M47" s="7">
        <v>-0.12</v>
      </c>
      <c r="N47" s="7">
        <v>1262.0</v>
      </c>
      <c r="O47" s="7">
        <v>258826.0</v>
      </c>
      <c r="P47" s="7" t="s">
        <v>409</v>
      </c>
      <c r="Q47" s="7">
        <v>111.45</v>
      </c>
      <c r="R47" s="3">
        <f t="shared" si="1"/>
        <v>111.45</v>
      </c>
    </row>
    <row r="48" ht="22.5" customHeight="1">
      <c r="B48" s="7" t="s">
        <v>122</v>
      </c>
      <c r="C48" s="7">
        <v>687.0</v>
      </c>
      <c r="D48" s="7">
        <v>19618.0</v>
      </c>
      <c r="E48" s="7">
        <v>761340.0</v>
      </c>
      <c r="F48" s="7">
        <v>755483.0</v>
      </c>
      <c r="G48" s="7">
        <v>1239289.0</v>
      </c>
      <c r="H48" s="7">
        <v>7.0975311E7</v>
      </c>
      <c r="I48" s="7">
        <v>34939.0</v>
      </c>
      <c r="J48" s="7">
        <v>33709.0</v>
      </c>
      <c r="K48" s="7">
        <v>1230.0</v>
      </c>
      <c r="L48" s="7">
        <v>22.25</v>
      </c>
      <c r="M48" s="7">
        <v>-0.06</v>
      </c>
      <c r="N48" s="7">
        <v>1878.0</v>
      </c>
      <c r="O48" s="7">
        <v>267927.0</v>
      </c>
      <c r="P48" s="7" t="s">
        <v>409</v>
      </c>
      <c r="Q48" s="7">
        <v>114.02</v>
      </c>
      <c r="R48" s="3">
        <f t="shared" si="1"/>
        <v>114.02</v>
      </c>
    </row>
    <row r="49" ht="22.5" customHeight="1">
      <c r="B49" s="7" t="s">
        <v>144</v>
      </c>
      <c r="C49" s="7">
        <v>2504.0</v>
      </c>
      <c r="D49" s="7">
        <v>10705.0</v>
      </c>
      <c r="E49" s="7">
        <v>823440.0</v>
      </c>
      <c r="F49" s="7">
        <v>811067.0</v>
      </c>
      <c r="G49" s="7">
        <v>1604288.0</v>
      </c>
      <c r="H49" s="7">
        <v>8.9840662E7</v>
      </c>
      <c r="I49" s="7">
        <v>33506.0</v>
      </c>
      <c r="J49" s="7">
        <v>32202.0</v>
      </c>
      <c r="K49" s="7">
        <v>1304.0</v>
      </c>
      <c r="L49" s="7">
        <v>32.45</v>
      </c>
      <c r="M49" s="7">
        <v>-0.07</v>
      </c>
      <c r="N49" s="7">
        <v>2049.0</v>
      </c>
      <c r="O49" s="7">
        <v>281506.0</v>
      </c>
      <c r="P49" s="7" t="s">
        <v>409</v>
      </c>
      <c r="Q49" s="7">
        <v>118.94</v>
      </c>
      <c r="R49" s="3">
        <f t="shared" si="1"/>
        <v>118.94</v>
      </c>
    </row>
    <row r="50" ht="22.5" customHeight="1">
      <c r="B50" s="7" t="s">
        <v>177</v>
      </c>
      <c r="C50" s="7">
        <v>49112.0</v>
      </c>
      <c r="D50" s="7">
        <v>2317836.0</v>
      </c>
      <c r="E50" s="7">
        <v>221968.0</v>
      </c>
      <c r="F50" s="7">
        <v>215782.0</v>
      </c>
      <c r="G50" s="7">
        <v>1843324.0</v>
      </c>
      <c r="H50" s="7">
        <v>2.214783E8</v>
      </c>
      <c r="I50" s="7">
        <v>6939.0</v>
      </c>
      <c r="J50" s="7">
        <v>6520.0</v>
      </c>
      <c r="K50" s="7">
        <v>419.0</v>
      </c>
      <c r="L50" s="7">
        <v>219.16</v>
      </c>
      <c r="M50" s="7">
        <v>-0.08</v>
      </c>
      <c r="N50" s="7">
        <v>623.0</v>
      </c>
      <c r="O50" s="7">
        <v>356070.0</v>
      </c>
      <c r="P50" s="7" t="s">
        <v>410</v>
      </c>
      <c r="Q50" s="7">
        <v>124.41</v>
      </c>
      <c r="R50" s="3">
        <f t="shared" si="1"/>
        <v>124.41</v>
      </c>
    </row>
    <row r="51" ht="22.5" customHeight="1">
      <c r="B51" s="7" t="s">
        <v>108</v>
      </c>
      <c r="C51" s="7">
        <v>33721.0</v>
      </c>
      <c r="D51" s="7">
        <v>157681.0</v>
      </c>
      <c r="E51" s="7">
        <v>926142.0</v>
      </c>
      <c r="F51" s="7">
        <v>890487.0</v>
      </c>
      <c r="G51" s="7">
        <v>3561155.0</v>
      </c>
      <c r="H51" s="7">
        <v>3.19567209E8</v>
      </c>
      <c r="I51" s="7">
        <v>20501.0</v>
      </c>
      <c r="J51" s="7">
        <v>18811.0</v>
      </c>
      <c r="K51" s="7">
        <v>1690.0</v>
      </c>
      <c r="L51" s="7">
        <v>73.23</v>
      </c>
      <c r="M51" s="7">
        <v>-0.09</v>
      </c>
      <c r="N51" s="7">
        <v>2591.0</v>
      </c>
      <c r="O51" s="7">
        <v>482271.0</v>
      </c>
      <c r="P51" s="7" t="s">
        <v>409</v>
      </c>
      <c r="Q51" s="7">
        <v>125.55</v>
      </c>
      <c r="R51" s="3">
        <f t="shared" si="1"/>
        <v>125.55</v>
      </c>
    </row>
    <row r="52" ht="22.5" customHeight="1">
      <c r="B52" s="7" t="s">
        <v>64</v>
      </c>
      <c r="C52" s="7">
        <v>11137.0</v>
      </c>
      <c r="D52" s="7">
        <v>29956.0</v>
      </c>
      <c r="E52" s="7">
        <v>1620962.0</v>
      </c>
      <c r="F52" s="7">
        <v>1596715.0</v>
      </c>
      <c r="G52" s="7">
        <v>2545852.0</v>
      </c>
      <c r="H52" s="7">
        <v>1.843136E8</v>
      </c>
      <c r="I52" s="7">
        <v>61647.0</v>
      </c>
      <c r="J52" s="7">
        <v>59941.0</v>
      </c>
      <c r="K52" s="7">
        <v>1706.0</v>
      </c>
      <c r="L52" s="7">
        <v>20.34</v>
      </c>
      <c r="M52" s="7">
        <v>-0.06</v>
      </c>
      <c r="N52" s="7">
        <v>2758.0</v>
      </c>
      <c r="O52" s="7">
        <v>818779.0</v>
      </c>
      <c r="P52" s="7" t="s">
        <v>410</v>
      </c>
      <c r="Q52" s="7">
        <v>129.49</v>
      </c>
      <c r="R52" s="3">
        <f t="shared" si="1"/>
        <v>129.49</v>
      </c>
    </row>
    <row r="53" ht="22.5" customHeight="1">
      <c r="B53" s="7" t="s">
        <v>111</v>
      </c>
      <c r="C53" s="7">
        <v>72078.0</v>
      </c>
      <c r="D53" s="7">
        <v>517728.0</v>
      </c>
      <c r="E53" s="7">
        <v>516339.0</v>
      </c>
      <c r="F53" s="7">
        <v>506477.0</v>
      </c>
      <c r="G53" s="7">
        <v>3382623.0</v>
      </c>
      <c r="H53" s="7">
        <v>2.02730278E8</v>
      </c>
      <c r="I53" s="7">
        <v>31004.0</v>
      </c>
      <c r="J53" s="7">
        <v>30494.0</v>
      </c>
      <c r="K53" s="7">
        <v>510.0</v>
      </c>
      <c r="L53" s="7">
        <v>29.05</v>
      </c>
      <c r="M53" s="7">
        <v>-0.15</v>
      </c>
      <c r="N53" s="7">
        <v>782.0</v>
      </c>
      <c r="O53" s="7">
        <v>673216.0</v>
      </c>
      <c r="P53" s="7" t="s">
        <v>409</v>
      </c>
      <c r="Q53" s="7">
        <v>130.7</v>
      </c>
      <c r="R53" s="3">
        <f t="shared" si="1"/>
        <v>130.7</v>
      </c>
    </row>
    <row r="54" ht="22.5" customHeight="1">
      <c r="B54" s="7" t="s">
        <v>73</v>
      </c>
      <c r="C54" s="7">
        <v>2514.0</v>
      </c>
      <c r="D54" s="7">
        <v>10733.0</v>
      </c>
      <c r="E54" s="7">
        <v>882166.0</v>
      </c>
      <c r="F54" s="7">
        <v>869412.0</v>
      </c>
      <c r="G54" s="7">
        <v>1734636.0</v>
      </c>
      <c r="H54" s="7">
        <v>9.3887531E7</v>
      </c>
      <c r="I54" s="7">
        <v>35852.0</v>
      </c>
      <c r="J54" s="7">
        <v>34466.0</v>
      </c>
      <c r="K54" s="7">
        <v>1386.0</v>
      </c>
      <c r="L54" s="7">
        <v>32.02</v>
      </c>
      <c r="M54" s="7">
        <v>-0.07</v>
      </c>
      <c r="N54" s="7">
        <v>2223.0</v>
      </c>
      <c r="O54" s="7">
        <v>277752.0</v>
      </c>
      <c r="P54" s="7" t="s">
        <v>409</v>
      </c>
      <c r="Q54" s="7">
        <v>135.87</v>
      </c>
      <c r="R54" s="3">
        <f t="shared" si="1"/>
        <v>135.87</v>
      </c>
    </row>
    <row r="55" ht="22.5" customHeight="1">
      <c r="B55" s="7" t="s">
        <v>96</v>
      </c>
      <c r="C55" s="7">
        <v>686.0</v>
      </c>
      <c r="D55" s="7">
        <v>19096.0</v>
      </c>
      <c r="E55" s="7">
        <v>840902.0</v>
      </c>
      <c r="F55" s="7">
        <v>835137.0</v>
      </c>
      <c r="G55" s="7">
        <v>1302824.0</v>
      </c>
      <c r="H55" s="7">
        <v>8.397646E7</v>
      </c>
      <c r="I55" s="7">
        <v>37410.0</v>
      </c>
      <c r="J55" s="7">
        <v>36021.0</v>
      </c>
      <c r="K55" s="7">
        <v>1389.0</v>
      </c>
      <c r="L55" s="7">
        <v>21.69</v>
      </c>
      <c r="M55" s="7">
        <v>-0.06</v>
      </c>
      <c r="N55" s="7">
        <v>2161.0</v>
      </c>
      <c r="O55" s="7">
        <v>256671.0</v>
      </c>
      <c r="P55" s="7" t="s">
        <v>409</v>
      </c>
      <c r="Q55" s="7">
        <v>136.05</v>
      </c>
      <c r="R55" s="3">
        <f t="shared" si="1"/>
        <v>136.05</v>
      </c>
    </row>
    <row r="56" ht="22.5" customHeight="1">
      <c r="B56" s="7" t="s">
        <v>75</v>
      </c>
      <c r="C56" s="7">
        <v>679.0</v>
      </c>
      <c r="D56" s="7">
        <v>18292.0</v>
      </c>
      <c r="E56" s="7">
        <v>944559.0</v>
      </c>
      <c r="F56" s="7">
        <v>938017.0</v>
      </c>
      <c r="G56" s="7">
        <v>1385634.0</v>
      </c>
      <c r="H56" s="7">
        <v>8.9160213E7</v>
      </c>
      <c r="I56" s="7">
        <v>36395.0</v>
      </c>
      <c r="J56" s="7">
        <v>34723.0</v>
      </c>
      <c r="K56" s="7">
        <v>1672.0</v>
      </c>
      <c r="L56" s="7">
        <v>21.64</v>
      </c>
      <c r="M56" s="7">
        <v>-0.05</v>
      </c>
      <c r="N56" s="7">
        <v>2603.0</v>
      </c>
      <c r="O56" s="7">
        <v>263705.0</v>
      </c>
      <c r="P56" s="7" t="s">
        <v>409</v>
      </c>
      <c r="Q56" s="7">
        <v>141.13</v>
      </c>
      <c r="R56" s="3">
        <f t="shared" si="1"/>
        <v>141.13</v>
      </c>
    </row>
    <row r="57" ht="22.5" customHeight="1">
      <c r="B57" s="7" t="s">
        <v>45</v>
      </c>
      <c r="C57" s="7">
        <v>895.0</v>
      </c>
      <c r="D57" s="7">
        <v>20847.0</v>
      </c>
      <c r="E57" s="7">
        <v>924337.0</v>
      </c>
      <c r="F57" s="7">
        <v>917816.0</v>
      </c>
      <c r="G57" s="7">
        <v>1361480.0</v>
      </c>
      <c r="H57" s="7">
        <v>1.00831903E8</v>
      </c>
      <c r="I57" s="7">
        <v>35406.0</v>
      </c>
      <c r="J57" s="7">
        <v>33720.0</v>
      </c>
      <c r="K57" s="7">
        <v>1686.0</v>
      </c>
      <c r="L57" s="7">
        <v>25.51</v>
      </c>
      <c r="M57" s="7">
        <v>-0.05</v>
      </c>
      <c r="N57" s="7">
        <v>2586.0</v>
      </c>
      <c r="O57" s="7">
        <v>263239.0</v>
      </c>
      <c r="P57" s="7" t="s">
        <v>409</v>
      </c>
      <c r="Q57" s="7">
        <v>143.48</v>
      </c>
      <c r="R57" s="3">
        <f t="shared" si="1"/>
        <v>143.48</v>
      </c>
    </row>
    <row r="58" ht="22.5" customHeight="1">
      <c r="B58" s="7" t="s">
        <v>119</v>
      </c>
      <c r="C58" s="7">
        <v>3603.0</v>
      </c>
      <c r="D58" s="7">
        <v>14304.0</v>
      </c>
      <c r="E58" s="7">
        <v>1001019.0</v>
      </c>
      <c r="F58" s="7">
        <v>987446.0</v>
      </c>
      <c r="G58" s="7">
        <v>1803489.0</v>
      </c>
      <c r="H58" s="7">
        <v>1.18346668E8</v>
      </c>
      <c r="I58" s="7">
        <v>33938.0</v>
      </c>
      <c r="J58" s="7">
        <v>32252.0</v>
      </c>
      <c r="K58" s="7">
        <v>1686.0</v>
      </c>
      <c r="L58" s="7">
        <v>33.29</v>
      </c>
      <c r="M58" s="7">
        <v>-0.06</v>
      </c>
      <c r="N58" s="7">
        <v>2705.0</v>
      </c>
      <c r="O58" s="7">
        <v>277410.0</v>
      </c>
      <c r="P58" s="7" t="s">
        <v>409</v>
      </c>
      <c r="Q58" s="7">
        <v>144.09</v>
      </c>
      <c r="R58" s="3">
        <f t="shared" si="1"/>
        <v>144.09</v>
      </c>
    </row>
    <row r="59" ht="22.5" customHeight="1">
      <c r="B59" s="7" t="s">
        <v>84</v>
      </c>
      <c r="C59" s="7">
        <v>2958.0</v>
      </c>
      <c r="D59" s="7">
        <v>8708.0</v>
      </c>
      <c r="E59" s="7">
        <v>988432.0</v>
      </c>
      <c r="F59" s="7">
        <v>986798.0</v>
      </c>
      <c r="G59" s="7">
        <v>1026529.0</v>
      </c>
      <c r="H59" s="7">
        <v>2.11775568E8</v>
      </c>
      <c r="I59" s="7">
        <v>18805.0</v>
      </c>
      <c r="J59" s="7">
        <v>17004.0</v>
      </c>
      <c r="K59" s="7">
        <v>1801.0</v>
      </c>
      <c r="L59" s="7">
        <v>48.24</v>
      </c>
      <c r="M59" s="7">
        <v>0.0</v>
      </c>
      <c r="N59" s="7">
        <v>2801.0</v>
      </c>
      <c r="O59" s="7">
        <v>295087.0</v>
      </c>
      <c r="P59" s="7" t="s">
        <v>410</v>
      </c>
      <c r="Q59" s="7">
        <v>145.93</v>
      </c>
      <c r="R59" s="3">
        <f t="shared" si="1"/>
        <v>145.93</v>
      </c>
    </row>
    <row r="60" ht="22.5" customHeight="1">
      <c r="B60" s="7" t="s">
        <v>86</v>
      </c>
      <c r="C60" s="7">
        <v>139915.0</v>
      </c>
      <c r="D60" s="7">
        <v>590682.0</v>
      </c>
      <c r="E60" s="7">
        <v>427862.0</v>
      </c>
      <c r="F60" s="7">
        <v>405781.0</v>
      </c>
      <c r="G60" s="7">
        <v>1775445.0</v>
      </c>
      <c r="H60" s="7">
        <v>2.7595424E8</v>
      </c>
      <c r="I60" s="7">
        <v>20435.0</v>
      </c>
      <c r="J60" s="7">
        <v>20039.0</v>
      </c>
      <c r="K60" s="7">
        <v>396.0</v>
      </c>
      <c r="L60" s="7">
        <v>34.96</v>
      </c>
      <c r="M60" s="7">
        <v>-0.16</v>
      </c>
      <c r="N60" s="7">
        <v>660.0</v>
      </c>
      <c r="O60" s="7">
        <v>372473.0</v>
      </c>
      <c r="P60" s="7" t="s">
        <v>410</v>
      </c>
      <c r="Q60" s="7">
        <v>153.84</v>
      </c>
      <c r="R60" s="3">
        <f t="shared" si="1"/>
        <v>153.84</v>
      </c>
    </row>
    <row r="61" ht="22.5" customHeight="1">
      <c r="B61" s="7" t="s">
        <v>87</v>
      </c>
      <c r="C61" s="7">
        <v>11785.0</v>
      </c>
      <c r="D61" s="7">
        <v>35160.0</v>
      </c>
      <c r="E61" s="7">
        <v>1346735.0</v>
      </c>
      <c r="F61" s="7">
        <v>1319206.0</v>
      </c>
      <c r="G61" s="7">
        <v>3114344.0</v>
      </c>
      <c r="H61" s="7">
        <v>2.33308959E8</v>
      </c>
      <c r="I61" s="7">
        <v>67785.0</v>
      </c>
      <c r="J61" s="7">
        <v>65889.0</v>
      </c>
      <c r="K61" s="7">
        <v>1896.0</v>
      </c>
      <c r="L61" s="7">
        <v>26.58</v>
      </c>
      <c r="M61" s="7">
        <v>-0.1</v>
      </c>
      <c r="N61" s="7">
        <v>2947.0</v>
      </c>
      <c r="O61" s="7">
        <v>576661.0</v>
      </c>
      <c r="P61" s="7" t="s">
        <v>410</v>
      </c>
      <c r="Q61" s="7">
        <v>154.62</v>
      </c>
      <c r="R61" s="3">
        <f t="shared" si="1"/>
        <v>154.62</v>
      </c>
    </row>
    <row r="62" ht="22.5" customHeight="1">
      <c r="B62" s="7" t="s">
        <v>70</v>
      </c>
      <c r="C62" s="7">
        <v>679.0</v>
      </c>
      <c r="D62" s="7">
        <v>18422.0</v>
      </c>
      <c r="E62" s="7">
        <v>973907.0</v>
      </c>
      <c r="F62" s="7">
        <v>967580.0</v>
      </c>
      <c r="G62" s="7">
        <v>1427276.0</v>
      </c>
      <c r="H62" s="7">
        <v>9.4234838E7</v>
      </c>
      <c r="I62" s="7">
        <v>37328.0</v>
      </c>
      <c r="J62" s="7">
        <v>35563.0</v>
      </c>
      <c r="K62" s="7">
        <v>1765.0</v>
      </c>
      <c r="L62" s="7">
        <v>22.36</v>
      </c>
      <c r="M62" s="7">
        <v>-0.05</v>
      </c>
      <c r="N62" s="7">
        <v>2742.0</v>
      </c>
      <c r="O62" s="7">
        <v>261223.0</v>
      </c>
      <c r="P62" s="7" t="s">
        <v>409</v>
      </c>
      <c r="Q62" s="7">
        <v>163.36</v>
      </c>
      <c r="R62" s="3">
        <f t="shared" si="1"/>
        <v>163.36</v>
      </c>
    </row>
    <row r="63" ht="22.5" customHeight="1">
      <c r="B63" s="7" t="s">
        <v>115</v>
      </c>
      <c r="C63" s="7">
        <v>3073.0</v>
      </c>
      <c r="D63" s="7">
        <v>19610.0</v>
      </c>
      <c r="E63" s="7">
        <v>1013060.0</v>
      </c>
      <c r="F63" s="7">
        <v>1005351.0</v>
      </c>
      <c r="G63" s="7">
        <v>1457353.0</v>
      </c>
      <c r="H63" s="7">
        <v>2.51271618E8</v>
      </c>
      <c r="I63" s="7">
        <v>30932.0</v>
      </c>
      <c r="J63" s="7">
        <v>29087.0</v>
      </c>
      <c r="K63" s="7">
        <v>1845.0</v>
      </c>
      <c r="L63" s="7">
        <v>22.94</v>
      </c>
      <c r="M63" s="7">
        <v>-0.04</v>
      </c>
      <c r="N63" s="7">
        <v>2883.0</v>
      </c>
      <c r="O63" s="7">
        <v>282132.0</v>
      </c>
      <c r="P63" s="7" t="s">
        <v>409</v>
      </c>
      <c r="Q63" s="7">
        <v>164.18</v>
      </c>
      <c r="R63" s="3">
        <f t="shared" si="1"/>
        <v>164.18</v>
      </c>
    </row>
    <row r="64" ht="22.5" customHeight="1">
      <c r="B64" s="7" t="s">
        <v>195</v>
      </c>
      <c r="C64" s="7">
        <v>6658.0</v>
      </c>
      <c r="D64" s="7">
        <v>31909.0</v>
      </c>
      <c r="E64" s="7">
        <v>236180.0</v>
      </c>
      <c r="F64" s="7">
        <v>235930.0</v>
      </c>
      <c r="G64" s="7">
        <v>241301.0</v>
      </c>
      <c r="H64" s="7">
        <v>3.38106952E8</v>
      </c>
      <c r="I64" s="7">
        <v>4380.0</v>
      </c>
      <c r="J64" s="7">
        <v>3963.0</v>
      </c>
      <c r="K64" s="7">
        <v>417.0</v>
      </c>
      <c r="L64" s="7">
        <v>20.79</v>
      </c>
      <c r="M64" s="7">
        <v>0.0</v>
      </c>
      <c r="N64" s="7">
        <v>653.0</v>
      </c>
      <c r="O64" s="7">
        <v>74326.0</v>
      </c>
      <c r="P64" s="7" t="s">
        <v>409</v>
      </c>
      <c r="Q64" s="7">
        <v>173.34</v>
      </c>
      <c r="R64" s="3">
        <f t="shared" si="1"/>
        <v>173.34</v>
      </c>
    </row>
    <row r="65" ht="22.5" customHeight="1">
      <c r="B65" s="7" t="s">
        <v>30</v>
      </c>
      <c r="C65" s="7">
        <v>9824.0</v>
      </c>
      <c r="D65" s="7">
        <v>153979.0</v>
      </c>
      <c r="E65" s="7">
        <v>647107.0</v>
      </c>
      <c r="F65" s="7">
        <v>635440.0</v>
      </c>
      <c r="G65" s="7">
        <v>1393610.0</v>
      </c>
      <c r="H65" s="7">
        <v>1.21930781E8</v>
      </c>
      <c r="I65" s="7">
        <v>29585.0</v>
      </c>
      <c r="J65" s="7">
        <v>28743.0</v>
      </c>
      <c r="K65" s="7">
        <v>842.0</v>
      </c>
      <c r="L65" s="7">
        <v>25.38</v>
      </c>
      <c r="M65" s="7">
        <v>-0.09</v>
      </c>
      <c r="N65" s="7">
        <v>1316.0</v>
      </c>
      <c r="O65" s="7">
        <v>302125.0</v>
      </c>
      <c r="P65" s="7" t="s">
        <v>409</v>
      </c>
      <c r="Q65" s="7">
        <v>174.71</v>
      </c>
      <c r="R65" s="3">
        <f t="shared" si="1"/>
        <v>174.71</v>
      </c>
    </row>
    <row r="66" ht="22.5" customHeight="1">
      <c r="B66" s="7" t="s">
        <v>103</v>
      </c>
      <c r="C66" s="7">
        <v>110108.0</v>
      </c>
      <c r="D66" s="7">
        <v>506714.0</v>
      </c>
      <c r="E66" s="7">
        <v>181575.0</v>
      </c>
      <c r="F66" s="7">
        <v>175548.0</v>
      </c>
      <c r="G66" s="7">
        <v>390315.0</v>
      </c>
      <c r="H66" s="7">
        <v>6.45524131E8</v>
      </c>
      <c r="I66" s="7">
        <v>5225.0</v>
      </c>
      <c r="J66" s="7">
        <v>4959.0</v>
      </c>
      <c r="K66" s="7">
        <v>266.0</v>
      </c>
      <c r="L66" s="7">
        <v>82.27</v>
      </c>
      <c r="M66" s="7">
        <v>-0.08</v>
      </c>
      <c r="N66" s="7">
        <v>417.0</v>
      </c>
      <c r="O66" s="7">
        <v>111979.0</v>
      </c>
      <c r="P66" s="7" t="s">
        <v>410</v>
      </c>
      <c r="Q66" s="7">
        <v>191.32</v>
      </c>
      <c r="R66" s="3">
        <f t="shared" si="1"/>
        <v>191.32</v>
      </c>
    </row>
    <row r="67" ht="22.5" customHeight="1">
      <c r="B67" s="7" t="s">
        <v>63</v>
      </c>
      <c r="C67" s="7">
        <v>26275.0</v>
      </c>
      <c r="D67" s="7">
        <v>121056.0</v>
      </c>
      <c r="E67" s="7">
        <v>226996.0</v>
      </c>
      <c r="F67" s="7">
        <v>224742.0</v>
      </c>
      <c r="G67" s="7">
        <v>269535.0</v>
      </c>
      <c r="H67" s="7">
        <v>9.91841028E8</v>
      </c>
      <c r="I67" s="7">
        <v>4666.0</v>
      </c>
      <c r="J67" s="7">
        <v>4271.0</v>
      </c>
      <c r="K67" s="7">
        <v>395.0</v>
      </c>
      <c r="L67" s="7">
        <v>33.89</v>
      </c>
      <c r="M67" s="7">
        <v>-0.02</v>
      </c>
      <c r="N67" s="7">
        <v>616.0</v>
      </c>
      <c r="O67" s="7">
        <v>79264.0</v>
      </c>
      <c r="P67" s="7" t="s">
        <v>410</v>
      </c>
      <c r="Q67" s="7">
        <v>193.68</v>
      </c>
      <c r="R67" s="3">
        <f t="shared" si="1"/>
        <v>193.68</v>
      </c>
    </row>
    <row r="68" ht="22.5" customHeight="1">
      <c r="B68" s="7" t="s">
        <v>55</v>
      </c>
      <c r="C68" s="7">
        <v>1672.0</v>
      </c>
      <c r="D68" s="7">
        <v>5262.0</v>
      </c>
      <c r="E68" s="7">
        <v>2403367.0</v>
      </c>
      <c r="F68" s="7">
        <v>2359157.0</v>
      </c>
      <c r="G68" s="7">
        <v>5462083.0</v>
      </c>
      <c r="H68" s="7">
        <v>1.58195415E8</v>
      </c>
      <c r="I68" s="7">
        <v>127950.0</v>
      </c>
      <c r="J68" s="7">
        <v>125316.0</v>
      </c>
      <c r="K68" s="7">
        <v>2634.0</v>
      </c>
      <c r="L68" s="7">
        <v>23.76</v>
      </c>
      <c r="M68" s="7">
        <v>-0.09</v>
      </c>
      <c r="N68" s="7">
        <v>4235.0</v>
      </c>
      <c r="O68" s="7">
        <v>1089952.0</v>
      </c>
      <c r="P68" s="7" t="s">
        <v>409</v>
      </c>
      <c r="Q68" s="7">
        <v>204.46</v>
      </c>
      <c r="R68" s="3">
        <f t="shared" si="1"/>
        <v>204.46</v>
      </c>
    </row>
    <row r="69" ht="22.5" customHeight="1">
      <c r="B69" s="7" t="s">
        <v>67</v>
      </c>
      <c r="C69" s="7">
        <v>110079.0</v>
      </c>
      <c r="D69" s="7">
        <v>506624.0</v>
      </c>
      <c r="E69" s="7">
        <v>113079.0</v>
      </c>
      <c r="F69" s="7">
        <v>108884.0</v>
      </c>
      <c r="G69" s="7">
        <v>308985.0</v>
      </c>
      <c r="H69" s="7">
        <v>6.69057942E8</v>
      </c>
      <c r="I69" s="7">
        <v>6610.0</v>
      </c>
      <c r="J69" s="7">
        <v>6496.0</v>
      </c>
      <c r="K69" s="7">
        <v>114.0</v>
      </c>
      <c r="L69" s="7">
        <v>93.31</v>
      </c>
      <c r="M69" s="7">
        <v>-0.09</v>
      </c>
      <c r="N69" s="7">
        <v>181.0</v>
      </c>
      <c r="O69" s="7">
        <v>93933.0</v>
      </c>
      <c r="P69" s="7" t="s">
        <v>409</v>
      </c>
      <c r="Q69" s="7">
        <v>211.53</v>
      </c>
      <c r="R69" s="3">
        <f t="shared" si="1"/>
        <v>211.53</v>
      </c>
    </row>
    <row r="70" ht="22.5" customHeight="1">
      <c r="B70" s="7" t="s">
        <v>23</v>
      </c>
      <c r="C70" s="7">
        <v>53919.0</v>
      </c>
      <c r="D70" s="7">
        <v>307816.0</v>
      </c>
      <c r="E70" s="7">
        <v>686131.0</v>
      </c>
      <c r="F70" s="7">
        <v>665983.0</v>
      </c>
      <c r="G70" s="7">
        <v>2448468.0</v>
      </c>
      <c r="H70" s="7">
        <v>7.4164232E8</v>
      </c>
      <c r="I70" s="7">
        <v>22831.0</v>
      </c>
      <c r="J70" s="7">
        <v>21886.0</v>
      </c>
      <c r="K70" s="7">
        <v>945.0</v>
      </c>
      <c r="L70" s="7">
        <v>116.1</v>
      </c>
      <c r="M70" s="7">
        <v>-0.08</v>
      </c>
      <c r="N70" s="7">
        <v>1477.0</v>
      </c>
      <c r="O70" s="7">
        <v>340377.0</v>
      </c>
      <c r="P70" s="7" t="s">
        <v>409</v>
      </c>
      <c r="Q70" s="7">
        <v>212.16</v>
      </c>
      <c r="R70" s="3">
        <f t="shared" si="1"/>
        <v>212.16</v>
      </c>
    </row>
    <row r="71" ht="22.5" customHeight="1">
      <c r="B71" s="7" t="s">
        <v>61</v>
      </c>
      <c r="C71" s="7">
        <v>57220.0</v>
      </c>
      <c r="D71" s="7">
        <v>568572.0</v>
      </c>
      <c r="E71" s="7">
        <v>137418.0</v>
      </c>
      <c r="F71" s="7">
        <v>132672.0</v>
      </c>
      <c r="G71" s="7">
        <v>1422558.0</v>
      </c>
      <c r="H71" s="7">
        <v>1.57634955E8</v>
      </c>
      <c r="I71" s="7">
        <v>16421.0</v>
      </c>
      <c r="J71" s="7">
        <v>16310.0</v>
      </c>
      <c r="K71" s="7">
        <v>111.0</v>
      </c>
      <c r="L71" s="7">
        <v>23.55</v>
      </c>
      <c r="M71" s="7">
        <v>-0.27</v>
      </c>
      <c r="N71" s="7">
        <v>195.0</v>
      </c>
      <c r="O71" s="7">
        <v>120694.0</v>
      </c>
      <c r="P71" s="7" t="s">
        <v>409</v>
      </c>
      <c r="Q71" s="7">
        <v>224.0</v>
      </c>
      <c r="R71" s="3">
        <f t="shared" si="1"/>
        <v>224</v>
      </c>
    </row>
    <row r="72" ht="22.5" customHeight="1">
      <c r="B72" s="7" t="s">
        <v>95</v>
      </c>
      <c r="C72" s="7">
        <v>686.0</v>
      </c>
      <c r="D72" s="7">
        <v>19093.0</v>
      </c>
      <c r="E72" s="7">
        <v>1213680.0</v>
      </c>
      <c r="F72" s="7">
        <v>1204662.0</v>
      </c>
      <c r="G72" s="7">
        <v>1825198.0</v>
      </c>
      <c r="H72" s="7">
        <v>1.1996958E8</v>
      </c>
      <c r="I72" s="7">
        <v>50003.0</v>
      </c>
      <c r="J72" s="7">
        <v>48121.0</v>
      </c>
      <c r="K72" s="7">
        <v>1882.0</v>
      </c>
      <c r="L72" s="7">
        <v>20.23</v>
      </c>
      <c r="M72" s="7">
        <v>-0.05</v>
      </c>
      <c r="N72" s="7">
        <v>2934.0</v>
      </c>
      <c r="O72" s="7">
        <v>424724.0</v>
      </c>
      <c r="P72" s="7" t="s">
        <v>409</v>
      </c>
      <c r="Q72" s="7">
        <v>227.0</v>
      </c>
      <c r="R72" s="3">
        <f t="shared" si="1"/>
        <v>227</v>
      </c>
    </row>
    <row r="73" ht="22.5" customHeight="1">
      <c r="B73" s="7" t="s">
        <v>106</v>
      </c>
      <c r="C73" s="7">
        <v>22022.0</v>
      </c>
      <c r="D73" s="7">
        <v>172772.0</v>
      </c>
      <c r="E73" s="7">
        <v>2186495.0</v>
      </c>
      <c r="F73" s="7">
        <v>2103398.0</v>
      </c>
      <c r="G73" s="7">
        <v>2.7952824E7</v>
      </c>
      <c r="H73" s="7">
        <v>2.72774295E8</v>
      </c>
      <c r="I73" s="7">
        <v>133296.0</v>
      </c>
      <c r="J73" s="7">
        <v>131651.0</v>
      </c>
      <c r="K73" s="7">
        <v>1645.0</v>
      </c>
      <c r="L73" s="7">
        <v>17.77</v>
      </c>
      <c r="M73" s="7">
        <v>-0.23</v>
      </c>
      <c r="N73" s="7">
        <v>2916.0</v>
      </c>
      <c r="O73" s="7">
        <v>5953317.0</v>
      </c>
      <c r="P73" s="7" t="s">
        <v>409</v>
      </c>
      <c r="Q73" s="7">
        <v>236.08</v>
      </c>
      <c r="R73" s="3">
        <f t="shared" si="1"/>
        <v>236.08</v>
      </c>
    </row>
    <row r="74" ht="22.5" customHeight="1">
      <c r="B74" s="7" t="s">
        <v>222</v>
      </c>
      <c r="C74" s="7">
        <v>3220.0</v>
      </c>
      <c r="D74" s="7">
        <v>12314.0</v>
      </c>
      <c r="E74" s="7">
        <v>2361004.0</v>
      </c>
      <c r="F74" s="7">
        <v>2323043.0</v>
      </c>
      <c r="G74" s="7">
        <v>7722220.0</v>
      </c>
      <c r="H74" s="7">
        <v>1.55244509E8</v>
      </c>
      <c r="I74" s="7">
        <v>129651.0</v>
      </c>
      <c r="J74" s="7">
        <v>126931.0</v>
      </c>
      <c r="K74" s="7">
        <v>2720.0</v>
      </c>
      <c r="L74" s="7">
        <v>30.93</v>
      </c>
      <c r="M74" s="7">
        <v>-0.11</v>
      </c>
      <c r="N74" s="7">
        <v>4256.0</v>
      </c>
      <c r="O74" s="7">
        <v>1200327.0</v>
      </c>
      <c r="P74" s="7" t="s">
        <v>409</v>
      </c>
      <c r="Q74" s="7">
        <v>242.08</v>
      </c>
      <c r="R74" s="3">
        <f t="shared" si="1"/>
        <v>242.08</v>
      </c>
    </row>
    <row r="75" ht="22.5" customHeight="1">
      <c r="B75" s="7" t="s">
        <v>65</v>
      </c>
      <c r="C75" s="7">
        <v>1140.0</v>
      </c>
      <c r="D75" s="7">
        <v>4253.0</v>
      </c>
      <c r="E75" s="7">
        <v>2231122.0</v>
      </c>
      <c r="F75" s="7">
        <v>2203466.0</v>
      </c>
      <c r="G75" s="7">
        <v>3796449.0</v>
      </c>
      <c r="H75" s="7">
        <v>9.6255699E7</v>
      </c>
      <c r="I75" s="7">
        <v>110243.0</v>
      </c>
      <c r="J75" s="7">
        <v>108008.0</v>
      </c>
      <c r="K75" s="7">
        <v>2235.0</v>
      </c>
      <c r="L75" s="7">
        <v>19.46</v>
      </c>
      <c r="M75" s="7">
        <v>-0.07</v>
      </c>
      <c r="N75" s="7">
        <v>3572.0</v>
      </c>
      <c r="O75" s="7">
        <v>1113149.0</v>
      </c>
      <c r="P75" s="7" t="s">
        <v>410</v>
      </c>
      <c r="Q75" s="7">
        <v>244.46</v>
      </c>
      <c r="R75" s="3">
        <f t="shared" si="1"/>
        <v>244.46</v>
      </c>
    </row>
    <row r="76" ht="22.5" customHeight="1">
      <c r="B76" s="7" t="s">
        <v>224</v>
      </c>
      <c r="C76" s="7">
        <v>3220.0</v>
      </c>
      <c r="D76" s="7">
        <v>12314.0</v>
      </c>
      <c r="E76" s="7">
        <v>2150818.0</v>
      </c>
      <c r="F76" s="7">
        <v>2115040.0</v>
      </c>
      <c r="G76" s="7">
        <v>7418893.0</v>
      </c>
      <c r="H76" s="7">
        <v>1.46076536E8</v>
      </c>
      <c r="I76" s="7">
        <v>128317.0</v>
      </c>
      <c r="J76" s="7">
        <v>126207.0</v>
      </c>
      <c r="K76" s="7">
        <v>2110.0</v>
      </c>
      <c r="L76" s="7">
        <v>30.22</v>
      </c>
      <c r="M76" s="7">
        <v>-0.12</v>
      </c>
      <c r="N76" s="7">
        <v>3322.0</v>
      </c>
      <c r="O76" s="7">
        <v>1197254.0</v>
      </c>
      <c r="P76" s="7" t="s">
        <v>409</v>
      </c>
      <c r="Q76" s="7">
        <v>251.55</v>
      </c>
      <c r="R76" s="3">
        <f t="shared" si="1"/>
        <v>251.55</v>
      </c>
    </row>
    <row r="77" ht="22.5" customHeight="1">
      <c r="B77" s="7" t="s">
        <v>102</v>
      </c>
      <c r="C77" s="7">
        <v>110108.0</v>
      </c>
      <c r="D77" s="7">
        <v>506718.0</v>
      </c>
      <c r="E77" s="7">
        <v>225754.0</v>
      </c>
      <c r="F77" s="7">
        <v>217818.0</v>
      </c>
      <c r="G77" s="7">
        <v>533572.0</v>
      </c>
      <c r="H77" s="7">
        <v>7.77566653E8</v>
      </c>
      <c r="I77" s="7">
        <v>6059.0</v>
      </c>
      <c r="J77" s="7">
        <v>5654.0</v>
      </c>
      <c r="K77" s="7">
        <v>405.0</v>
      </c>
      <c r="L77" s="7">
        <v>65.84</v>
      </c>
      <c r="M77" s="7">
        <v>-0.09</v>
      </c>
      <c r="N77" s="7">
        <v>624.0</v>
      </c>
      <c r="O77" s="7">
        <v>114276.0</v>
      </c>
      <c r="P77" s="7" t="s">
        <v>410</v>
      </c>
      <c r="Q77" s="7">
        <v>251.66</v>
      </c>
      <c r="R77" s="3">
        <f t="shared" si="1"/>
        <v>251.66</v>
      </c>
    </row>
    <row r="78" ht="22.5" customHeight="1">
      <c r="B78" s="7" t="s">
        <v>74</v>
      </c>
      <c r="C78" s="7">
        <v>1140.0</v>
      </c>
      <c r="D78" s="7">
        <v>4253.0</v>
      </c>
      <c r="E78" s="7">
        <v>2406872.0</v>
      </c>
      <c r="F78" s="7">
        <v>2376949.0</v>
      </c>
      <c r="G78" s="7">
        <v>3968508.0</v>
      </c>
      <c r="H78" s="7">
        <v>1.0383278E8</v>
      </c>
      <c r="I78" s="7">
        <v>110690.0</v>
      </c>
      <c r="J78" s="7">
        <v>108068.0</v>
      </c>
      <c r="K78" s="7">
        <v>2622.0</v>
      </c>
      <c r="L78" s="7">
        <v>19.42</v>
      </c>
      <c r="M78" s="7">
        <v>-0.07</v>
      </c>
      <c r="N78" s="7">
        <v>4230.0</v>
      </c>
      <c r="O78" s="7">
        <v>1116438.0</v>
      </c>
      <c r="P78" s="7" t="s">
        <v>410</v>
      </c>
      <c r="Q78" s="7">
        <v>265.06</v>
      </c>
      <c r="R78" s="3">
        <f t="shared" si="1"/>
        <v>265.06</v>
      </c>
    </row>
    <row r="79" ht="22.5" customHeight="1">
      <c r="B79" s="7" t="s">
        <v>37</v>
      </c>
      <c r="C79" s="7">
        <v>270120.0</v>
      </c>
      <c r="D79" s="7">
        <v>1227441.0</v>
      </c>
      <c r="E79" s="7">
        <v>1142396.0</v>
      </c>
      <c r="F79" s="7">
        <v>1107363.0</v>
      </c>
      <c r="G79" s="7">
        <v>3691938.0</v>
      </c>
      <c r="H79" s="7">
        <v>7.66280193E8</v>
      </c>
      <c r="I79" s="7">
        <v>25276.0</v>
      </c>
      <c r="J79" s="7">
        <v>23219.0</v>
      </c>
      <c r="K79" s="7">
        <v>2057.0</v>
      </c>
      <c r="L79" s="7">
        <v>135.84</v>
      </c>
      <c r="M79" s="7">
        <v>-0.05</v>
      </c>
      <c r="N79" s="7">
        <v>3104.0</v>
      </c>
      <c r="O79" s="7">
        <v>444605.0</v>
      </c>
      <c r="P79" s="7" t="s">
        <v>409</v>
      </c>
      <c r="Q79" s="7">
        <v>275.34</v>
      </c>
      <c r="R79" s="3">
        <f t="shared" si="1"/>
        <v>275.34</v>
      </c>
    </row>
    <row r="80" ht="22.5" customHeight="1">
      <c r="B80" s="7" t="s">
        <v>91</v>
      </c>
      <c r="C80" s="7">
        <v>110108.0</v>
      </c>
      <c r="D80" s="7">
        <v>506714.0</v>
      </c>
      <c r="E80" s="7">
        <v>227174.0</v>
      </c>
      <c r="F80" s="7">
        <v>219981.0</v>
      </c>
      <c r="G80" s="7">
        <v>505038.0</v>
      </c>
      <c r="H80" s="7">
        <v>9.78089858E8</v>
      </c>
      <c r="I80" s="7">
        <v>8647.0</v>
      </c>
      <c r="J80" s="7">
        <v>8227.0</v>
      </c>
      <c r="K80" s="7">
        <v>420.0</v>
      </c>
      <c r="L80" s="7">
        <v>77.26</v>
      </c>
      <c r="M80" s="7">
        <v>-0.08</v>
      </c>
      <c r="N80" s="7">
        <v>640.0</v>
      </c>
      <c r="O80" s="7">
        <v>98615.0</v>
      </c>
      <c r="P80" s="7" t="s">
        <v>410</v>
      </c>
      <c r="Q80" s="7">
        <v>278.66</v>
      </c>
      <c r="R80" s="3">
        <f t="shared" si="1"/>
        <v>278.66</v>
      </c>
    </row>
    <row r="81" ht="22.5" customHeight="1">
      <c r="B81" s="7" t="s">
        <v>109</v>
      </c>
      <c r="C81" s="7">
        <v>2275.0</v>
      </c>
      <c r="D81" s="7">
        <v>6764.0</v>
      </c>
      <c r="E81" s="7">
        <v>2064295.0</v>
      </c>
      <c r="F81" s="7">
        <v>2042375.0</v>
      </c>
      <c r="G81" s="7">
        <v>2887380.0</v>
      </c>
      <c r="H81" s="7">
        <v>2.21403113E8</v>
      </c>
      <c r="I81" s="7">
        <v>109182.0</v>
      </c>
      <c r="J81" s="7">
        <v>107325.0</v>
      </c>
      <c r="K81" s="7">
        <v>1857.0</v>
      </c>
      <c r="L81" s="7">
        <v>25.94</v>
      </c>
      <c r="M81" s="7">
        <v>-0.04</v>
      </c>
      <c r="N81" s="7">
        <v>2937.0</v>
      </c>
      <c r="O81" s="7">
        <v>1131003.0</v>
      </c>
      <c r="P81" s="7" t="s">
        <v>410</v>
      </c>
      <c r="Q81" s="7">
        <v>285.79</v>
      </c>
      <c r="R81" s="3">
        <f t="shared" si="1"/>
        <v>285.79</v>
      </c>
    </row>
    <row r="82" ht="22.5" customHeight="1">
      <c r="B82" s="7" t="s">
        <v>140</v>
      </c>
      <c r="C82" s="7">
        <v>2484.0</v>
      </c>
      <c r="D82" s="7">
        <v>10627.0</v>
      </c>
      <c r="E82" s="7">
        <v>1527948.0</v>
      </c>
      <c r="F82" s="7">
        <v>1505242.0</v>
      </c>
      <c r="G82" s="7">
        <v>3074292.0</v>
      </c>
      <c r="H82" s="7">
        <v>1.63399574E8</v>
      </c>
      <c r="I82" s="7">
        <v>79272.0</v>
      </c>
      <c r="J82" s="7">
        <v>77457.0</v>
      </c>
      <c r="K82" s="7">
        <v>1815.0</v>
      </c>
      <c r="L82" s="7">
        <v>33.49</v>
      </c>
      <c r="M82" s="7">
        <v>-0.08</v>
      </c>
      <c r="N82" s="7">
        <v>2868.0</v>
      </c>
      <c r="O82" s="7">
        <v>677806.0</v>
      </c>
      <c r="P82" s="7" t="s">
        <v>409</v>
      </c>
      <c r="Q82" s="7">
        <v>285.84</v>
      </c>
      <c r="R82" s="3">
        <f t="shared" si="1"/>
        <v>285.84</v>
      </c>
    </row>
    <row r="83" ht="22.5" customHeight="1">
      <c r="B83" s="7" t="s">
        <v>204</v>
      </c>
      <c r="C83" s="7">
        <v>3220.0</v>
      </c>
      <c r="D83" s="7">
        <v>12314.0</v>
      </c>
      <c r="E83" s="7">
        <v>2519101.0</v>
      </c>
      <c r="F83" s="7">
        <v>2480071.0</v>
      </c>
      <c r="G83" s="7">
        <v>7669519.0</v>
      </c>
      <c r="H83" s="7">
        <v>1.74581196E8</v>
      </c>
      <c r="I83" s="7">
        <v>126571.0</v>
      </c>
      <c r="J83" s="7">
        <v>123460.0</v>
      </c>
      <c r="K83" s="7">
        <v>3111.0</v>
      </c>
      <c r="L83" s="7">
        <v>31.48</v>
      </c>
      <c r="M83" s="7">
        <v>-0.1</v>
      </c>
      <c r="N83" s="7">
        <v>4890.0</v>
      </c>
      <c r="O83" s="7">
        <v>1175961.0</v>
      </c>
      <c r="P83" s="7" t="s">
        <v>409</v>
      </c>
      <c r="Q83" s="7">
        <v>287.57</v>
      </c>
      <c r="R83" s="3">
        <f t="shared" si="1"/>
        <v>287.57</v>
      </c>
    </row>
    <row r="84" ht="22.5" customHeight="1">
      <c r="B84" s="7" t="s">
        <v>130</v>
      </c>
      <c r="C84" s="7">
        <v>5241.0</v>
      </c>
      <c r="D84" s="7">
        <v>15431.0</v>
      </c>
      <c r="E84" s="7">
        <v>3658121.0</v>
      </c>
      <c r="F84" s="7">
        <v>3581814.0</v>
      </c>
      <c r="G84" s="7">
        <v>7420876.0</v>
      </c>
      <c r="H84" s="7">
        <v>2.68577364E8</v>
      </c>
      <c r="I84" s="7">
        <v>108778.0</v>
      </c>
      <c r="J84" s="7">
        <v>102923.0</v>
      </c>
      <c r="K84" s="7">
        <v>5855.0</v>
      </c>
      <c r="L84" s="7">
        <v>24.45</v>
      </c>
      <c r="M84" s="7">
        <v>-0.07</v>
      </c>
      <c r="N84" s="7">
        <v>9389.0</v>
      </c>
      <c r="O84" s="7">
        <v>1420147.0</v>
      </c>
      <c r="P84" s="7" t="s">
        <v>410</v>
      </c>
      <c r="Q84" s="7">
        <v>289.98</v>
      </c>
      <c r="R84" s="3">
        <f t="shared" si="1"/>
        <v>289.98</v>
      </c>
    </row>
    <row r="85" ht="22.5" customHeight="1">
      <c r="B85" s="7" t="s">
        <v>197</v>
      </c>
      <c r="C85" s="7">
        <v>3220.0</v>
      </c>
      <c r="D85" s="7">
        <v>12314.0</v>
      </c>
      <c r="E85" s="7">
        <v>2290156.0</v>
      </c>
      <c r="F85" s="7">
        <v>2252246.0</v>
      </c>
      <c r="G85" s="7">
        <v>8007242.0</v>
      </c>
      <c r="H85" s="7">
        <v>1.64372825E8</v>
      </c>
      <c r="I85" s="7">
        <v>131112.0</v>
      </c>
      <c r="J85" s="7">
        <v>128666.0</v>
      </c>
      <c r="K85" s="7">
        <v>2446.0</v>
      </c>
      <c r="L85" s="7">
        <v>32.65</v>
      </c>
      <c r="M85" s="7">
        <v>-0.11</v>
      </c>
      <c r="N85" s="7">
        <v>3873.0</v>
      </c>
      <c r="O85" s="7">
        <v>1193292.0</v>
      </c>
      <c r="P85" s="7" t="s">
        <v>409</v>
      </c>
      <c r="Q85" s="7">
        <v>298.58</v>
      </c>
      <c r="R85" s="3">
        <f t="shared" si="1"/>
        <v>298.58</v>
      </c>
    </row>
    <row r="86" ht="22.5" customHeight="1">
      <c r="B86" s="7" t="s">
        <v>27</v>
      </c>
      <c r="C86" s="7">
        <v>320.0</v>
      </c>
      <c r="D86" s="7">
        <v>1120.0</v>
      </c>
      <c r="E86" s="7">
        <v>1953117.0</v>
      </c>
      <c r="F86" s="7">
        <v>1904458.0</v>
      </c>
      <c r="G86" s="7">
        <v>4197107.0</v>
      </c>
      <c r="H86" s="7">
        <v>8.5909149E7</v>
      </c>
      <c r="I86" s="7">
        <v>73703.0</v>
      </c>
      <c r="J86" s="7">
        <v>71939.0</v>
      </c>
      <c r="K86" s="7">
        <v>1764.0</v>
      </c>
      <c r="L86" s="7">
        <v>24.29</v>
      </c>
      <c r="M86" s="7">
        <v>-0.07</v>
      </c>
      <c r="N86" s="7">
        <v>2816.0</v>
      </c>
      <c r="O86" s="7">
        <v>1106299.0</v>
      </c>
      <c r="P86" s="7" t="s">
        <v>409</v>
      </c>
      <c r="Q86" s="7">
        <v>305.06</v>
      </c>
      <c r="R86" s="3">
        <f t="shared" si="1"/>
        <v>305.06</v>
      </c>
    </row>
    <row r="87" ht="22.5" customHeight="1">
      <c r="B87" s="7" t="s">
        <v>156</v>
      </c>
      <c r="C87" s="7">
        <v>752.0</v>
      </c>
      <c r="D87" s="7">
        <v>27325.0</v>
      </c>
      <c r="E87" s="7">
        <v>3473377.0</v>
      </c>
      <c r="F87" s="7">
        <v>3386455.0</v>
      </c>
      <c r="G87" s="7">
        <v>6168651.0</v>
      </c>
      <c r="H87" s="7">
        <v>1.7917017E8</v>
      </c>
      <c r="I87" s="7">
        <v>102208.0</v>
      </c>
      <c r="J87" s="7">
        <v>96376.0</v>
      </c>
      <c r="K87" s="7">
        <v>5832.0</v>
      </c>
      <c r="L87" s="7">
        <v>43.03</v>
      </c>
      <c r="M87" s="7">
        <v>-0.07</v>
      </c>
      <c r="N87" s="7">
        <v>9074.0</v>
      </c>
      <c r="O87" s="7">
        <v>1231834.0</v>
      </c>
      <c r="P87" s="7" t="s">
        <v>409</v>
      </c>
      <c r="Q87" s="7">
        <v>305.07</v>
      </c>
      <c r="R87" s="3">
        <f t="shared" si="1"/>
        <v>305.07</v>
      </c>
    </row>
    <row r="88" ht="22.5" customHeight="1">
      <c r="B88" s="7" t="s">
        <v>134</v>
      </c>
      <c r="C88" s="7">
        <v>1043.0</v>
      </c>
      <c r="D88" s="7">
        <v>2829.0</v>
      </c>
      <c r="E88" s="7">
        <v>5010232.0</v>
      </c>
      <c r="F88" s="7">
        <v>4956672.0</v>
      </c>
      <c r="G88" s="7">
        <v>5768990.0</v>
      </c>
      <c r="H88" s="7">
        <v>7.7197585E7</v>
      </c>
      <c r="I88" s="7">
        <v>148255.0</v>
      </c>
      <c r="J88" s="7">
        <v>141131.0</v>
      </c>
      <c r="K88" s="7">
        <v>7124.0</v>
      </c>
      <c r="L88" s="7">
        <v>22.93</v>
      </c>
      <c r="M88" s="7">
        <v>-0.03</v>
      </c>
      <c r="N88" s="7">
        <v>11325.0</v>
      </c>
      <c r="O88" s="7">
        <v>1919647.0</v>
      </c>
      <c r="P88" s="7" t="s">
        <v>410</v>
      </c>
      <c r="Q88" s="7">
        <v>312.96</v>
      </c>
      <c r="R88" s="3">
        <f t="shared" si="1"/>
        <v>312.96</v>
      </c>
    </row>
    <row r="89" ht="22.5" customHeight="1">
      <c r="B89" s="7" t="s">
        <v>82</v>
      </c>
      <c r="C89" s="7">
        <v>164887.0</v>
      </c>
      <c r="D89" s="7">
        <v>759228.0</v>
      </c>
      <c r="E89" s="7">
        <v>304850.0</v>
      </c>
      <c r="F89" s="7">
        <v>293219.0</v>
      </c>
      <c r="G89" s="7">
        <v>643534.0</v>
      </c>
      <c r="H89" s="7">
        <v>9.37705072E8</v>
      </c>
      <c r="I89" s="7">
        <v>7911.0</v>
      </c>
      <c r="J89" s="7">
        <v>7398.0</v>
      </c>
      <c r="K89" s="7">
        <v>513.0</v>
      </c>
      <c r="L89" s="7">
        <v>111.67</v>
      </c>
      <c r="M89" s="7">
        <v>-0.07</v>
      </c>
      <c r="N89" s="7">
        <v>777.0</v>
      </c>
      <c r="O89" s="7">
        <v>191450.0</v>
      </c>
      <c r="P89" s="7" t="s">
        <v>409</v>
      </c>
      <c r="Q89" s="7">
        <v>314.08</v>
      </c>
      <c r="R89" s="3">
        <f t="shared" si="1"/>
        <v>314.08</v>
      </c>
    </row>
    <row r="90" ht="22.5" customHeight="1">
      <c r="B90" s="7" t="s">
        <v>25</v>
      </c>
      <c r="C90" s="7">
        <v>2205.0</v>
      </c>
      <c r="D90" s="7">
        <v>6555.0</v>
      </c>
      <c r="E90" s="7">
        <v>2527853.0</v>
      </c>
      <c r="F90" s="7">
        <v>2504343.0</v>
      </c>
      <c r="G90" s="7">
        <v>3330921.0</v>
      </c>
      <c r="H90" s="7">
        <v>2.21164288E8</v>
      </c>
      <c r="I90" s="7">
        <v>115676.0</v>
      </c>
      <c r="J90" s="7">
        <v>112519.0</v>
      </c>
      <c r="K90" s="7">
        <v>3157.0</v>
      </c>
      <c r="L90" s="7">
        <v>26.8</v>
      </c>
      <c r="M90" s="7">
        <v>-0.04</v>
      </c>
      <c r="N90" s="7">
        <v>4950.0</v>
      </c>
      <c r="O90" s="7">
        <v>1087287.0</v>
      </c>
      <c r="P90" s="7" t="s">
        <v>410</v>
      </c>
      <c r="Q90" s="7">
        <v>318.63</v>
      </c>
      <c r="R90" s="3">
        <f t="shared" si="1"/>
        <v>318.63</v>
      </c>
    </row>
    <row r="91" ht="22.5" customHeight="1">
      <c r="B91" s="7" t="s">
        <v>206</v>
      </c>
      <c r="C91" s="7">
        <v>3220.0</v>
      </c>
      <c r="D91" s="7">
        <v>12314.0</v>
      </c>
      <c r="E91" s="7">
        <v>3444167.0</v>
      </c>
      <c r="F91" s="7">
        <v>3392383.0</v>
      </c>
      <c r="G91" s="7">
        <v>8925157.0</v>
      </c>
      <c r="H91" s="7">
        <v>2.53411981E8</v>
      </c>
      <c r="I91" s="7">
        <v>130357.0</v>
      </c>
      <c r="J91" s="7">
        <v>124881.0</v>
      </c>
      <c r="K91" s="7">
        <v>5476.0</v>
      </c>
      <c r="L91" s="7">
        <v>36.91</v>
      </c>
      <c r="M91" s="7">
        <v>-0.08</v>
      </c>
      <c r="N91" s="7">
        <v>8678.0</v>
      </c>
      <c r="O91" s="7">
        <v>1181795.0</v>
      </c>
      <c r="P91" s="7" t="s">
        <v>409</v>
      </c>
      <c r="Q91" s="7">
        <v>323.86</v>
      </c>
      <c r="R91" s="3">
        <f t="shared" si="1"/>
        <v>323.86</v>
      </c>
    </row>
    <row r="92" ht="22.5" customHeight="1">
      <c r="B92" s="7" t="s">
        <v>231</v>
      </c>
      <c r="C92" s="7">
        <v>3220.0</v>
      </c>
      <c r="D92" s="7">
        <v>12314.0</v>
      </c>
      <c r="E92" s="7">
        <v>2395504.0</v>
      </c>
      <c r="F92" s="7">
        <v>2355700.0</v>
      </c>
      <c r="G92" s="7">
        <v>8023241.0</v>
      </c>
      <c r="H92" s="7">
        <v>1.61033157E8</v>
      </c>
      <c r="I92" s="7">
        <v>132506.0</v>
      </c>
      <c r="J92" s="7">
        <v>129656.0</v>
      </c>
      <c r="K92" s="7">
        <v>2850.0</v>
      </c>
      <c r="L92" s="7">
        <v>33.49</v>
      </c>
      <c r="M92" s="7">
        <v>-0.11</v>
      </c>
      <c r="N92" s="7">
        <v>4439.0</v>
      </c>
      <c r="O92" s="7">
        <v>1200164.0</v>
      </c>
      <c r="P92" s="7" t="s">
        <v>409</v>
      </c>
      <c r="Q92" s="7">
        <v>326.54</v>
      </c>
      <c r="R92" s="3">
        <f t="shared" si="1"/>
        <v>326.54</v>
      </c>
    </row>
    <row r="93" ht="22.5" customHeight="1">
      <c r="B93" s="7" t="s">
        <v>80</v>
      </c>
      <c r="C93" s="7">
        <v>2703.0</v>
      </c>
      <c r="D93" s="7">
        <v>17985.0</v>
      </c>
      <c r="E93" s="7">
        <v>1578212.0</v>
      </c>
      <c r="F93" s="7">
        <v>1555564.0</v>
      </c>
      <c r="G93" s="7">
        <v>2391238.0</v>
      </c>
      <c r="H93" s="7">
        <v>1.13630155E8</v>
      </c>
      <c r="I93" s="7">
        <v>54722.0</v>
      </c>
      <c r="J93" s="7">
        <v>52993.0</v>
      </c>
      <c r="K93" s="7">
        <v>1729.0</v>
      </c>
      <c r="L93" s="7">
        <v>29.49</v>
      </c>
      <c r="M93" s="7">
        <v>-0.05</v>
      </c>
      <c r="N93" s="7">
        <v>2781.0</v>
      </c>
      <c r="O93" s="7">
        <v>809661.0</v>
      </c>
      <c r="P93" s="7" t="s">
        <v>410</v>
      </c>
      <c r="Q93" s="7">
        <v>328.48</v>
      </c>
      <c r="R93" s="3">
        <f t="shared" si="1"/>
        <v>328.48</v>
      </c>
    </row>
    <row r="94" ht="22.5" customHeight="1">
      <c r="B94" s="7" t="s">
        <v>126</v>
      </c>
      <c r="C94" s="7">
        <v>2089.0</v>
      </c>
      <c r="D94" s="7">
        <v>6206.0</v>
      </c>
      <c r="E94" s="7">
        <v>2341909.0</v>
      </c>
      <c r="F94" s="7">
        <v>2323324.0</v>
      </c>
      <c r="G94" s="7">
        <v>2969238.0</v>
      </c>
      <c r="H94" s="7">
        <v>2.37116683E8</v>
      </c>
      <c r="I94" s="7">
        <v>116978.0</v>
      </c>
      <c r="J94" s="7">
        <v>114448.0</v>
      </c>
      <c r="K94" s="7">
        <v>2530.0</v>
      </c>
      <c r="L94" s="7">
        <v>26.86</v>
      </c>
      <c r="M94" s="7">
        <v>-0.03</v>
      </c>
      <c r="N94" s="7">
        <v>4038.0</v>
      </c>
      <c r="O94" s="7">
        <v>1070090.0</v>
      </c>
      <c r="P94" s="7" t="s">
        <v>410</v>
      </c>
      <c r="Q94" s="7">
        <v>346.28</v>
      </c>
      <c r="R94" s="3">
        <f t="shared" si="1"/>
        <v>346.28</v>
      </c>
    </row>
    <row r="95" ht="22.5" customHeight="1">
      <c r="B95" s="7" t="s">
        <v>152</v>
      </c>
      <c r="C95" s="7">
        <v>501284.0</v>
      </c>
      <c r="D95" s="7">
        <v>2745938.0</v>
      </c>
      <c r="E95" s="7">
        <v>2035148.0</v>
      </c>
      <c r="F95" s="7">
        <v>2025679.0</v>
      </c>
      <c r="G95" s="7">
        <v>1.5506993E7</v>
      </c>
      <c r="H95" s="7">
        <v>1.35760243E8</v>
      </c>
      <c r="I95" s="7">
        <v>99630.0</v>
      </c>
      <c r="J95" s="7">
        <v>96567.0</v>
      </c>
      <c r="K95" s="7">
        <v>3063.0</v>
      </c>
      <c r="L95" s="7">
        <v>15.3</v>
      </c>
      <c r="M95" s="7">
        <v>-0.07</v>
      </c>
      <c r="N95" s="7">
        <v>4106.0</v>
      </c>
      <c r="O95" s="7">
        <v>2477727.0</v>
      </c>
      <c r="P95" s="7" t="s">
        <v>410</v>
      </c>
      <c r="Q95" s="7">
        <v>348.09</v>
      </c>
      <c r="R95" s="3">
        <f t="shared" si="1"/>
        <v>348.09</v>
      </c>
    </row>
    <row r="96" ht="22.5" customHeight="1">
      <c r="B96" s="7" t="s">
        <v>19</v>
      </c>
      <c r="C96" s="7">
        <v>48258.0</v>
      </c>
      <c r="D96" s="7">
        <v>140967.0</v>
      </c>
      <c r="E96" s="7">
        <v>2167202.0</v>
      </c>
      <c r="F96" s="7">
        <v>2135882.0</v>
      </c>
      <c r="G96" s="7">
        <v>1.1071303E7</v>
      </c>
      <c r="H96" s="7">
        <v>3.95073969E8</v>
      </c>
      <c r="I96" s="7">
        <v>148140.0</v>
      </c>
      <c r="J96" s="7">
        <v>145994.0</v>
      </c>
      <c r="K96" s="7">
        <v>2146.0</v>
      </c>
      <c r="L96" s="7">
        <v>21.89</v>
      </c>
      <c r="M96" s="7">
        <v>-0.12</v>
      </c>
      <c r="N96" s="7">
        <v>3383.0</v>
      </c>
      <c r="O96" s="7">
        <v>1832177.0</v>
      </c>
      <c r="P96" s="7" t="s">
        <v>410</v>
      </c>
      <c r="Q96" s="7">
        <v>351.19</v>
      </c>
      <c r="R96" s="3">
        <f t="shared" si="1"/>
        <v>351.19</v>
      </c>
    </row>
    <row r="97" ht="22.5" customHeight="1">
      <c r="B97" s="7" t="s">
        <v>97</v>
      </c>
      <c r="C97" s="7">
        <v>506.0</v>
      </c>
      <c r="D97" s="7">
        <v>1406.0</v>
      </c>
      <c r="E97" s="7">
        <v>4147635.0</v>
      </c>
      <c r="F97" s="7">
        <v>4124984.0</v>
      </c>
      <c r="G97" s="7">
        <v>5558656.0</v>
      </c>
      <c r="H97" s="7">
        <v>1.0120538E8</v>
      </c>
      <c r="I97" s="7">
        <v>117874.0</v>
      </c>
      <c r="J97" s="7">
        <v>110995.0</v>
      </c>
      <c r="K97" s="7">
        <v>6879.0</v>
      </c>
      <c r="L97" s="7">
        <v>19.08</v>
      </c>
      <c r="M97" s="7">
        <v>-0.04</v>
      </c>
      <c r="N97" s="7">
        <v>11086.0</v>
      </c>
      <c r="O97" s="7">
        <v>1168194.0</v>
      </c>
      <c r="P97" s="7" t="s">
        <v>410</v>
      </c>
      <c r="Q97" s="7">
        <v>352.53</v>
      </c>
      <c r="R97" s="3">
        <f t="shared" si="1"/>
        <v>352.53</v>
      </c>
    </row>
    <row r="98" ht="22.5" customHeight="1">
      <c r="B98" s="7" t="s">
        <v>71</v>
      </c>
      <c r="C98" s="7">
        <v>3073.0</v>
      </c>
      <c r="D98" s="7">
        <v>19636.0</v>
      </c>
      <c r="E98" s="7">
        <v>1679523.0</v>
      </c>
      <c r="F98" s="7">
        <v>1665669.0</v>
      </c>
      <c r="G98" s="7">
        <v>2568299.0</v>
      </c>
      <c r="H98" s="7">
        <v>3.81227002E8</v>
      </c>
      <c r="I98" s="7">
        <v>80656.0</v>
      </c>
      <c r="J98" s="7">
        <v>78840.0</v>
      </c>
      <c r="K98" s="7">
        <v>1816.0</v>
      </c>
      <c r="L98" s="7">
        <v>21.89</v>
      </c>
      <c r="M98" s="7">
        <v>-0.06</v>
      </c>
      <c r="N98" s="7">
        <v>2870.0</v>
      </c>
      <c r="O98" s="7">
        <v>824224.0</v>
      </c>
      <c r="P98" s="7" t="s">
        <v>409</v>
      </c>
      <c r="Q98" s="7">
        <v>355.64</v>
      </c>
      <c r="R98" s="3">
        <f t="shared" si="1"/>
        <v>355.64</v>
      </c>
    </row>
    <row r="99" ht="22.5" customHeight="1">
      <c r="B99" s="7" t="s">
        <v>136</v>
      </c>
      <c r="C99" s="7">
        <v>2616.0</v>
      </c>
      <c r="D99" s="7">
        <v>7788.0</v>
      </c>
      <c r="E99" s="7">
        <v>2726992.0</v>
      </c>
      <c r="F99" s="7">
        <v>2703131.0</v>
      </c>
      <c r="G99" s="7">
        <v>3514422.0</v>
      </c>
      <c r="H99" s="7">
        <v>3.11551028E8</v>
      </c>
      <c r="I99" s="7">
        <v>116464.0</v>
      </c>
      <c r="J99" s="7">
        <v>112870.0</v>
      </c>
      <c r="K99" s="7">
        <v>3594.0</v>
      </c>
      <c r="L99" s="7">
        <v>29.91</v>
      </c>
      <c r="M99" s="7">
        <v>-0.03</v>
      </c>
      <c r="N99" s="7">
        <v>5693.0</v>
      </c>
      <c r="O99" s="7">
        <v>1092768.0</v>
      </c>
      <c r="P99" s="7" t="s">
        <v>410</v>
      </c>
      <c r="Q99" s="7">
        <v>356.65</v>
      </c>
      <c r="R99" s="3">
        <f t="shared" si="1"/>
        <v>356.65</v>
      </c>
    </row>
    <row r="100" ht="22.5" customHeight="1">
      <c r="B100" s="7" t="s">
        <v>154</v>
      </c>
      <c r="C100" s="7">
        <v>99736.0</v>
      </c>
      <c r="D100" s="7">
        <v>783852.0</v>
      </c>
      <c r="E100" s="7">
        <v>524997.0</v>
      </c>
      <c r="F100" s="7">
        <v>498508.0</v>
      </c>
      <c r="G100" s="7">
        <v>1502801.0</v>
      </c>
      <c r="H100" s="7">
        <v>1.859699806E9</v>
      </c>
      <c r="I100" s="7">
        <v>17012.0</v>
      </c>
      <c r="J100" s="7">
        <v>16497.0</v>
      </c>
      <c r="K100" s="7">
        <v>515.0</v>
      </c>
      <c r="L100" s="7">
        <v>94.0</v>
      </c>
      <c r="M100" s="7">
        <v>-0.08</v>
      </c>
      <c r="N100" s="7">
        <v>800.0</v>
      </c>
      <c r="O100" s="7">
        <v>406049.0</v>
      </c>
      <c r="P100" s="7" t="s">
        <v>410</v>
      </c>
      <c r="Q100" s="7">
        <v>357.29</v>
      </c>
      <c r="R100" s="3">
        <f t="shared" si="1"/>
        <v>357.29</v>
      </c>
    </row>
    <row r="101" ht="22.5" customHeight="1">
      <c r="B101" s="7" t="s">
        <v>113</v>
      </c>
      <c r="C101" s="7">
        <v>1140.0</v>
      </c>
      <c r="D101" s="7">
        <v>4253.0</v>
      </c>
      <c r="E101" s="7">
        <v>2527389.0</v>
      </c>
      <c r="F101" s="7">
        <v>2496533.0</v>
      </c>
      <c r="G101" s="7">
        <v>4238630.0</v>
      </c>
      <c r="H101" s="7">
        <v>1.09026421E8</v>
      </c>
      <c r="I101" s="7">
        <v>116128.0</v>
      </c>
      <c r="J101" s="7">
        <v>113182.0</v>
      </c>
      <c r="K101" s="7">
        <v>2946.0</v>
      </c>
      <c r="L101" s="7">
        <v>19.72</v>
      </c>
      <c r="M101" s="7">
        <v>-0.07</v>
      </c>
      <c r="N101" s="7">
        <v>4739.0</v>
      </c>
      <c r="O101" s="7">
        <v>1099977.0</v>
      </c>
      <c r="P101" s="7" t="s">
        <v>410</v>
      </c>
      <c r="Q101" s="7">
        <v>357.46</v>
      </c>
      <c r="R101" s="3">
        <f t="shared" si="1"/>
        <v>357.46</v>
      </c>
    </row>
    <row r="102" ht="22.5" customHeight="1">
      <c r="B102" s="7" t="s">
        <v>125</v>
      </c>
      <c r="C102" s="7">
        <v>164915.0</v>
      </c>
      <c r="D102" s="7">
        <v>759314.0</v>
      </c>
      <c r="E102" s="7">
        <v>402190.0</v>
      </c>
      <c r="F102" s="7">
        <v>384973.0</v>
      </c>
      <c r="G102" s="7">
        <v>913689.0</v>
      </c>
      <c r="H102" s="7">
        <v>1.182965475E9</v>
      </c>
      <c r="I102" s="7">
        <v>11146.0</v>
      </c>
      <c r="J102" s="7">
        <v>10656.0</v>
      </c>
      <c r="K102" s="7">
        <v>490.0</v>
      </c>
      <c r="L102" s="7">
        <v>80.26</v>
      </c>
      <c r="M102" s="7">
        <v>-0.09</v>
      </c>
      <c r="N102" s="7">
        <v>753.0</v>
      </c>
      <c r="O102" s="7">
        <v>319706.0</v>
      </c>
      <c r="P102" s="7" t="s">
        <v>409</v>
      </c>
      <c r="Q102" s="7">
        <v>371.19</v>
      </c>
      <c r="R102" s="3">
        <f t="shared" si="1"/>
        <v>371.19</v>
      </c>
    </row>
    <row r="103" ht="22.5" customHeight="1">
      <c r="B103" s="7" t="s">
        <v>57</v>
      </c>
      <c r="C103" s="7">
        <v>36208.0</v>
      </c>
      <c r="D103" s="7">
        <v>7010872.0</v>
      </c>
      <c r="E103" s="7">
        <v>539667.0</v>
      </c>
      <c r="F103" s="7">
        <v>527876.0</v>
      </c>
      <c r="G103" s="7">
        <v>1137274.0</v>
      </c>
      <c r="H103" s="7">
        <v>3.41172526E8</v>
      </c>
      <c r="I103" s="7">
        <v>10891.0</v>
      </c>
      <c r="J103" s="7">
        <v>10329.0</v>
      </c>
      <c r="K103" s="7">
        <v>562.0</v>
      </c>
      <c r="L103" s="7">
        <v>203.37</v>
      </c>
      <c r="M103" s="7">
        <v>-0.07</v>
      </c>
      <c r="N103" s="7">
        <v>867.0</v>
      </c>
      <c r="O103" s="7">
        <v>440035.0</v>
      </c>
      <c r="P103" s="7" t="s">
        <v>410</v>
      </c>
      <c r="Q103" s="7">
        <v>373.36</v>
      </c>
      <c r="R103" s="3">
        <f t="shared" si="1"/>
        <v>373.36</v>
      </c>
    </row>
    <row r="104" ht="22.5" customHeight="1">
      <c r="B104" s="7" t="s">
        <v>81</v>
      </c>
      <c r="C104" s="7">
        <v>3426.0</v>
      </c>
      <c r="D104" s="7">
        <v>15230.0</v>
      </c>
      <c r="E104" s="7">
        <v>2003871.0</v>
      </c>
      <c r="F104" s="7">
        <v>2003768.0</v>
      </c>
      <c r="G104" s="7">
        <v>2009692.0</v>
      </c>
      <c r="H104" s="7">
        <v>7.95437904E8</v>
      </c>
      <c r="I104" s="7">
        <v>69973.0</v>
      </c>
      <c r="J104" s="7">
        <v>68235.0</v>
      </c>
      <c r="K104" s="7">
        <v>1738.0</v>
      </c>
      <c r="L104" s="7">
        <v>19.45</v>
      </c>
      <c r="M104" s="7">
        <v>0.0</v>
      </c>
      <c r="N104" s="7">
        <v>2792.0</v>
      </c>
      <c r="O104" s="7">
        <v>1142713.0</v>
      </c>
      <c r="P104" s="7" t="s">
        <v>409</v>
      </c>
      <c r="Q104" s="7">
        <v>374.74</v>
      </c>
      <c r="R104" s="3">
        <f t="shared" si="1"/>
        <v>374.74</v>
      </c>
    </row>
    <row r="105" ht="22.5" customHeight="1">
      <c r="B105" s="7" t="s">
        <v>235</v>
      </c>
      <c r="C105" s="7">
        <v>1728.0</v>
      </c>
      <c r="D105" s="7">
        <v>19526.0</v>
      </c>
      <c r="E105" s="7">
        <v>5022227.0</v>
      </c>
      <c r="F105" s="7">
        <v>4999214.0</v>
      </c>
      <c r="G105" s="7">
        <v>5489233.0</v>
      </c>
      <c r="H105" s="7">
        <v>5.8959598E7</v>
      </c>
      <c r="I105" s="7">
        <v>148968.0</v>
      </c>
      <c r="J105" s="7">
        <v>140187.0</v>
      </c>
      <c r="K105" s="7">
        <v>8781.0</v>
      </c>
      <c r="L105" s="7">
        <v>44.73</v>
      </c>
      <c r="M105" s="7">
        <v>-0.02</v>
      </c>
      <c r="N105" s="7">
        <v>12969.0</v>
      </c>
      <c r="O105" s="7">
        <v>1940621.0</v>
      </c>
      <c r="P105" s="7" t="s">
        <v>410</v>
      </c>
      <c r="Q105" s="7">
        <v>376.22</v>
      </c>
      <c r="R105" s="3">
        <f t="shared" si="1"/>
        <v>376.22</v>
      </c>
    </row>
    <row r="106" ht="22.5" customHeight="1">
      <c r="B106" s="7" t="s">
        <v>121</v>
      </c>
      <c r="C106" s="7">
        <v>1140.0</v>
      </c>
      <c r="D106" s="7">
        <v>4253.0</v>
      </c>
      <c r="E106" s="7">
        <v>3412995.0</v>
      </c>
      <c r="F106" s="7">
        <v>3376039.0</v>
      </c>
      <c r="G106" s="7">
        <v>5124528.0</v>
      </c>
      <c r="H106" s="7">
        <v>1.55006862E8</v>
      </c>
      <c r="I106" s="7">
        <v>113366.0</v>
      </c>
      <c r="J106" s="7">
        <v>108161.0</v>
      </c>
      <c r="K106" s="7">
        <v>5205.0</v>
      </c>
      <c r="L106" s="7">
        <v>20.48</v>
      </c>
      <c r="M106" s="7">
        <v>-0.05</v>
      </c>
      <c r="N106" s="7">
        <v>8360.0</v>
      </c>
      <c r="O106" s="7">
        <v>1109909.0</v>
      </c>
      <c r="P106" s="7" t="s">
        <v>410</v>
      </c>
      <c r="Q106" s="7">
        <v>382.2</v>
      </c>
      <c r="R106" s="3">
        <f t="shared" si="1"/>
        <v>382.2</v>
      </c>
    </row>
    <row r="107" ht="22.5" customHeight="1">
      <c r="B107" s="7" t="s">
        <v>98</v>
      </c>
      <c r="C107" s="7">
        <v>1579557.0</v>
      </c>
      <c r="D107" s="7">
        <v>5889425.0</v>
      </c>
      <c r="E107" s="7">
        <v>149840.0</v>
      </c>
      <c r="F107" s="7">
        <v>145899.0</v>
      </c>
      <c r="G107" s="7">
        <v>3.9502463E7</v>
      </c>
      <c r="H107" s="7">
        <v>5.37626861E8</v>
      </c>
      <c r="I107" s="7">
        <v>9711.0</v>
      </c>
      <c r="J107" s="7">
        <v>9607.0</v>
      </c>
      <c r="K107" s="7">
        <v>104.0</v>
      </c>
      <c r="L107" s="7">
        <v>11.86</v>
      </c>
      <c r="M107" s="7">
        <v>-0.22</v>
      </c>
      <c r="N107" s="7">
        <v>207.0</v>
      </c>
      <c r="O107" s="7">
        <v>1.1674729E7</v>
      </c>
      <c r="P107" s="7" t="s">
        <v>409</v>
      </c>
      <c r="Q107" s="7">
        <v>387.68</v>
      </c>
      <c r="R107" s="3">
        <f t="shared" si="1"/>
        <v>387.68</v>
      </c>
    </row>
    <row r="108" ht="22.5" customHeight="1">
      <c r="B108" s="7" t="s">
        <v>94</v>
      </c>
      <c r="C108" s="7">
        <v>3593.0</v>
      </c>
      <c r="D108" s="7">
        <v>14282.0</v>
      </c>
      <c r="E108" s="7">
        <v>1963974.0</v>
      </c>
      <c r="F108" s="7">
        <v>1933543.0</v>
      </c>
      <c r="G108" s="7">
        <v>4010475.0</v>
      </c>
      <c r="H108" s="7">
        <v>1.98910561E8</v>
      </c>
      <c r="I108" s="7">
        <v>114350.0</v>
      </c>
      <c r="J108" s="7">
        <v>112617.0</v>
      </c>
      <c r="K108" s="7">
        <v>1733.0</v>
      </c>
      <c r="L108" s="7">
        <v>34.12</v>
      </c>
      <c r="M108" s="7">
        <v>-0.09</v>
      </c>
      <c r="N108" s="7">
        <v>2786.0</v>
      </c>
      <c r="O108" s="7">
        <v>1027596.0</v>
      </c>
      <c r="P108" s="7" t="s">
        <v>409</v>
      </c>
      <c r="Q108" s="7">
        <v>400.71</v>
      </c>
      <c r="R108" s="3">
        <f t="shared" si="1"/>
        <v>400.71</v>
      </c>
    </row>
    <row r="109" ht="22.5" customHeight="1">
      <c r="B109" s="7" t="s">
        <v>42</v>
      </c>
      <c r="C109" s="7">
        <v>76943.0</v>
      </c>
      <c r="D109" s="7">
        <v>231299.0</v>
      </c>
      <c r="E109" s="7">
        <v>2161477.0</v>
      </c>
      <c r="F109" s="7">
        <v>2111961.0</v>
      </c>
      <c r="G109" s="7">
        <v>9884979.0</v>
      </c>
      <c r="H109" s="7">
        <v>8.12759405E8</v>
      </c>
      <c r="I109" s="7">
        <v>145990.0</v>
      </c>
      <c r="J109" s="7">
        <v>143768.0</v>
      </c>
      <c r="K109" s="7">
        <v>2222.0</v>
      </c>
      <c r="L109" s="7">
        <v>41.49</v>
      </c>
      <c r="M109" s="7">
        <v>-0.15</v>
      </c>
      <c r="N109" s="7">
        <v>3449.0</v>
      </c>
      <c r="O109" s="7">
        <v>1466759.0</v>
      </c>
      <c r="P109" s="7" t="s">
        <v>409</v>
      </c>
      <c r="Q109" s="7">
        <v>407.76</v>
      </c>
      <c r="R109" s="3">
        <f t="shared" si="1"/>
        <v>407.76</v>
      </c>
    </row>
    <row r="110" ht="22.5" customHeight="1">
      <c r="B110" s="7" t="s">
        <v>107</v>
      </c>
      <c r="C110" s="7">
        <v>827.0</v>
      </c>
      <c r="D110" s="7">
        <v>20730.0</v>
      </c>
      <c r="E110" s="7">
        <v>1692059.0</v>
      </c>
      <c r="F110" s="7">
        <v>1676957.0</v>
      </c>
      <c r="G110" s="7">
        <v>3042758.0</v>
      </c>
      <c r="H110" s="7">
        <v>1.75624325E8</v>
      </c>
      <c r="I110" s="7">
        <v>112570.0</v>
      </c>
      <c r="J110" s="7">
        <v>110664.0</v>
      </c>
      <c r="K110" s="7">
        <v>1906.0</v>
      </c>
      <c r="L110" s="7">
        <v>23.61</v>
      </c>
      <c r="M110" s="7">
        <v>-0.08</v>
      </c>
      <c r="N110" s="7">
        <v>2958.0</v>
      </c>
      <c r="O110" s="7">
        <v>737256.0</v>
      </c>
      <c r="P110" s="7" t="s">
        <v>409</v>
      </c>
      <c r="Q110" s="7">
        <v>410.01</v>
      </c>
      <c r="R110" s="3">
        <f t="shared" si="1"/>
        <v>410.01</v>
      </c>
    </row>
    <row r="111" ht="22.5" customHeight="1">
      <c r="B111" s="7" t="s">
        <v>135</v>
      </c>
      <c r="C111" s="7">
        <v>225296.0</v>
      </c>
      <c r="D111" s="7">
        <v>1180795.0</v>
      </c>
      <c r="E111" s="7">
        <v>1284162.0</v>
      </c>
      <c r="F111" s="7">
        <v>1182060.0</v>
      </c>
      <c r="G111" s="7">
        <v>6540548.0</v>
      </c>
      <c r="H111" s="7">
        <v>1.468625752E9</v>
      </c>
      <c r="I111" s="7">
        <v>39746.0</v>
      </c>
      <c r="J111" s="7">
        <v>37596.0</v>
      </c>
      <c r="K111" s="7">
        <v>2150.0</v>
      </c>
      <c r="L111" s="7">
        <v>138.71</v>
      </c>
      <c r="M111" s="7">
        <v>-0.09</v>
      </c>
      <c r="N111" s="7">
        <v>3192.0</v>
      </c>
      <c r="O111" s="7">
        <v>862525.0</v>
      </c>
      <c r="P111" s="7" t="s">
        <v>410</v>
      </c>
      <c r="Q111" s="7">
        <v>417.92</v>
      </c>
      <c r="R111" s="3">
        <f t="shared" si="1"/>
        <v>417.92</v>
      </c>
    </row>
    <row r="112" ht="22.5" customHeight="1">
      <c r="B112" s="7" t="s">
        <v>127</v>
      </c>
      <c r="C112" s="7">
        <v>2425.0</v>
      </c>
      <c r="D112" s="7">
        <v>23034.0</v>
      </c>
      <c r="E112" s="7">
        <v>4445615.0</v>
      </c>
      <c r="F112" s="7">
        <v>4438411.0</v>
      </c>
      <c r="G112" s="7">
        <v>4804257.0</v>
      </c>
      <c r="H112" s="7">
        <v>4.25267292E8</v>
      </c>
      <c r="I112" s="7">
        <v>106570.0</v>
      </c>
      <c r="J112" s="7">
        <v>99271.0</v>
      </c>
      <c r="K112" s="7">
        <v>7299.0</v>
      </c>
      <c r="L112" s="7">
        <v>18.41</v>
      </c>
      <c r="M112" s="7">
        <v>-0.01</v>
      </c>
      <c r="N112" s="7">
        <v>11506.0</v>
      </c>
      <c r="O112" s="7">
        <v>1457310.0</v>
      </c>
      <c r="P112" s="7" t="s">
        <v>410</v>
      </c>
      <c r="Q112" s="7">
        <v>426.36</v>
      </c>
      <c r="R112" s="3">
        <f t="shared" si="1"/>
        <v>426.36</v>
      </c>
    </row>
    <row r="113" ht="22.5" customHeight="1">
      <c r="B113" s="7" t="s">
        <v>184</v>
      </c>
      <c r="C113" s="7">
        <v>31503.0</v>
      </c>
      <c r="D113" s="7">
        <v>94548.0</v>
      </c>
      <c r="E113" s="7">
        <v>354701.0</v>
      </c>
      <c r="F113" s="7">
        <v>354571.0</v>
      </c>
      <c r="G113" s="7">
        <v>360773.0</v>
      </c>
      <c r="H113" s="7">
        <v>1.606701837E9</v>
      </c>
      <c r="I113" s="7">
        <v>12152.0</v>
      </c>
      <c r="J113" s="7">
        <v>11690.0</v>
      </c>
      <c r="K113" s="7">
        <v>462.0</v>
      </c>
      <c r="L113" s="7">
        <v>33.43</v>
      </c>
      <c r="M113" s="7">
        <v>0.0</v>
      </c>
      <c r="N113" s="7">
        <v>727.0</v>
      </c>
      <c r="O113" s="7">
        <v>152077.0</v>
      </c>
      <c r="P113" s="7" t="s">
        <v>409</v>
      </c>
      <c r="Q113" s="7">
        <v>427.92</v>
      </c>
      <c r="R113" s="3">
        <f t="shared" si="1"/>
        <v>427.92</v>
      </c>
    </row>
    <row r="114" ht="22.5" customHeight="1">
      <c r="B114" s="7" t="s">
        <v>148</v>
      </c>
      <c r="C114" s="7">
        <v>824210.0</v>
      </c>
      <c r="D114" s="7">
        <v>2459565.0</v>
      </c>
      <c r="E114" s="7">
        <v>1199277.0</v>
      </c>
      <c r="F114" s="7">
        <v>1163213.0</v>
      </c>
      <c r="G114" s="7">
        <v>1.1827E7</v>
      </c>
      <c r="H114" s="7">
        <v>8.06104723E8</v>
      </c>
      <c r="I114" s="7">
        <v>52212.0</v>
      </c>
      <c r="J114" s="7">
        <v>50323.0</v>
      </c>
      <c r="K114" s="7">
        <v>1889.0</v>
      </c>
      <c r="L114" s="7">
        <v>38.9</v>
      </c>
      <c r="M114" s="7">
        <v>-0.14</v>
      </c>
      <c r="N114" s="7">
        <v>2938.0</v>
      </c>
      <c r="O114" s="7">
        <v>2367179.0</v>
      </c>
      <c r="P114" s="7" t="s">
        <v>410</v>
      </c>
      <c r="Q114" s="7">
        <v>436.97</v>
      </c>
      <c r="R114" s="3">
        <f t="shared" si="1"/>
        <v>436.97</v>
      </c>
    </row>
    <row r="115" ht="22.5" customHeight="1">
      <c r="B115" s="7" t="s">
        <v>168</v>
      </c>
      <c r="C115" s="7">
        <v>164916.0</v>
      </c>
      <c r="D115" s="7">
        <v>759313.0</v>
      </c>
      <c r="E115" s="7">
        <v>315118.0</v>
      </c>
      <c r="F115" s="7">
        <v>304329.0</v>
      </c>
      <c r="G115" s="7">
        <v>722231.0</v>
      </c>
      <c r="H115" s="7">
        <v>1.400579793E9</v>
      </c>
      <c r="I115" s="7">
        <v>7895.0</v>
      </c>
      <c r="J115" s="7">
        <v>7360.0</v>
      </c>
      <c r="K115" s="7">
        <v>535.0</v>
      </c>
      <c r="L115" s="7">
        <v>89.78</v>
      </c>
      <c r="M115" s="7">
        <v>-0.07</v>
      </c>
      <c r="N115" s="7">
        <v>798.0</v>
      </c>
      <c r="O115" s="7">
        <v>207475.0</v>
      </c>
      <c r="P115" s="7" t="s">
        <v>409</v>
      </c>
      <c r="Q115" s="7">
        <v>442.1</v>
      </c>
      <c r="R115" s="3">
        <f t="shared" si="1"/>
        <v>442.1</v>
      </c>
    </row>
    <row r="116" ht="22.5" customHeight="1">
      <c r="B116" s="7" t="s">
        <v>172</v>
      </c>
      <c r="C116" s="7">
        <v>42271.0</v>
      </c>
      <c r="D116" s="7">
        <v>247381.0</v>
      </c>
      <c r="E116" s="7">
        <v>3337173.0</v>
      </c>
      <c r="F116" s="7">
        <v>3267098.0</v>
      </c>
      <c r="G116" s="7">
        <v>7205725.0</v>
      </c>
      <c r="H116" s="7">
        <v>3.25167635E8</v>
      </c>
      <c r="I116" s="7">
        <v>123779.0</v>
      </c>
      <c r="J116" s="7">
        <v>117162.0</v>
      </c>
      <c r="K116" s="7">
        <v>6617.0</v>
      </c>
      <c r="L116" s="7">
        <v>21.69</v>
      </c>
      <c r="M116" s="7">
        <v>-0.11</v>
      </c>
      <c r="N116" s="7">
        <v>9644.0</v>
      </c>
      <c r="O116" s="7">
        <v>1685987.0</v>
      </c>
      <c r="P116" s="7" t="s">
        <v>409</v>
      </c>
      <c r="Q116" s="7">
        <v>458.31</v>
      </c>
      <c r="R116" s="3">
        <f t="shared" si="1"/>
        <v>458.31</v>
      </c>
    </row>
    <row r="117" ht="22.5" customHeight="1">
      <c r="B117" s="7" t="s">
        <v>104</v>
      </c>
      <c r="C117" s="7">
        <v>1140.0</v>
      </c>
      <c r="D117" s="7">
        <v>4253.0</v>
      </c>
      <c r="E117" s="7">
        <v>2884367.0</v>
      </c>
      <c r="F117" s="7">
        <v>2850436.0</v>
      </c>
      <c r="G117" s="7">
        <v>4624000.0</v>
      </c>
      <c r="H117" s="7">
        <v>1.27019271E8</v>
      </c>
      <c r="I117" s="7">
        <v>115467.0</v>
      </c>
      <c r="J117" s="7">
        <v>111626.0</v>
      </c>
      <c r="K117" s="7">
        <v>3841.0</v>
      </c>
      <c r="L117" s="7">
        <v>19.81</v>
      </c>
      <c r="M117" s="7">
        <v>-0.06</v>
      </c>
      <c r="N117" s="7">
        <v>6184.0</v>
      </c>
      <c r="O117" s="7">
        <v>1102114.0</v>
      </c>
      <c r="P117" s="7" t="s">
        <v>410</v>
      </c>
      <c r="Q117" s="7">
        <v>460.8</v>
      </c>
      <c r="R117" s="3">
        <f t="shared" si="1"/>
        <v>460.8</v>
      </c>
    </row>
    <row r="118" ht="22.5" customHeight="1">
      <c r="B118" s="7" t="s">
        <v>183</v>
      </c>
      <c r="C118" s="7">
        <v>13408.0</v>
      </c>
      <c r="D118" s="7">
        <v>309439.0</v>
      </c>
      <c r="E118" s="7">
        <v>3170028.0</v>
      </c>
      <c r="F118" s="7">
        <v>3093165.0</v>
      </c>
      <c r="G118" s="7">
        <v>5.010667E7</v>
      </c>
      <c r="H118" s="7">
        <v>4.82497725E8</v>
      </c>
      <c r="I118" s="7">
        <v>120064.0</v>
      </c>
      <c r="J118" s="7">
        <v>115001.0</v>
      </c>
      <c r="K118" s="7">
        <v>5063.0</v>
      </c>
      <c r="L118" s="7">
        <v>65.85</v>
      </c>
      <c r="M118" s="7">
        <v>-0.18</v>
      </c>
      <c r="N118" s="7">
        <v>7838.0</v>
      </c>
      <c r="O118" s="7">
        <v>9094497.0</v>
      </c>
      <c r="P118" s="7" t="s">
        <v>409</v>
      </c>
      <c r="Q118" s="7">
        <v>462.56</v>
      </c>
      <c r="R118" s="3">
        <f t="shared" si="1"/>
        <v>462.56</v>
      </c>
    </row>
    <row r="119" ht="22.5" customHeight="1">
      <c r="B119" s="7" t="s">
        <v>190</v>
      </c>
      <c r="C119" s="7">
        <v>13408.0</v>
      </c>
      <c r="D119" s="7">
        <v>309438.0</v>
      </c>
      <c r="E119" s="7">
        <v>3032232.0</v>
      </c>
      <c r="F119" s="7">
        <v>2952398.0</v>
      </c>
      <c r="G119" s="7">
        <v>6.3522492E7</v>
      </c>
      <c r="H119" s="7">
        <v>6.00380194E8</v>
      </c>
      <c r="I119" s="7">
        <v>138921.0</v>
      </c>
      <c r="J119" s="7">
        <v>134169.0</v>
      </c>
      <c r="K119" s="7">
        <v>4752.0</v>
      </c>
      <c r="L119" s="7">
        <v>77.97</v>
      </c>
      <c r="M119" s="7">
        <v>-0.21</v>
      </c>
      <c r="N119" s="7">
        <v>7315.0</v>
      </c>
      <c r="O119" s="7">
        <v>9926395.0</v>
      </c>
      <c r="P119" s="7" t="s">
        <v>409</v>
      </c>
      <c r="Q119" s="7">
        <v>462.8</v>
      </c>
      <c r="R119" s="3">
        <f t="shared" si="1"/>
        <v>462.8</v>
      </c>
    </row>
    <row r="120" ht="22.5" customHeight="1">
      <c r="B120" s="7" t="s">
        <v>24</v>
      </c>
      <c r="C120" s="7">
        <v>4020.0</v>
      </c>
      <c r="D120" s="7">
        <v>466486.0</v>
      </c>
      <c r="E120" s="7">
        <v>2777159.0</v>
      </c>
      <c r="F120" s="7">
        <v>2733397.0</v>
      </c>
      <c r="G120" s="7">
        <v>3679315.0</v>
      </c>
      <c r="H120" s="7">
        <v>3.64217118E8</v>
      </c>
      <c r="I120" s="7">
        <v>72403.0</v>
      </c>
      <c r="J120" s="7">
        <v>67922.0</v>
      </c>
      <c r="K120" s="7">
        <v>4481.0</v>
      </c>
      <c r="L120" s="7">
        <v>89.96</v>
      </c>
      <c r="M120" s="7">
        <v>-0.03</v>
      </c>
      <c r="N120" s="7">
        <v>6644.0</v>
      </c>
      <c r="O120" s="7">
        <v>1275441.0</v>
      </c>
      <c r="P120" s="7" t="s">
        <v>409</v>
      </c>
      <c r="Q120" s="7">
        <v>472.12</v>
      </c>
      <c r="R120" s="3">
        <f t="shared" si="1"/>
        <v>472.12</v>
      </c>
    </row>
    <row r="121" ht="22.5" customHeight="1">
      <c r="B121" s="7" t="s">
        <v>120</v>
      </c>
      <c r="C121" s="7">
        <v>1140.0</v>
      </c>
      <c r="D121" s="7">
        <v>4253.0</v>
      </c>
      <c r="E121" s="7">
        <v>3524033.0</v>
      </c>
      <c r="F121" s="7">
        <v>3485714.0</v>
      </c>
      <c r="G121" s="7">
        <v>5208482.0</v>
      </c>
      <c r="H121" s="7">
        <v>1.43912563E8</v>
      </c>
      <c r="I121" s="7">
        <v>114192.0</v>
      </c>
      <c r="J121" s="7">
        <v>108832.0</v>
      </c>
      <c r="K121" s="7">
        <v>5360.0</v>
      </c>
      <c r="L121" s="7">
        <v>19.04</v>
      </c>
      <c r="M121" s="7">
        <v>-0.05</v>
      </c>
      <c r="N121" s="7">
        <v>8688.0</v>
      </c>
      <c r="O121" s="7">
        <v>1114516.0</v>
      </c>
      <c r="P121" s="7" t="s">
        <v>410</v>
      </c>
      <c r="Q121" s="7">
        <v>475.85</v>
      </c>
      <c r="R121" s="3">
        <f t="shared" si="1"/>
        <v>475.85</v>
      </c>
    </row>
    <row r="122" ht="22.5" customHeight="1">
      <c r="B122" s="7" t="s">
        <v>92</v>
      </c>
      <c r="C122" s="7">
        <v>349350.0</v>
      </c>
      <c r="D122" s="7">
        <v>1419267.0</v>
      </c>
      <c r="E122" s="7">
        <v>1179024.0</v>
      </c>
      <c r="F122" s="7">
        <v>1149456.0</v>
      </c>
      <c r="G122" s="7">
        <v>3778673.0</v>
      </c>
      <c r="H122" s="7">
        <v>7.11189044E8</v>
      </c>
      <c r="I122" s="7">
        <v>57126.0</v>
      </c>
      <c r="J122" s="7">
        <v>55301.0</v>
      </c>
      <c r="K122" s="7">
        <v>1825.0</v>
      </c>
      <c r="L122" s="7">
        <v>33.07</v>
      </c>
      <c r="M122" s="7">
        <v>-0.14</v>
      </c>
      <c r="N122" s="7">
        <v>2877.0</v>
      </c>
      <c r="O122" s="7">
        <v>671638.0</v>
      </c>
      <c r="P122" s="7" t="s">
        <v>410</v>
      </c>
      <c r="Q122" s="7">
        <v>487.26</v>
      </c>
      <c r="R122" s="3">
        <f t="shared" si="1"/>
        <v>487.26</v>
      </c>
    </row>
    <row r="123" ht="22.5" customHeight="1">
      <c r="B123" s="7" t="s">
        <v>150</v>
      </c>
      <c r="C123" s="7">
        <v>77824.0</v>
      </c>
      <c r="D123" s="7">
        <v>282013.0</v>
      </c>
      <c r="E123" s="7">
        <v>645562.0</v>
      </c>
      <c r="F123" s="7">
        <v>628449.0</v>
      </c>
      <c r="G123" s="7">
        <v>1.075111E7</v>
      </c>
      <c r="H123" s="7">
        <v>2.171336873E9</v>
      </c>
      <c r="I123" s="7">
        <v>31919.0</v>
      </c>
      <c r="J123" s="7">
        <v>31096.0</v>
      </c>
      <c r="K123" s="7">
        <v>823.0</v>
      </c>
      <c r="L123" s="7">
        <v>69.03</v>
      </c>
      <c r="M123" s="7">
        <v>-0.12</v>
      </c>
      <c r="N123" s="7">
        <v>1294.0</v>
      </c>
      <c r="O123" s="7">
        <v>734208.0</v>
      </c>
      <c r="P123" s="7" t="s">
        <v>409</v>
      </c>
      <c r="Q123" s="7">
        <v>492.15</v>
      </c>
      <c r="R123" s="3">
        <f t="shared" si="1"/>
        <v>492.15</v>
      </c>
    </row>
    <row r="124" ht="22.5" customHeight="1">
      <c r="B124" s="7" t="s">
        <v>116</v>
      </c>
      <c r="C124" s="7">
        <v>2187.0</v>
      </c>
      <c r="D124" s="7">
        <v>21286.0</v>
      </c>
      <c r="E124" s="7">
        <v>4087176.0</v>
      </c>
      <c r="F124" s="7">
        <v>4074685.0</v>
      </c>
      <c r="G124" s="7">
        <v>5048741.0</v>
      </c>
      <c r="H124" s="7">
        <v>2.70633712E8</v>
      </c>
      <c r="I124" s="7">
        <v>117462.0</v>
      </c>
      <c r="J124" s="7">
        <v>109857.0</v>
      </c>
      <c r="K124" s="7">
        <v>7605.0</v>
      </c>
      <c r="L124" s="7">
        <v>24.19</v>
      </c>
      <c r="M124" s="7">
        <v>-0.02</v>
      </c>
      <c r="N124" s="7">
        <v>11798.0</v>
      </c>
      <c r="O124" s="7">
        <v>1077461.0</v>
      </c>
      <c r="P124" s="7" t="s">
        <v>409</v>
      </c>
      <c r="Q124" s="7">
        <v>492.94</v>
      </c>
      <c r="R124" s="3">
        <f t="shared" si="1"/>
        <v>492.94</v>
      </c>
    </row>
    <row r="125" ht="22.5" customHeight="1">
      <c r="B125" s="7" t="s">
        <v>118</v>
      </c>
      <c r="C125" s="7">
        <v>1140.0</v>
      </c>
      <c r="D125" s="7">
        <v>4253.0</v>
      </c>
      <c r="E125" s="7">
        <v>3782011.0</v>
      </c>
      <c r="F125" s="7">
        <v>3741832.0</v>
      </c>
      <c r="G125" s="7">
        <v>5479479.0</v>
      </c>
      <c r="H125" s="7">
        <v>1.61326197E8</v>
      </c>
      <c r="I125" s="7">
        <v>112380.0</v>
      </c>
      <c r="J125" s="7">
        <v>106291.0</v>
      </c>
      <c r="K125" s="7">
        <v>6089.0</v>
      </c>
      <c r="L125" s="7">
        <v>19.86</v>
      </c>
      <c r="M125" s="7">
        <v>-0.05</v>
      </c>
      <c r="N125" s="7">
        <v>9815.0</v>
      </c>
      <c r="O125" s="7">
        <v>1120299.0</v>
      </c>
      <c r="P125" s="7" t="s">
        <v>410</v>
      </c>
      <c r="Q125" s="7">
        <v>509.98</v>
      </c>
      <c r="R125" s="3">
        <f t="shared" si="1"/>
        <v>509.98</v>
      </c>
    </row>
    <row r="126" ht="22.5" customHeight="1">
      <c r="B126" s="7" t="s">
        <v>90</v>
      </c>
      <c r="C126" s="7">
        <v>224962.0</v>
      </c>
      <c r="D126" s="7">
        <v>1192377.0</v>
      </c>
      <c r="E126" s="7">
        <v>773036.0</v>
      </c>
      <c r="F126" s="7">
        <v>665440.0</v>
      </c>
      <c r="G126" s="7">
        <v>5835962.0</v>
      </c>
      <c r="H126" s="7">
        <v>1.935047532E9</v>
      </c>
      <c r="I126" s="7">
        <v>26964.0</v>
      </c>
      <c r="J126" s="7">
        <v>25539.0</v>
      </c>
      <c r="K126" s="7">
        <v>1425.0</v>
      </c>
      <c r="L126" s="7">
        <v>206.24</v>
      </c>
      <c r="M126" s="7">
        <v>-0.11</v>
      </c>
      <c r="N126" s="7">
        <v>2084.0</v>
      </c>
      <c r="O126" s="7">
        <v>538727.0</v>
      </c>
      <c r="P126" s="7" t="s">
        <v>409</v>
      </c>
      <c r="Q126" s="7">
        <v>541.35</v>
      </c>
      <c r="R126" s="3">
        <f t="shared" si="1"/>
        <v>541.35</v>
      </c>
    </row>
    <row r="127" ht="22.5" customHeight="1">
      <c r="B127" s="7" t="s">
        <v>20</v>
      </c>
      <c r="C127" s="7">
        <v>13408.0</v>
      </c>
      <c r="D127" s="7">
        <v>309437.0</v>
      </c>
      <c r="E127" s="7">
        <v>2749737.0</v>
      </c>
      <c r="F127" s="7">
        <v>2678835.0</v>
      </c>
      <c r="G127" s="7">
        <v>5.9863588E7</v>
      </c>
      <c r="H127" s="7">
        <v>5.08347891E8</v>
      </c>
      <c r="I127" s="7">
        <v>139801.0</v>
      </c>
      <c r="J127" s="7">
        <v>135877.0</v>
      </c>
      <c r="K127" s="7">
        <v>3924.0</v>
      </c>
      <c r="L127" s="7">
        <v>59.18</v>
      </c>
      <c r="M127" s="7">
        <v>-0.22</v>
      </c>
      <c r="N127" s="7">
        <v>6055.0</v>
      </c>
      <c r="O127" s="7">
        <v>9729190.0</v>
      </c>
      <c r="P127" s="7" t="s">
        <v>409</v>
      </c>
      <c r="Q127" s="7">
        <v>551.37</v>
      </c>
      <c r="R127" s="3">
        <f t="shared" si="1"/>
        <v>551.37</v>
      </c>
    </row>
    <row r="128" ht="22.5" customHeight="1">
      <c r="B128" s="7" t="s">
        <v>41</v>
      </c>
      <c r="C128" s="7">
        <v>320.0</v>
      </c>
      <c r="D128" s="7">
        <v>1120.0</v>
      </c>
      <c r="E128" s="7">
        <v>2850140.0</v>
      </c>
      <c r="F128" s="7">
        <v>2784608.0</v>
      </c>
      <c r="G128" s="7">
        <v>5464094.0</v>
      </c>
      <c r="H128" s="7">
        <v>1.2358129E8</v>
      </c>
      <c r="I128" s="7">
        <v>85159.0</v>
      </c>
      <c r="J128" s="7">
        <v>81306.0</v>
      </c>
      <c r="K128" s="7">
        <v>3853.0</v>
      </c>
      <c r="L128" s="7">
        <v>25.04</v>
      </c>
      <c r="M128" s="7">
        <v>-0.06</v>
      </c>
      <c r="N128" s="7">
        <v>6142.0</v>
      </c>
      <c r="O128" s="7">
        <v>1173800.0</v>
      </c>
      <c r="P128" s="7" t="s">
        <v>409</v>
      </c>
      <c r="Q128" s="7">
        <v>555.34</v>
      </c>
      <c r="R128" s="3">
        <f t="shared" si="1"/>
        <v>555.34</v>
      </c>
    </row>
    <row r="129" ht="22.5" customHeight="1">
      <c r="B129" s="7" t="s">
        <v>93</v>
      </c>
      <c r="C129" s="7">
        <v>2316.0</v>
      </c>
      <c r="D129" s="7">
        <v>30945.0</v>
      </c>
      <c r="E129" s="7">
        <v>2971415.0</v>
      </c>
      <c r="F129" s="7">
        <v>2953449.0</v>
      </c>
      <c r="G129" s="7">
        <v>4366381.0</v>
      </c>
      <c r="H129" s="7">
        <v>1.75592597E8</v>
      </c>
      <c r="I129" s="7">
        <v>113557.0</v>
      </c>
      <c r="J129" s="7">
        <v>109518.0</v>
      </c>
      <c r="K129" s="7">
        <v>4039.0</v>
      </c>
      <c r="L129" s="7">
        <v>22.78</v>
      </c>
      <c r="M129" s="7">
        <v>-0.04</v>
      </c>
      <c r="N129" s="7">
        <v>6517.0</v>
      </c>
      <c r="O129" s="7">
        <v>1059688.0</v>
      </c>
      <c r="P129" s="7" t="s">
        <v>409</v>
      </c>
      <c r="Q129" s="7">
        <v>559.82</v>
      </c>
      <c r="R129" s="3">
        <f t="shared" si="1"/>
        <v>559.82</v>
      </c>
    </row>
    <row r="130" ht="22.5" customHeight="1">
      <c r="B130" s="7" t="s">
        <v>114</v>
      </c>
      <c r="C130" s="7">
        <v>259258.0</v>
      </c>
      <c r="D130" s="7">
        <v>1374203.0</v>
      </c>
      <c r="E130" s="7">
        <v>654538.0</v>
      </c>
      <c r="F130" s="7">
        <v>544926.0</v>
      </c>
      <c r="G130" s="7">
        <v>4127749.0</v>
      </c>
      <c r="H130" s="7">
        <v>2.594103952E9</v>
      </c>
      <c r="I130" s="7">
        <v>16939.0</v>
      </c>
      <c r="J130" s="7">
        <v>15961.0</v>
      </c>
      <c r="K130" s="7">
        <v>978.0</v>
      </c>
      <c r="L130" s="7">
        <v>210.87</v>
      </c>
      <c r="M130" s="7">
        <v>-0.09</v>
      </c>
      <c r="N130" s="7">
        <v>1456.0</v>
      </c>
      <c r="O130" s="7">
        <v>627662.0</v>
      </c>
      <c r="P130" s="7" t="s">
        <v>409</v>
      </c>
      <c r="Q130" s="7">
        <v>567.87</v>
      </c>
      <c r="R130" s="3">
        <f t="shared" si="1"/>
        <v>567.87</v>
      </c>
    </row>
    <row r="131" ht="22.5" customHeight="1">
      <c r="B131" s="7" t="s">
        <v>123</v>
      </c>
      <c r="C131" s="7">
        <v>895.0</v>
      </c>
      <c r="D131" s="7">
        <v>20818.0</v>
      </c>
      <c r="E131" s="7">
        <v>2153691.0</v>
      </c>
      <c r="F131" s="7">
        <v>2134204.0</v>
      </c>
      <c r="G131" s="7">
        <v>3996177.0</v>
      </c>
      <c r="H131" s="7">
        <v>2.32236736E8</v>
      </c>
      <c r="I131" s="7">
        <v>137515.0</v>
      </c>
      <c r="J131" s="7">
        <v>135348.0</v>
      </c>
      <c r="K131" s="7">
        <v>2167.0</v>
      </c>
      <c r="L131" s="7">
        <v>24.02</v>
      </c>
      <c r="M131" s="7">
        <v>-0.08</v>
      </c>
      <c r="N131" s="7">
        <v>3384.0</v>
      </c>
      <c r="O131" s="7">
        <v>1042066.0</v>
      </c>
      <c r="P131" s="7" t="s">
        <v>409</v>
      </c>
      <c r="Q131" s="7">
        <v>585.08</v>
      </c>
      <c r="R131" s="3">
        <f t="shared" si="1"/>
        <v>585.08</v>
      </c>
    </row>
    <row r="132" ht="22.5" customHeight="1">
      <c r="B132" s="7" t="s">
        <v>58</v>
      </c>
      <c r="C132" s="7">
        <v>55333.0</v>
      </c>
      <c r="D132" s="7">
        <v>219128.0</v>
      </c>
      <c r="E132" s="7">
        <v>2081476.0</v>
      </c>
      <c r="F132" s="7">
        <v>2034699.0</v>
      </c>
      <c r="G132" s="7">
        <v>6.3421034E7</v>
      </c>
      <c r="H132" s="7">
        <v>6.45730614E8</v>
      </c>
      <c r="I132" s="7">
        <v>144126.0</v>
      </c>
      <c r="J132" s="7">
        <v>141726.0</v>
      </c>
      <c r="K132" s="7">
        <v>2400.0</v>
      </c>
      <c r="L132" s="7">
        <v>79.83</v>
      </c>
      <c r="M132" s="7">
        <v>-0.17</v>
      </c>
      <c r="N132" s="7">
        <v>3503.0</v>
      </c>
      <c r="O132" s="7">
        <v>3866396.0</v>
      </c>
      <c r="P132" s="7" t="s">
        <v>409</v>
      </c>
      <c r="Q132" s="7">
        <v>589.46</v>
      </c>
      <c r="R132" s="3">
        <f t="shared" si="1"/>
        <v>589.46</v>
      </c>
    </row>
    <row r="133" ht="22.5" customHeight="1">
      <c r="B133" s="7" t="s">
        <v>128</v>
      </c>
      <c r="C133" s="7">
        <v>259616.0</v>
      </c>
      <c r="D133" s="7">
        <v>1360766.0</v>
      </c>
      <c r="E133" s="7">
        <v>1393004.0</v>
      </c>
      <c r="F133" s="7">
        <v>1253206.0</v>
      </c>
      <c r="G133" s="7">
        <v>8080808.0</v>
      </c>
      <c r="H133" s="7">
        <v>2.139006506E9</v>
      </c>
      <c r="I133" s="7">
        <v>42466.0</v>
      </c>
      <c r="J133" s="7">
        <v>40257.0</v>
      </c>
      <c r="K133" s="7">
        <v>2209.0</v>
      </c>
      <c r="L133" s="7">
        <v>199.39</v>
      </c>
      <c r="M133" s="7">
        <v>-0.09</v>
      </c>
      <c r="N133" s="7">
        <v>3251.0</v>
      </c>
      <c r="O133" s="7">
        <v>1075548.0</v>
      </c>
      <c r="P133" s="7" t="s">
        <v>410</v>
      </c>
      <c r="Q133" s="7">
        <v>589.63</v>
      </c>
      <c r="R133" s="3">
        <f t="shared" si="1"/>
        <v>589.63</v>
      </c>
    </row>
    <row r="134" ht="22.5" customHeight="1">
      <c r="B134" s="7" t="s">
        <v>69</v>
      </c>
      <c r="C134" s="7">
        <v>827.0</v>
      </c>
      <c r="D134" s="7">
        <v>20629.0</v>
      </c>
      <c r="E134" s="7">
        <v>2210565.0</v>
      </c>
      <c r="F134" s="7">
        <v>2193567.0</v>
      </c>
      <c r="G134" s="7">
        <v>4088626.0</v>
      </c>
      <c r="H134" s="7">
        <v>2.36974931E8</v>
      </c>
      <c r="I134" s="7">
        <v>150243.0</v>
      </c>
      <c r="J134" s="7">
        <v>147896.0</v>
      </c>
      <c r="K134" s="7">
        <v>2347.0</v>
      </c>
      <c r="L134" s="7">
        <v>24.21</v>
      </c>
      <c r="M134" s="7">
        <v>-0.08</v>
      </c>
      <c r="N134" s="7">
        <v>3650.0</v>
      </c>
      <c r="O134" s="7">
        <v>998699.0</v>
      </c>
      <c r="P134" s="7" t="s">
        <v>409</v>
      </c>
      <c r="Q134" s="7">
        <v>601.57</v>
      </c>
      <c r="R134" s="3">
        <f t="shared" si="1"/>
        <v>601.57</v>
      </c>
    </row>
    <row r="135" ht="22.5" customHeight="1">
      <c r="B135" s="7" t="s">
        <v>22</v>
      </c>
      <c r="C135" s="7">
        <v>3566.0</v>
      </c>
      <c r="D135" s="7">
        <v>14138.0</v>
      </c>
      <c r="E135" s="7">
        <v>2708989.0</v>
      </c>
      <c r="F135" s="7">
        <v>2670228.0</v>
      </c>
      <c r="G135" s="7">
        <v>5186364.0</v>
      </c>
      <c r="H135" s="7">
        <v>2.63166974E8</v>
      </c>
      <c r="I135" s="7">
        <v>125190.0</v>
      </c>
      <c r="J135" s="7">
        <v>121827.0</v>
      </c>
      <c r="K135" s="7">
        <v>3363.0</v>
      </c>
      <c r="L135" s="7">
        <v>34.88</v>
      </c>
      <c r="M135" s="7">
        <v>-0.07</v>
      </c>
      <c r="N135" s="7">
        <v>5437.0</v>
      </c>
      <c r="O135" s="7">
        <v>1085284.0</v>
      </c>
      <c r="P135" s="7" t="s">
        <v>409</v>
      </c>
      <c r="Q135" s="7">
        <v>602.33</v>
      </c>
      <c r="R135" s="3">
        <f t="shared" si="1"/>
        <v>602.33</v>
      </c>
    </row>
    <row r="136" ht="22.5" customHeight="1">
      <c r="B136" s="7" t="s">
        <v>236</v>
      </c>
      <c r="C136" s="7">
        <v>180.0</v>
      </c>
      <c r="D136" s="7">
        <v>432.0</v>
      </c>
      <c r="E136" s="7">
        <v>3885332.0</v>
      </c>
      <c r="F136" s="7">
        <v>3824173.0</v>
      </c>
      <c r="G136" s="7">
        <v>5545956.0</v>
      </c>
      <c r="H136" s="7">
        <v>9.5323725E7</v>
      </c>
      <c r="I136" s="7">
        <v>96812.0</v>
      </c>
      <c r="J136" s="7">
        <v>90423.0</v>
      </c>
      <c r="K136" s="7">
        <v>6389.0</v>
      </c>
      <c r="L136" s="7">
        <v>23.38</v>
      </c>
      <c r="M136" s="7">
        <v>-0.04</v>
      </c>
      <c r="N136" s="7">
        <v>10271.0</v>
      </c>
      <c r="O136" s="7">
        <v>1136822.0</v>
      </c>
      <c r="P136" s="7" t="s">
        <v>409</v>
      </c>
      <c r="Q136" s="7">
        <v>633.36</v>
      </c>
      <c r="R136" s="3">
        <f t="shared" si="1"/>
        <v>633.36</v>
      </c>
    </row>
    <row r="137" ht="22.5" customHeight="1">
      <c r="B137" s="7" t="s">
        <v>165</v>
      </c>
      <c r="C137" s="7">
        <v>5244.0</v>
      </c>
      <c r="D137" s="7">
        <v>118126.0</v>
      </c>
      <c r="E137" s="7">
        <v>1676451.0</v>
      </c>
      <c r="F137" s="7">
        <v>1635499.0</v>
      </c>
      <c r="G137" s="7">
        <v>7366079.0</v>
      </c>
      <c r="H137" s="7">
        <v>6.74538944E8</v>
      </c>
      <c r="I137" s="7">
        <v>96896.0</v>
      </c>
      <c r="J137" s="7">
        <v>95010.0</v>
      </c>
      <c r="K137" s="7">
        <v>1886.0</v>
      </c>
      <c r="L137" s="7">
        <v>82.98</v>
      </c>
      <c r="M137" s="7">
        <v>-0.12</v>
      </c>
      <c r="N137" s="7">
        <v>2937.0</v>
      </c>
      <c r="O137" s="7">
        <v>966905.0</v>
      </c>
      <c r="P137" s="7" t="s">
        <v>409</v>
      </c>
      <c r="Q137" s="7">
        <v>646.43</v>
      </c>
      <c r="R137" s="3">
        <f t="shared" si="1"/>
        <v>646.43</v>
      </c>
    </row>
    <row r="138" ht="22.5" customHeight="1">
      <c r="B138" s="7" t="s">
        <v>101</v>
      </c>
      <c r="C138" s="7">
        <v>2935.0</v>
      </c>
      <c r="D138" s="7">
        <v>18371.0</v>
      </c>
      <c r="E138" s="7">
        <v>2046160.0</v>
      </c>
      <c r="F138" s="7">
        <v>2025915.0</v>
      </c>
      <c r="G138" s="7">
        <v>3062477.0</v>
      </c>
      <c r="H138" s="7">
        <v>1.42340428E8</v>
      </c>
      <c r="I138" s="7">
        <v>84569.0</v>
      </c>
      <c r="J138" s="7">
        <v>82777.0</v>
      </c>
      <c r="K138" s="7">
        <v>1792.0</v>
      </c>
      <c r="L138" s="7">
        <v>34.32</v>
      </c>
      <c r="M138" s="7">
        <v>-0.05</v>
      </c>
      <c r="N138" s="7">
        <v>2844.0</v>
      </c>
      <c r="O138" s="7">
        <v>1194123.0</v>
      </c>
      <c r="P138" s="7" t="s">
        <v>410</v>
      </c>
      <c r="Q138" s="7">
        <v>647.28</v>
      </c>
      <c r="R138" s="3">
        <f t="shared" si="1"/>
        <v>647.28</v>
      </c>
    </row>
    <row r="139" ht="22.5" customHeight="1">
      <c r="B139" s="7" t="s">
        <v>143</v>
      </c>
      <c r="C139" s="7">
        <v>20965.0</v>
      </c>
      <c r="D139" s="7">
        <v>93387.0</v>
      </c>
      <c r="E139" s="7">
        <v>4976095.0</v>
      </c>
      <c r="F139" s="7">
        <v>4747122.0</v>
      </c>
      <c r="G139" s="7">
        <v>1.7202052E7</v>
      </c>
      <c r="H139" s="7">
        <v>7.84200928E8</v>
      </c>
      <c r="I139" s="7">
        <v>136444.0</v>
      </c>
      <c r="J139" s="7">
        <v>128405.0</v>
      </c>
      <c r="K139" s="7">
        <v>8039.0</v>
      </c>
      <c r="L139" s="7">
        <v>63.69</v>
      </c>
      <c r="M139" s="7">
        <v>-0.08</v>
      </c>
      <c r="N139" s="7">
        <v>12231.0</v>
      </c>
      <c r="O139" s="7">
        <v>3441411.0</v>
      </c>
      <c r="P139" s="7" t="s">
        <v>409</v>
      </c>
      <c r="Q139" s="7">
        <v>657.42</v>
      </c>
      <c r="R139" s="3">
        <f t="shared" si="1"/>
        <v>657.42</v>
      </c>
    </row>
    <row r="140" ht="22.5" customHeight="1">
      <c r="B140" s="7" t="s">
        <v>159</v>
      </c>
      <c r="C140" s="7">
        <v>122472.0</v>
      </c>
      <c r="D140" s="7">
        <v>440385.0</v>
      </c>
      <c r="E140" s="7">
        <v>838442.0</v>
      </c>
      <c r="F140" s="7">
        <v>817400.0</v>
      </c>
      <c r="G140" s="7">
        <v>1.4214981E7</v>
      </c>
      <c r="H140" s="7">
        <v>3.438153795E9</v>
      </c>
      <c r="I140" s="7">
        <v>34064.0</v>
      </c>
      <c r="J140" s="7">
        <v>32750.0</v>
      </c>
      <c r="K140" s="7">
        <v>1314.0</v>
      </c>
      <c r="L140" s="7">
        <v>69.73</v>
      </c>
      <c r="M140" s="7">
        <v>-0.11</v>
      </c>
      <c r="N140" s="7">
        <v>2081.0</v>
      </c>
      <c r="O140" s="7">
        <v>898095.0</v>
      </c>
      <c r="P140" s="7" t="s">
        <v>409</v>
      </c>
      <c r="Q140" s="7">
        <v>661.23</v>
      </c>
      <c r="R140" s="3">
        <f t="shared" si="1"/>
        <v>661.23</v>
      </c>
    </row>
    <row r="141" ht="22.5" customHeight="1">
      <c r="B141" s="7" t="s">
        <v>153</v>
      </c>
      <c r="C141" s="7">
        <v>895.0</v>
      </c>
      <c r="D141" s="7">
        <v>20751.0</v>
      </c>
      <c r="E141" s="7">
        <v>2592835.0</v>
      </c>
      <c r="F141" s="7">
        <v>2574491.0</v>
      </c>
      <c r="G141" s="7">
        <v>4140341.0</v>
      </c>
      <c r="H141" s="7">
        <v>2.94446351E8</v>
      </c>
      <c r="I141" s="7">
        <v>138525.0</v>
      </c>
      <c r="J141" s="7">
        <v>135026.0</v>
      </c>
      <c r="K141" s="7">
        <v>3499.0</v>
      </c>
      <c r="L141" s="7">
        <v>25.38</v>
      </c>
      <c r="M141" s="7">
        <v>-0.06</v>
      </c>
      <c r="N141" s="7">
        <v>5390.0</v>
      </c>
      <c r="O141" s="7">
        <v>1039229.0</v>
      </c>
      <c r="P141" s="7" t="s">
        <v>409</v>
      </c>
      <c r="Q141" s="7">
        <v>673.57</v>
      </c>
      <c r="R141" s="3">
        <f t="shared" si="1"/>
        <v>673.57</v>
      </c>
    </row>
    <row r="142" ht="22.5" customHeight="1">
      <c r="B142" s="7" t="s">
        <v>110</v>
      </c>
      <c r="C142" s="7">
        <v>14912.0</v>
      </c>
      <c r="D142" s="7">
        <v>381544.0</v>
      </c>
      <c r="E142" s="7">
        <v>997969.0</v>
      </c>
      <c r="F142" s="7">
        <v>974160.0</v>
      </c>
      <c r="G142" s="7">
        <v>3089446.0</v>
      </c>
      <c r="H142" s="7">
        <v>3.55096139E8</v>
      </c>
      <c r="I142" s="7">
        <v>38909.0</v>
      </c>
      <c r="J142" s="7">
        <v>37081.0</v>
      </c>
      <c r="K142" s="7">
        <v>1828.0</v>
      </c>
      <c r="L142" s="7">
        <v>40.94</v>
      </c>
      <c r="M142" s="7">
        <v>-0.11</v>
      </c>
      <c r="N142" s="7">
        <v>2840.0</v>
      </c>
      <c r="O142" s="7">
        <v>407050.0</v>
      </c>
      <c r="P142" s="7" t="s">
        <v>409</v>
      </c>
      <c r="Q142" s="7">
        <v>675.91</v>
      </c>
      <c r="R142" s="3">
        <f t="shared" si="1"/>
        <v>675.91</v>
      </c>
    </row>
    <row r="143" ht="22.5" customHeight="1">
      <c r="B143" s="7" t="s">
        <v>129</v>
      </c>
      <c r="C143" s="7">
        <v>2470.0</v>
      </c>
      <c r="D143" s="7">
        <v>10585.0</v>
      </c>
      <c r="E143" s="7">
        <v>3146962.0</v>
      </c>
      <c r="F143" s="7">
        <v>3107990.0</v>
      </c>
      <c r="G143" s="7">
        <v>5675085.0</v>
      </c>
      <c r="H143" s="7">
        <v>3.2232757E8</v>
      </c>
      <c r="I143" s="7">
        <v>127817.0</v>
      </c>
      <c r="J143" s="7">
        <v>123343.0</v>
      </c>
      <c r="K143" s="7">
        <v>4474.0</v>
      </c>
      <c r="L143" s="7">
        <v>33.94</v>
      </c>
      <c r="M143" s="7">
        <v>-0.06</v>
      </c>
      <c r="N143" s="7">
        <v>7223.0</v>
      </c>
      <c r="O143" s="7">
        <v>1080940.0</v>
      </c>
      <c r="P143" s="7" t="s">
        <v>409</v>
      </c>
      <c r="Q143" s="7">
        <v>684.36</v>
      </c>
      <c r="R143" s="3">
        <f t="shared" si="1"/>
        <v>684.36</v>
      </c>
    </row>
    <row r="144" ht="22.5" customHeight="1">
      <c r="B144" s="7" t="s">
        <v>131</v>
      </c>
      <c r="C144" s="7">
        <v>1140.0</v>
      </c>
      <c r="D144" s="7">
        <v>4253.0</v>
      </c>
      <c r="E144" s="7">
        <v>4661295.0</v>
      </c>
      <c r="F144" s="7">
        <v>4612014.0</v>
      </c>
      <c r="G144" s="7">
        <v>6848645.0</v>
      </c>
      <c r="H144" s="7">
        <v>1.96328565E8</v>
      </c>
      <c r="I144" s="7">
        <v>151616.0</v>
      </c>
      <c r="J144" s="7">
        <v>144796.0</v>
      </c>
      <c r="K144" s="7">
        <v>6820.0</v>
      </c>
      <c r="L144" s="7">
        <v>19.83</v>
      </c>
      <c r="M144" s="7">
        <v>-0.05</v>
      </c>
      <c r="N144" s="7">
        <v>11027.0</v>
      </c>
      <c r="O144" s="7">
        <v>1595216.0</v>
      </c>
      <c r="P144" s="7" t="s">
        <v>410</v>
      </c>
      <c r="Q144" s="7">
        <v>689.74</v>
      </c>
      <c r="R144" s="3">
        <f t="shared" si="1"/>
        <v>689.74</v>
      </c>
    </row>
    <row r="145" ht="22.5" customHeight="1">
      <c r="B145" s="7" t="s">
        <v>255</v>
      </c>
      <c r="C145" s="7">
        <v>13408.0</v>
      </c>
      <c r="D145" s="7">
        <v>309430.0</v>
      </c>
      <c r="E145" s="7">
        <v>3049851.0</v>
      </c>
      <c r="F145" s="7">
        <v>2966041.0</v>
      </c>
      <c r="G145" s="7">
        <v>6.446136E7</v>
      </c>
      <c r="H145" s="7">
        <v>6.92877305E8</v>
      </c>
      <c r="I145" s="7">
        <v>135260.0</v>
      </c>
      <c r="J145" s="7">
        <v>130873.0</v>
      </c>
      <c r="K145" s="7">
        <v>4387.0</v>
      </c>
      <c r="L145" s="7">
        <v>63.98</v>
      </c>
      <c r="M145" s="7">
        <v>-0.21</v>
      </c>
      <c r="N145" s="7">
        <v>6981.0</v>
      </c>
      <c r="O145" s="7">
        <v>1.018185E7</v>
      </c>
      <c r="P145" s="7" t="s">
        <v>409</v>
      </c>
      <c r="Q145" s="7">
        <v>694.84</v>
      </c>
      <c r="R145" s="3">
        <f t="shared" si="1"/>
        <v>694.84</v>
      </c>
    </row>
    <row r="146" ht="22.5" customHeight="1">
      <c r="B146" s="7" t="s">
        <v>142</v>
      </c>
      <c r="C146" s="7">
        <v>290693.0</v>
      </c>
      <c r="D146" s="7">
        <v>1262210.0</v>
      </c>
      <c r="E146" s="7">
        <v>189340.0</v>
      </c>
      <c r="F146" s="7">
        <v>180524.0</v>
      </c>
      <c r="G146" s="7">
        <v>1327300.0</v>
      </c>
      <c r="H146" s="7">
        <v>4.51282267E8</v>
      </c>
      <c r="I146" s="7">
        <v>8094.0</v>
      </c>
      <c r="J146" s="7">
        <v>7904.0</v>
      </c>
      <c r="K146" s="7">
        <v>190.0</v>
      </c>
      <c r="L146" s="7">
        <v>39.21</v>
      </c>
      <c r="M146" s="7">
        <v>-0.2</v>
      </c>
      <c r="N146" s="7">
        <v>354.0</v>
      </c>
      <c r="O146" s="7">
        <v>256362.0</v>
      </c>
      <c r="P146" s="7" t="s">
        <v>409</v>
      </c>
      <c r="Q146" s="7">
        <v>701.95</v>
      </c>
      <c r="R146" s="3">
        <f t="shared" si="1"/>
        <v>701.95</v>
      </c>
    </row>
    <row r="147" ht="22.5" customHeight="1">
      <c r="B147" s="7" t="s">
        <v>78</v>
      </c>
      <c r="C147" s="7">
        <v>2477.0</v>
      </c>
      <c r="D147" s="7">
        <v>10608.0</v>
      </c>
      <c r="E147" s="7">
        <v>2992241.0</v>
      </c>
      <c r="F147" s="7">
        <v>2959064.0</v>
      </c>
      <c r="G147" s="7">
        <v>5098195.0</v>
      </c>
      <c r="H147" s="7">
        <v>3.13259794E8</v>
      </c>
      <c r="I147" s="7">
        <v>124921.0</v>
      </c>
      <c r="J147" s="7">
        <v>120695.0</v>
      </c>
      <c r="K147" s="7">
        <v>4226.0</v>
      </c>
      <c r="L147" s="7">
        <v>33.82</v>
      </c>
      <c r="M147" s="7">
        <v>-0.06</v>
      </c>
      <c r="N147" s="7">
        <v>6736.0</v>
      </c>
      <c r="O147" s="7">
        <v>1085600.0</v>
      </c>
      <c r="P147" s="7" t="s">
        <v>409</v>
      </c>
      <c r="Q147" s="7">
        <v>725.07</v>
      </c>
      <c r="R147" s="3">
        <f t="shared" si="1"/>
        <v>725.07</v>
      </c>
    </row>
    <row r="148" ht="22.5" customHeight="1">
      <c r="B148" s="7" t="s">
        <v>50</v>
      </c>
      <c r="C148" s="7">
        <v>1458.0</v>
      </c>
      <c r="D148" s="7">
        <v>30499.0</v>
      </c>
      <c r="E148" s="7">
        <v>4263784.0</v>
      </c>
      <c r="F148" s="7">
        <v>4192754.0</v>
      </c>
      <c r="G148" s="7">
        <v>8104660.0</v>
      </c>
      <c r="H148" s="7">
        <v>2.37682674E8</v>
      </c>
      <c r="I148" s="7">
        <v>126039.0</v>
      </c>
      <c r="J148" s="7">
        <v>118631.0</v>
      </c>
      <c r="K148" s="7">
        <v>7408.0</v>
      </c>
      <c r="L148" s="7">
        <v>43.6</v>
      </c>
      <c r="M148" s="7">
        <v>-0.06</v>
      </c>
      <c r="N148" s="7">
        <v>11606.0</v>
      </c>
      <c r="O148" s="7">
        <v>1334414.0</v>
      </c>
      <c r="P148" s="7" t="s">
        <v>409</v>
      </c>
      <c r="Q148" s="7">
        <v>729.27</v>
      </c>
      <c r="R148" s="3">
        <f t="shared" si="1"/>
        <v>729.27</v>
      </c>
    </row>
    <row r="149" ht="22.5" customHeight="1">
      <c r="B149" s="7" t="s">
        <v>166</v>
      </c>
      <c r="C149" s="7">
        <v>58614.0</v>
      </c>
      <c r="D149" s="7">
        <v>175092.0</v>
      </c>
      <c r="E149" s="7">
        <v>2561735.0</v>
      </c>
      <c r="F149" s="7">
        <v>2504130.0</v>
      </c>
      <c r="G149" s="7">
        <v>7352156.0</v>
      </c>
      <c r="H149" s="7">
        <v>1.486009432E9</v>
      </c>
      <c r="I149" s="7">
        <v>123713.0</v>
      </c>
      <c r="J149" s="7">
        <v>120441.0</v>
      </c>
      <c r="K149" s="7">
        <v>3272.0</v>
      </c>
      <c r="L149" s="7">
        <v>33.69</v>
      </c>
      <c r="M149" s="7">
        <v>-0.1</v>
      </c>
      <c r="N149" s="7">
        <v>5114.0</v>
      </c>
      <c r="O149" s="7">
        <v>1467344.0</v>
      </c>
      <c r="P149" s="7" t="s">
        <v>410</v>
      </c>
      <c r="Q149" s="7">
        <v>730.39</v>
      </c>
      <c r="R149" s="3">
        <f t="shared" si="1"/>
        <v>730.39</v>
      </c>
    </row>
    <row r="150" ht="22.5" customHeight="1">
      <c r="B150" s="7" t="s">
        <v>196</v>
      </c>
      <c r="C150" s="7">
        <v>511.0</v>
      </c>
      <c r="D150" s="7">
        <v>1418.0</v>
      </c>
      <c r="E150" s="7">
        <v>7310642.0</v>
      </c>
      <c r="F150" s="7">
        <v>7265806.0</v>
      </c>
      <c r="G150" s="7">
        <v>1.0260464E7</v>
      </c>
      <c r="H150" s="7">
        <v>1.67820265E8</v>
      </c>
      <c r="I150" s="7">
        <v>362255.0</v>
      </c>
      <c r="J150" s="7">
        <v>355382.0</v>
      </c>
      <c r="K150" s="7">
        <v>6873.0</v>
      </c>
      <c r="L150" s="7">
        <v>18.89</v>
      </c>
      <c r="M150" s="7">
        <v>-0.05</v>
      </c>
      <c r="N150" s="7">
        <v>11081.0</v>
      </c>
      <c r="O150" s="7">
        <v>3828105.0</v>
      </c>
      <c r="P150" s="7" t="s">
        <v>410</v>
      </c>
      <c r="Q150" s="7">
        <v>761.14</v>
      </c>
      <c r="R150" s="3">
        <f t="shared" si="1"/>
        <v>761.14</v>
      </c>
    </row>
    <row r="151" ht="22.5" customHeight="1">
      <c r="B151" s="7" t="s">
        <v>207</v>
      </c>
      <c r="C151" s="7">
        <v>3836.0</v>
      </c>
      <c r="D151" s="7">
        <v>15071.0</v>
      </c>
      <c r="E151" s="7">
        <v>2976525.0</v>
      </c>
      <c r="F151" s="7">
        <v>2933443.0</v>
      </c>
      <c r="G151" s="7">
        <v>5880066.0</v>
      </c>
      <c r="H151" s="7">
        <v>3.32749162E8</v>
      </c>
      <c r="I151" s="7">
        <v>133882.0</v>
      </c>
      <c r="J151" s="7">
        <v>129901.0</v>
      </c>
      <c r="K151" s="7">
        <v>3981.0</v>
      </c>
      <c r="L151" s="7">
        <v>38.74</v>
      </c>
      <c r="M151" s="7">
        <v>-0.08</v>
      </c>
      <c r="N151" s="7">
        <v>6466.0</v>
      </c>
      <c r="O151" s="7">
        <v>1081383.0</v>
      </c>
      <c r="P151" s="7" t="s">
        <v>409</v>
      </c>
      <c r="Q151" s="7">
        <v>818.12</v>
      </c>
      <c r="R151" s="3">
        <f t="shared" si="1"/>
        <v>818.12</v>
      </c>
    </row>
    <row r="152" ht="22.5" customHeight="1">
      <c r="B152" s="7" t="s">
        <v>249</v>
      </c>
      <c r="C152" s="7">
        <v>351053.0</v>
      </c>
      <c r="D152" s="7">
        <v>1039313.0</v>
      </c>
      <c r="E152" s="7">
        <v>163238.0</v>
      </c>
      <c r="F152" s="7">
        <v>160672.0</v>
      </c>
      <c r="G152" s="7">
        <v>853435.0</v>
      </c>
      <c r="H152" s="7">
        <v>1.734954665E9</v>
      </c>
      <c r="I152" s="7">
        <v>7804.0</v>
      </c>
      <c r="J152" s="7">
        <v>7579.0</v>
      </c>
      <c r="K152" s="7">
        <v>225.0</v>
      </c>
      <c r="L152" s="7">
        <v>55.33</v>
      </c>
      <c r="M152" s="7">
        <v>-0.09</v>
      </c>
      <c r="N152" s="7">
        <v>348.0</v>
      </c>
      <c r="O152" s="7">
        <v>94841.0</v>
      </c>
      <c r="P152" s="7" t="s">
        <v>409</v>
      </c>
      <c r="Q152" s="7">
        <v>828.2</v>
      </c>
      <c r="R152" s="3">
        <f t="shared" si="1"/>
        <v>828.2</v>
      </c>
    </row>
    <row r="153" ht="22.5" customHeight="1">
      <c r="B153" s="7" t="s">
        <v>138</v>
      </c>
      <c r="C153" s="7">
        <v>3573.0</v>
      </c>
      <c r="D153" s="7">
        <v>14128.0</v>
      </c>
      <c r="E153" s="7">
        <v>2896194.0</v>
      </c>
      <c r="F153" s="7">
        <v>2862038.0</v>
      </c>
      <c r="G153" s="7">
        <v>5117364.0</v>
      </c>
      <c r="H153" s="7">
        <v>3.04179287E8</v>
      </c>
      <c r="I153" s="7">
        <v>126741.0</v>
      </c>
      <c r="J153" s="7">
        <v>122632.0</v>
      </c>
      <c r="K153" s="7">
        <v>4109.0</v>
      </c>
      <c r="L153" s="7">
        <v>34.06</v>
      </c>
      <c r="M153" s="7">
        <v>-0.06</v>
      </c>
      <c r="N153" s="7">
        <v>6469.0</v>
      </c>
      <c r="O153" s="7">
        <v>1084118.0</v>
      </c>
      <c r="P153" s="7" t="s">
        <v>409</v>
      </c>
      <c r="Q153" s="7">
        <v>843.94</v>
      </c>
      <c r="R153" s="3">
        <f t="shared" si="1"/>
        <v>843.94</v>
      </c>
    </row>
    <row r="154" ht="22.5" customHeight="1">
      <c r="B154" s="7" t="s">
        <v>160</v>
      </c>
      <c r="C154" s="7">
        <v>2960.0</v>
      </c>
      <c r="D154" s="7">
        <v>5555.0</v>
      </c>
      <c r="E154" s="7">
        <v>2.1276693E7</v>
      </c>
      <c r="F154" s="7">
        <v>1.6986691E7</v>
      </c>
      <c r="G154" s="7">
        <v>8.5431176E7</v>
      </c>
      <c r="H154" s="7">
        <v>6.34029498E8</v>
      </c>
      <c r="I154" s="7">
        <v>348968.0</v>
      </c>
      <c r="J154" s="7">
        <v>308718.0</v>
      </c>
      <c r="K154" s="7">
        <v>40250.0</v>
      </c>
      <c r="L154" s="7">
        <v>24.37</v>
      </c>
      <c r="M154" s="7">
        <v>-0.06</v>
      </c>
      <c r="N154" s="7">
        <v>56909.0</v>
      </c>
      <c r="O154" s="7">
        <v>2.9256093E7</v>
      </c>
      <c r="P154" s="7" t="s">
        <v>410</v>
      </c>
      <c r="Q154" s="7">
        <v>863.95</v>
      </c>
      <c r="R154" s="3">
        <f t="shared" si="1"/>
        <v>863.95</v>
      </c>
    </row>
    <row r="155" ht="22.5" customHeight="1">
      <c r="B155" s="7" t="s">
        <v>276</v>
      </c>
      <c r="C155" s="7">
        <v>293123.0</v>
      </c>
      <c r="D155" s="7">
        <v>943087.0</v>
      </c>
      <c r="E155" s="7">
        <v>1148011.0</v>
      </c>
      <c r="F155" s="7">
        <v>1112583.0</v>
      </c>
      <c r="G155" s="7">
        <v>6229071.0</v>
      </c>
      <c r="H155" s="7">
        <v>2.291392545E9</v>
      </c>
      <c r="I155" s="7">
        <v>37908.0</v>
      </c>
      <c r="J155" s="7">
        <v>35633.0</v>
      </c>
      <c r="K155" s="7">
        <v>2275.0</v>
      </c>
      <c r="L155" s="7">
        <v>84.1</v>
      </c>
      <c r="M155" s="7">
        <v>-0.13</v>
      </c>
      <c r="N155" s="7">
        <v>3322.0</v>
      </c>
      <c r="O155" s="7">
        <v>1409906.0</v>
      </c>
      <c r="P155" s="7" t="s">
        <v>409</v>
      </c>
      <c r="Q155" s="7">
        <v>887.49</v>
      </c>
      <c r="R155" s="3">
        <f t="shared" si="1"/>
        <v>887.49</v>
      </c>
    </row>
    <row r="156" ht="22.5" customHeight="1">
      <c r="B156" s="7" t="s">
        <v>133</v>
      </c>
      <c r="C156" s="7">
        <v>578891.0</v>
      </c>
      <c r="D156" s="7">
        <v>1735495.0</v>
      </c>
      <c r="E156" s="7">
        <v>4104060.0</v>
      </c>
      <c r="F156" s="7">
        <v>3991005.0</v>
      </c>
      <c r="G156" s="7">
        <v>2.9152515E7</v>
      </c>
      <c r="H156" s="7">
        <v>2.108097091E9</v>
      </c>
      <c r="I156" s="7">
        <v>127247.0</v>
      </c>
      <c r="J156" s="7">
        <v>120616.0</v>
      </c>
      <c r="K156" s="7">
        <v>6631.0</v>
      </c>
      <c r="L156" s="7">
        <v>91.17</v>
      </c>
      <c r="M156" s="7">
        <v>-0.12</v>
      </c>
      <c r="N156" s="7">
        <v>10841.0</v>
      </c>
      <c r="O156" s="7">
        <v>5481532.0</v>
      </c>
      <c r="P156" s="7" t="s">
        <v>410</v>
      </c>
      <c r="Q156" s="7">
        <v>895.52</v>
      </c>
      <c r="R156" s="3">
        <f t="shared" si="1"/>
        <v>895.52</v>
      </c>
    </row>
    <row r="157" ht="22.5" customHeight="1">
      <c r="B157" s="7" t="s">
        <v>164</v>
      </c>
      <c r="C157" s="7">
        <v>851.0</v>
      </c>
      <c r="D157" s="7">
        <v>2702.0</v>
      </c>
      <c r="E157" s="7">
        <v>6551759.0</v>
      </c>
      <c r="F157" s="7">
        <v>6467698.0</v>
      </c>
      <c r="G157" s="7">
        <v>9132049.0</v>
      </c>
      <c r="H157" s="7">
        <v>2.31648775E8</v>
      </c>
      <c r="I157" s="7">
        <v>293788.0</v>
      </c>
      <c r="J157" s="7">
        <v>287107.0</v>
      </c>
      <c r="K157" s="7">
        <v>6681.0</v>
      </c>
      <c r="L157" s="7">
        <v>17.51</v>
      </c>
      <c r="M157" s="7">
        <v>-0.05</v>
      </c>
      <c r="N157" s="7">
        <v>10888.0</v>
      </c>
      <c r="O157" s="7">
        <v>3093012.0</v>
      </c>
      <c r="P157" s="7" t="s">
        <v>410</v>
      </c>
      <c r="Q157" s="7">
        <v>931.36</v>
      </c>
      <c r="R157" s="3">
        <f t="shared" si="1"/>
        <v>931.36</v>
      </c>
    </row>
    <row r="158" ht="22.5" customHeight="1">
      <c r="B158" s="7" t="s">
        <v>181</v>
      </c>
      <c r="C158" s="7">
        <v>2343808.0</v>
      </c>
      <c r="D158" s="7">
        <v>5010575.0</v>
      </c>
      <c r="E158" s="7">
        <v>1175667.0</v>
      </c>
      <c r="F158" s="7">
        <v>1060122.0</v>
      </c>
      <c r="G158" s="7">
        <v>9868303.0</v>
      </c>
      <c r="H158" s="7">
        <v>1.308369434E9</v>
      </c>
      <c r="I158" s="7">
        <v>21377.0</v>
      </c>
      <c r="J158" s="7">
        <v>18988.0</v>
      </c>
      <c r="K158" s="7">
        <v>2389.0</v>
      </c>
      <c r="L158" s="7">
        <v>371.3</v>
      </c>
      <c r="M158" s="7">
        <v>-0.07</v>
      </c>
      <c r="N158" s="7">
        <v>3426.0</v>
      </c>
      <c r="O158" s="7">
        <v>1410784.0</v>
      </c>
      <c r="P158" s="7" t="s">
        <v>410</v>
      </c>
      <c r="Q158" s="7">
        <v>932.71</v>
      </c>
      <c r="R158" s="3">
        <f t="shared" si="1"/>
        <v>932.71</v>
      </c>
    </row>
    <row r="159" ht="22.5" customHeight="1">
      <c r="B159" s="7" t="s">
        <v>163</v>
      </c>
      <c r="C159" s="7">
        <v>72078.0</v>
      </c>
      <c r="D159" s="7">
        <v>517728.0</v>
      </c>
      <c r="E159" s="7">
        <v>2421486.0</v>
      </c>
      <c r="F159" s="7">
        <v>2382168.0</v>
      </c>
      <c r="G159" s="7">
        <v>1.4793435E7</v>
      </c>
      <c r="H159" s="7">
        <v>8.96178186E8</v>
      </c>
      <c r="I159" s="7">
        <v>124606.0</v>
      </c>
      <c r="J159" s="7">
        <v>121495.0</v>
      </c>
      <c r="K159" s="7">
        <v>3111.0</v>
      </c>
      <c r="L159" s="7">
        <v>27.61</v>
      </c>
      <c r="M159" s="7">
        <v>-0.13</v>
      </c>
      <c r="N159" s="7">
        <v>4739.0</v>
      </c>
      <c r="O159" s="7">
        <v>2498763.0</v>
      </c>
      <c r="P159" s="7" t="s">
        <v>410</v>
      </c>
      <c r="Q159" s="7">
        <v>941.56</v>
      </c>
      <c r="R159" s="3">
        <f t="shared" si="1"/>
        <v>941.56</v>
      </c>
    </row>
    <row r="160" ht="22.5" customHeight="1">
      <c r="B160" s="7" t="s">
        <v>192</v>
      </c>
      <c r="C160" s="7">
        <v>3426.0</v>
      </c>
      <c r="D160" s="7">
        <v>20454.0</v>
      </c>
      <c r="E160" s="7">
        <v>6054230.0</v>
      </c>
      <c r="F160" s="7">
        <v>6054223.0</v>
      </c>
      <c r="G160" s="7">
        <v>6057918.0</v>
      </c>
      <c r="H160" s="7">
        <v>4.01103595E9</v>
      </c>
      <c r="I160" s="7">
        <v>155844.0</v>
      </c>
      <c r="J160" s="7">
        <v>149320.0</v>
      </c>
      <c r="K160" s="7">
        <v>6524.0</v>
      </c>
      <c r="L160" s="7">
        <v>15.47</v>
      </c>
      <c r="M160" s="7">
        <v>0.0</v>
      </c>
      <c r="N160" s="7">
        <v>10739.0</v>
      </c>
      <c r="O160" s="7">
        <v>2890758.0</v>
      </c>
      <c r="P160" s="7" t="s">
        <v>409</v>
      </c>
      <c r="Q160" s="7">
        <v>949.58</v>
      </c>
      <c r="R160" s="3">
        <f t="shared" si="1"/>
        <v>949.58</v>
      </c>
    </row>
    <row r="161" ht="22.5" customHeight="1">
      <c r="B161" s="7" t="s">
        <v>210</v>
      </c>
      <c r="C161" s="7">
        <v>8043699.0</v>
      </c>
      <c r="D161" s="7">
        <v>3.9376148E7</v>
      </c>
      <c r="E161" s="7">
        <v>14297.0</v>
      </c>
      <c r="F161" s="7">
        <v>13577.0</v>
      </c>
      <c r="G161" s="7">
        <v>1498050.0</v>
      </c>
      <c r="H161" s="7">
        <v>2.19159174E8</v>
      </c>
      <c r="I161" s="7">
        <v>310.0</v>
      </c>
      <c r="J161" s="7">
        <v>296.0</v>
      </c>
      <c r="K161" s="7">
        <v>14.0</v>
      </c>
      <c r="L161" s="7">
        <v>198.17</v>
      </c>
      <c r="M161" s="7">
        <v>-0.17</v>
      </c>
      <c r="N161" s="7">
        <v>30.0</v>
      </c>
      <c r="O161" s="7">
        <v>18214.0</v>
      </c>
      <c r="P161" s="7" t="s">
        <v>409</v>
      </c>
      <c r="Q161" s="7">
        <v>982.11</v>
      </c>
      <c r="R161" s="3">
        <f t="shared" si="1"/>
        <v>982.11</v>
      </c>
    </row>
    <row r="162" ht="22.5" customHeight="1">
      <c r="B162" s="7" t="s">
        <v>145</v>
      </c>
      <c r="C162" s="7">
        <v>335424.0</v>
      </c>
      <c r="D162" s="7">
        <v>950345.0</v>
      </c>
      <c r="E162" s="7">
        <v>223605.0</v>
      </c>
      <c r="F162" s="7">
        <v>220552.0</v>
      </c>
      <c r="G162" s="7">
        <v>994474.0</v>
      </c>
      <c r="H162" s="7">
        <v>2.354355489E9</v>
      </c>
      <c r="I162" s="7">
        <v>8997.0</v>
      </c>
      <c r="J162" s="7">
        <v>8645.0</v>
      </c>
      <c r="K162" s="7">
        <v>352.0</v>
      </c>
      <c r="L162" s="7">
        <v>57.06</v>
      </c>
      <c r="M162" s="7">
        <v>-0.08</v>
      </c>
      <c r="N162" s="7">
        <v>568.0</v>
      </c>
      <c r="O162" s="7">
        <v>88509.0</v>
      </c>
      <c r="P162" s="7" t="s">
        <v>409</v>
      </c>
      <c r="Q162" s="7">
        <v>983.39</v>
      </c>
      <c r="R162" s="3">
        <f t="shared" si="1"/>
        <v>983.39</v>
      </c>
    </row>
    <row r="163" ht="22.5" customHeight="1">
      <c r="B163" s="7" t="s">
        <v>88</v>
      </c>
      <c r="C163" s="7">
        <v>260342.0</v>
      </c>
      <c r="D163" s="7">
        <v>1377484.0</v>
      </c>
      <c r="E163" s="7">
        <v>2115224.0</v>
      </c>
      <c r="F163" s="7">
        <v>1913995.0</v>
      </c>
      <c r="G163" s="7">
        <v>1.3281523E7</v>
      </c>
      <c r="H163" s="7">
        <v>3.431404718E9</v>
      </c>
      <c r="I163" s="7">
        <v>80464.0</v>
      </c>
      <c r="J163" s="7">
        <v>78192.0</v>
      </c>
      <c r="K163" s="7">
        <v>2272.0</v>
      </c>
      <c r="L163" s="7">
        <v>207.7</v>
      </c>
      <c r="M163" s="7">
        <v>-0.1</v>
      </c>
      <c r="N163" s="7">
        <v>3418.0</v>
      </c>
      <c r="O163" s="7">
        <v>1978275.0</v>
      </c>
      <c r="P163" s="7" t="s">
        <v>409</v>
      </c>
      <c r="Q163" s="7">
        <v>988.71</v>
      </c>
      <c r="R163" s="3">
        <f t="shared" si="1"/>
        <v>988.71</v>
      </c>
    </row>
    <row r="164" ht="22.5" customHeight="1">
      <c r="B164" s="7" t="s">
        <v>99</v>
      </c>
      <c r="C164" s="7">
        <v>140.0</v>
      </c>
      <c r="D164" s="7">
        <v>560.0</v>
      </c>
      <c r="E164" s="7">
        <v>2.428847E7</v>
      </c>
      <c r="F164" s="7">
        <v>2.4276369E7</v>
      </c>
      <c r="G164" s="7">
        <v>3.2289079E7</v>
      </c>
      <c r="H164" s="7">
        <v>1.66065973E8</v>
      </c>
      <c r="I164" s="7">
        <v>827016.0</v>
      </c>
      <c r="J164" s="7">
        <v>798840.0</v>
      </c>
      <c r="K164" s="7">
        <v>28176.0</v>
      </c>
      <c r="L164" s="7">
        <v>16.65</v>
      </c>
      <c r="M164" s="7">
        <v>-0.03</v>
      </c>
      <c r="N164" s="7">
        <v>45016.0</v>
      </c>
      <c r="O164" s="7">
        <v>1.3629403E7</v>
      </c>
      <c r="P164" s="7" t="s">
        <v>410</v>
      </c>
      <c r="Q164" s="7">
        <v>1008.21</v>
      </c>
      <c r="R164" s="3">
        <f t="shared" si="1"/>
        <v>1008.21</v>
      </c>
    </row>
    <row r="165" ht="22.5" customHeight="1">
      <c r="B165" s="7" t="s">
        <v>199</v>
      </c>
      <c r="C165" s="7">
        <v>72078.0</v>
      </c>
      <c r="D165" s="7">
        <v>517705.0</v>
      </c>
      <c r="E165" s="7">
        <v>3184432.0</v>
      </c>
      <c r="F165" s="7">
        <v>3138013.0</v>
      </c>
      <c r="G165" s="7">
        <v>1.5732591E7</v>
      </c>
      <c r="H165" s="7">
        <v>1.330202637E9</v>
      </c>
      <c r="I165" s="7">
        <v>125662.0</v>
      </c>
      <c r="J165" s="7">
        <v>120234.0</v>
      </c>
      <c r="K165" s="7">
        <v>5428.0</v>
      </c>
      <c r="L165" s="7">
        <v>35.82</v>
      </c>
      <c r="M165" s="7">
        <v>-0.11</v>
      </c>
      <c r="N165" s="7">
        <v>8228.0</v>
      </c>
      <c r="O165" s="7">
        <v>2492800.0</v>
      </c>
      <c r="P165" s="7" t="s">
        <v>410</v>
      </c>
      <c r="Q165" s="7">
        <v>1026.44</v>
      </c>
      <c r="R165" s="3">
        <f t="shared" si="1"/>
        <v>1026.44</v>
      </c>
    </row>
    <row r="166" ht="22.5" customHeight="1">
      <c r="B166" s="7" t="s">
        <v>124</v>
      </c>
      <c r="C166" s="7">
        <v>895.0</v>
      </c>
      <c r="D166" s="7">
        <v>20756.0</v>
      </c>
      <c r="E166" s="7">
        <v>3224710.0</v>
      </c>
      <c r="F166" s="7">
        <v>3203459.0</v>
      </c>
      <c r="G166" s="7">
        <v>4802840.0</v>
      </c>
      <c r="H166" s="7">
        <v>4.0331982E8</v>
      </c>
      <c r="I166" s="7">
        <v>138489.0</v>
      </c>
      <c r="J166" s="7">
        <v>133288.0</v>
      </c>
      <c r="K166" s="7">
        <v>5201.0</v>
      </c>
      <c r="L166" s="7">
        <v>25.19</v>
      </c>
      <c r="M166" s="7">
        <v>-0.05</v>
      </c>
      <c r="N166" s="7">
        <v>8066.0</v>
      </c>
      <c r="O166" s="7">
        <v>1051406.0</v>
      </c>
      <c r="P166" s="7" t="s">
        <v>409</v>
      </c>
      <c r="Q166" s="7">
        <v>1033.21</v>
      </c>
      <c r="R166" s="3">
        <f t="shared" si="1"/>
        <v>1033.21</v>
      </c>
    </row>
    <row r="167" ht="22.5" customHeight="1">
      <c r="B167" s="7" t="s">
        <v>21</v>
      </c>
      <c r="C167" s="7">
        <v>9540.0</v>
      </c>
      <c r="D167" s="7">
        <v>61421.0</v>
      </c>
      <c r="E167" s="7">
        <v>4955848.0</v>
      </c>
      <c r="F167" s="7">
        <v>4873678.0</v>
      </c>
      <c r="G167" s="7">
        <v>1.70112E7</v>
      </c>
      <c r="H167" s="7">
        <v>1.106012495E9</v>
      </c>
      <c r="I167" s="7">
        <v>223993.0</v>
      </c>
      <c r="J167" s="7">
        <v>216720.0</v>
      </c>
      <c r="K167" s="7">
        <v>7273.0</v>
      </c>
      <c r="L167" s="7">
        <v>41.74</v>
      </c>
      <c r="M167" s="7">
        <v>-0.1</v>
      </c>
      <c r="N167" s="7">
        <v>11476.0</v>
      </c>
      <c r="O167" s="7">
        <v>2239555.0</v>
      </c>
      <c r="P167" s="7" t="s">
        <v>410</v>
      </c>
      <c r="Q167" s="7">
        <v>1034.5</v>
      </c>
      <c r="R167" s="3">
        <f t="shared" si="1"/>
        <v>1034.5</v>
      </c>
    </row>
    <row r="168" ht="22.5" customHeight="1">
      <c r="B168" s="7" t="s">
        <v>158</v>
      </c>
      <c r="C168" s="7">
        <v>51996.0</v>
      </c>
      <c r="D168" s="7">
        <v>147555.0</v>
      </c>
      <c r="E168" s="7">
        <v>1.038698E7</v>
      </c>
      <c r="F168" s="7">
        <v>1.0339299E7</v>
      </c>
      <c r="G168" s="7">
        <v>1.2036386E8</v>
      </c>
      <c r="H168" s="7">
        <v>1.228783617E9</v>
      </c>
      <c r="I168" s="7">
        <v>386863.0</v>
      </c>
      <c r="J168" s="7">
        <v>366688.0</v>
      </c>
      <c r="K168" s="7">
        <v>20175.0</v>
      </c>
      <c r="L168" s="7">
        <v>50.53</v>
      </c>
      <c r="M168" s="7">
        <v>-0.03</v>
      </c>
      <c r="N168" s="7">
        <v>27664.0</v>
      </c>
      <c r="O168" s="7">
        <v>4.7369308E7</v>
      </c>
      <c r="P168" s="7" t="s">
        <v>410</v>
      </c>
      <c r="Q168" s="7">
        <v>1050.64</v>
      </c>
      <c r="R168" s="3">
        <f t="shared" si="1"/>
        <v>1050.64</v>
      </c>
    </row>
    <row r="169" ht="22.5" customHeight="1">
      <c r="B169" s="7" t="s">
        <v>83</v>
      </c>
      <c r="C169" s="7">
        <v>2425.0</v>
      </c>
      <c r="D169" s="7">
        <v>23118.0</v>
      </c>
      <c r="E169" s="7">
        <v>7825453.0</v>
      </c>
      <c r="F169" s="7">
        <v>7810037.0</v>
      </c>
      <c r="G169" s="7">
        <v>9226988.0</v>
      </c>
      <c r="H169" s="7">
        <v>7.33245041E8</v>
      </c>
      <c r="I169" s="7">
        <v>376129.0</v>
      </c>
      <c r="J169" s="7">
        <v>368884.0</v>
      </c>
      <c r="K169" s="7">
        <v>7245.0</v>
      </c>
      <c r="L169" s="7">
        <v>21.39</v>
      </c>
      <c r="M169" s="7">
        <v>-0.02</v>
      </c>
      <c r="N169" s="7">
        <v>11452.0</v>
      </c>
      <c r="O169" s="7">
        <v>4133855.0</v>
      </c>
      <c r="P169" s="7" t="s">
        <v>409</v>
      </c>
      <c r="Q169" s="7">
        <v>1061.28</v>
      </c>
      <c r="R169" s="3">
        <f t="shared" si="1"/>
        <v>1061.28</v>
      </c>
    </row>
    <row r="170" ht="22.5" customHeight="1">
      <c r="B170" s="7" t="s">
        <v>386</v>
      </c>
      <c r="C170" s="7">
        <v>95810.0</v>
      </c>
      <c r="D170" s="7">
        <v>287043.0</v>
      </c>
      <c r="E170" s="7">
        <v>5790943.0</v>
      </c>
      <c r="F170" s="7">
        <v>5677906.0</v>
      </c>
      <c r="G170" s="7">
        <v>1.5840452E7</v>
      </c>
      <c r="H170" s="7">
        <v>2.122990677E9</v>
      </c>
      <c r="I170" s="7">
        <v>251951.0</v>
      </c>
      <c r="J170" s="7">
        <v>244554.0</v>
      </c>
      <c r="K170" s="7">
        <v>7397.0</v>
      </c>
      <c r="L170" s="7">
        <v>82.92</v>
      </c>
      <c r="M170" s="7">
        <v>-0.1</v>
      </c>
      <c r="N170" s="7">
        <v>11597.0</v>
      </c>
      <c r="O170" s="7">
        <v>3094470.0</v>
      </c>
      <c r="P170" s="7" t="s">
        <v>410</v>
      </c>
      <c r="Q170" s="7">
        <v>1093.06</v>
      </c>
      <c r="R170" s="3">
        <f t="shared" si="1"/>
        <v>1093.06</v>
      </c>
    </row>
    <row r="171" ht="22.5" customHeight="1">
      <c r="B171" s="7" t="s">
        <v>132</v>
      </c>
      <c r="C171" s="7">
        <v>9643.0</v>
      </c>
      <c r="D171" s="7">
        <v>145203.0</v>
      </c>
      <c r="E171" s="7">
        <v>2590372.0</v>
      </c>
      <c r="F171" s="7">
        <v>2548668.0</v>
      </c>
      <c r="G171" s="7">
        <v>4858346.0</v>
      </c>
      <c r="H171" s="7">
        <v>4.69192749E8</v>
      </c>
      <c r="I171" s="7">
        <v>120863.0</v>
      </c>
      <c r="J171" s="7">
        <v>117538.0</v>
      </c>
      <c r="K171" s="7">
        <v>3325.0</v>
      </c>
      <c r="L171" s="7">
        <v>23.53</v>
      </c>
      <c r="M171" s="7">
        <v>-0.08</v>
      </c>
      <c r="N171" s="7">
        <v>5212.0</v>
      </c>
      <c r="O171" s="7">
        <v>1129290.0</v>
      </c>
      <c r="P171" s="7" t="s">
        <v>409</v>
      </c>
      <c r="Q171" s="7">
        <v>1117.79</v>
      </c>
      <c r="R171" s="3">
        <f t="shared" si="1"/>
        <v>1117.79</v>
      </c>
    </row>
    <row r="172" ht="22.5" customHeight="1">
      <c r="B172" s="7" t="s">
        <v>149</v>
      </c>
      <c r="C172" s="7">
        <v>6658.0</v>
      </c>
      <c r="D172" s="7">
        <v>31911.0</v>
      </c>
      <c r="E172" s="7">
        <v>2794774.0</v>
      </c>
      <c r="F172" s="7">
        <v>2794318.0</v>
      </c>
      <c r="G172" s="7">
        <v>2806152.0</v>
      </c>
      <c r="H172" s="7">
        <v>2.235290342E9</v>
      </c>
      <c r="I172" s="7">
        <v>91157.0</v>
      </c>
      <c r="J172" s="7">
        <v>87637.0</v>
      </c>
      <c r="K172" s="7">
        <v>3520.0</v>
      </c>
      <c r="L172" s="7">
        <v>19.25</v>
      </c>
      <c r="M172" s="7">
        <v>0.0</v>
      </c>
      <c r="N172" s="7">
        <v>5730.0</v>
      </c>
      <c r="O172" s="7">
        <v>1119070.0</v>
      </c>
      <c r="P172" s="7" t="s">
        <v>409</v>
      </c>
      <c r="Q172" s="7">
        <v>1145.89</v>
      </c>
      <c r="R172" s="3">
        <f t="shared" si="1"/>
        <v>1145.89</v>
      </c>
    </row>
    <row r="173" ht="22.5" customHeight="1">
      <c r="B173" s="7" t="s">
        <v>282</v>
      </c>
      <c r="C173" s="7">
        <v>98048.0</v>
      </c>
      <c r="D173" s="7">
        <v>293756.0</v>
      </c>
      <c r="E173" s="7">
        <v>5561074.0</v>
      </c>
      <c r="F173" s="7">
        <v>5452679.0</v>
      </c>
      <c r="G173" s="7">
        <v>1.5093011E7</v>
      </c>
      <c r="H173" s="7">
        <v>2.088657163E9</v>
      </c>
      <c r="I173" s="7">
        <v>228543.0</v>
      </c>
      <c r="J173" s="7">
        <v>220990.0</v>
      </c>
      <c r="K173" s="7">
        <v>7553.0</v>
      </c>
      <c r="L173" s="7">
        <v>80.79</v>
      </c>
      <c r="M173" s="7">
        <v>-0.1</v>
      </c>
      <c r="N173" s="7">
        <v>11753.0</v>
      </c>
      <c r="O173" s="7">
        <v>2872070.0</v>
      </c>
      <c r="P173" s="7" t="s">
        <v>410</v>
      </c>
      <c r="Q173" s="7">
        <v>1146.18</v>
      </c>
      <c r="R173" s="3">
        <f t="shared" si="1"/>
        <v>1146.18</v>
      </c>
    </row>
    <row r="174" ht="22.5" customHeight="1">
      <c r="B174" s="7" t="s">
        <v>68</v>
      </c>
      <c r="C174" s="7">
        <v>3837.0</v>
      </c>
      <c r="D174" s="7">
        <v>15085.0</v>
      </c>
      <c r="E174" s="7">
        <v>2934103.0</v>
      </c>
      <c r="F174" s="7">
        <v>2890174.0</v>
      </c>
      <c r="G174" s="7">
        <v>5826012.0</v>
      </c>
      <c r="H174" s="7">
        <v>3.30306947E8</v>
      </c>
      <c r="I174" s="7">
        <v>130524.0</v>
      </c>
      <c r="J174" s="7">
        <v>126573.0</v>
      </c>
      <c r="K174" s="7">
        <v>3951.0</v>
      </c>
      <c r="L174" s="7">
        <v>38.34</v>
      </c>
      <c r="M174" s="7">
        <v>-0.08</v>
      </c>
      <c r="N174" s="7">
        <v>6370.0</v>
      </c>
      <c r="O174" s="7">
        <v>1097658.0</v>
      </c>
      <c r="P174" s="7" t="s">
        <v>409</v>
      </c>
      <c r="Q174" s="7">
        <v>1187.54</v>
      </c>
      <c r="R174" s="3">
        <f t="shared" si="1"/>
        <v>1187.54</v>
      </c>
    </row>
    <row r="175" ht="22.5" customHeight="1">
      <c r="B175" s="7" t="s">
        <v>182</v>
      </c>
      <c r="C175" s="7">
        <v>113407.0</v>
      </c>
      <c r="D175" s="7">
        <v>1010625.0</v>
      </c>
      <c r="E175" s="7">
        <v>1300564.0</v>
      </c>
      <c r="F175" s="7">
        <v>1282501.0</v>
      </c>
      <c r="G175" s="7">
        <v>2074144.0</v>
      </c>
      <c r="H175" s="7">
        <v>2.452446502E9</v>
      </c>
      <c r="I175" s="7">
        <v>48076.0</v>
      </c>
      <c r="J175" s="7">
        <v>46221.0</v>
      </c>
      <c r="K175" s="7">
        <v>1855.0</v>
      </c>
      <c r="L175" s="7">
        <v>57.45</v>
      </c>
      <c r="M175" s="7">
        <v>-0.07</v>
      </c>
      <c r="N175" s="7">
        <v>2906.0</v>
      </c>
      <c r="O175" s="7">
        <v>516301.0</v>
      </c>
      <c r="P175" s="7" t="s">
        <v>410</v>
      </c>
      <c r="Q175" s="7">
        <v>1195.37</v>
      </c>
      <c r="R175" s="3">
        <f t="shared" si="1"/>
        <v>1195.37</v>
      </c>
    </row>
    <row r="176" ht="22.5" customHeight="1">
      <c r="B176" s="7" t="s">
        <v>139</v>
      </c>
      <c r="C176" s="7">
        <v>1314940.0</v>
      </c>
      <c r="D176" s="7">
        <v>2548425.0</v>
      </c>
      <c r="E176" s="7">
        <v>898577.0</v>
      </c>
      <c r="F176" s="7">
        <v>869778.0</v>
      </c>
      <c r="G176" s="7">
        <v>6603007.0</v>
      </c>
      <c r="H176" s="7">
        <v>2.432482934E9</v>
      </c>
      <c r="I176" s="7">
        <v>33819.0</v>
      </c>
      <c r="J176" s="7">
        <v>32420.0</v>
      </c>
      <c r="K176" s="7">
        <v>1399.0</v>
      </c>
      <c r="L176" s="7">
        <v>34.29</v>
      </c>
      <c r="M176" s="7">
        <v>-0.15</v>
      </c>
      <c r="N176" s="7">
        <v>2259.0</v>
      </c>
      <c r="O176" s="7">
        <v>673246.0</v>
      </c>
      <c r="P176" s="7" t="s">
        <v>409</v>
      </c>
      <c r="Q176" s="7">
        <v>1214.3</v>
      </c>
      <c r="R176" s="3">
        <f t="shared" si="1"/>
        <v>1214.3</v>
      </c>
    </row>
    <row r="177" ht="22.5" customHeight="1">
      <c r="B177" s="7" t="s">
        <v>89</v>
      </c>
      <c r="C177" s="7">
        <v>3191.0</v>
      </c>
      <c r="D177" s="7">
        <v>73950.0</v>
      </c>
      <c r="E177" s="7">
        <v>6971281.0</v>
      </c>
      <c r="F177" s="7">
        <v>6743614.0</v>
      </c>
      <c r="G177" s="7">
        <v>1.3375617E7</v>
      </c>
      <c r="H177" s="7">
        <v>1.010559903E9</v>
      </c>
      <c r="I177" s="7">
        <v>216385.0</v>
      </c>
      <c r="J177" s="7">
        <v>207773.0</v>
      </c>
      <c r="K177" s="7">
        <v>8612.0</v>
      </c>
      <c r="L177" s="7">
        <v>140.25</v>
      </c>
      <c r="M177" s="7">
        <v>-0.05</v>
      </c>
      <c r="N177" s="7">
        <v>12789.0</v>
      </c>
      <c r="O177" s="7">
        <v>5217848.0</v>
      </c>
      <c r="P177" s="7" t="s">
        <v>409</v>
      </c>
      <c r="Q177" s="7">
        <v>1247.92</v>
      </c>
      <c r="R177" s="3">
        <f t="shared" si="1"/>
        <v>1247.92</v>
      </c>
    </row>
    <row r="178" ht="22.5" customHeight="1">
      <c r="B178" s="7" t="s">
        <v>230</v>
      </c>
      <c r="C178" s="7">
        <v>3838.0</v>
      </c>
      <c r="D178" s="7">
        <v>15113.0</v>
      </c>
      <c r="E178" s="7">
        <v>3891045.0</v>
      </c>
      <c r="F178" s="7">
        <v>3839173.0</v>
      </c>
      <c r="G178" s="7">
        <v>6880907.0</v>
      </c>
      <c r="H178" s="7">
        <v>4.61291642E8</v>
      </c>
      <c r="I178" s="7">
        <v>134083.0</v>
      </c>
      <c r="J178" s="7">
        <v>127838.0</v>
      </c>
      <c r="K178" s="7">
        <v>6245.0</v>
      </c>
      <c r="L178" s="7">
        <v>39.57</v>
      </c>
      <c r="M178" s="7">
        <v>-0.06</v>
      </c>
      <c r="N178" s="7">
        <v>10138.0</v>
      </c>
      <c r="O178" s="7">
        <v>1094358.0</v>
      </c>
      <c r="P178" s="7" t="s">
        <v>409</v>
      </c>
      <c r="Q178" s="7">
        <v>1318.58</v>
      </c>
      <c r="R178" s="3">
        <f t="shared" si="1"/>
        <v>1318.58</v>
      </c>
    </row>
    <row r="179" ht="22.5" customHeight="1">
      <c r="B179" s="7" t="s">
        <v>232</v>
      </c>
      <c r="C179" s="7">
        <v>371419.0</v>
      </c>
      <c r="D179" s="7">
        <v>7170905.0</v>
      </c>
      <c r="E179" s="7">
        <v>1101916.0</v>
      </c>
      <c r="F179" s="7">
        <v>1072760.0</v>
      </c>
      <c r="G179" s="7">
        <v>2.9138218E7</v>
      </c>
      <c r="H179" s="7">
        <v>2.393608941E9</v>
      </c>
      <c r="I179" s="7">
        <v>36510.0</v>
      </c>
      <c r="J179" s="7">
        <v>34433.0</v>
      </c>
      <c r="K179" s="7">
        <v>2077.0</v>
      </c>
      <c r="L179" s="7">
        <v>88.42</v>
      </c>
      <c r="M179" s="7">
        <v>-0.09</v>
      </c>
      <c r="N179" s="7">
        <v>3126.0</v>
      </c>
      <c r="O179" s="7">
        <v>4203363.0</v>
      </c>
      <c r="P179" s="7" t="s">
        <v>410</v>
      </c>
      <c r="Q179" s="7">
        <v>1359.68</v>
      </c>
      <c r="R179" s="3">
        <f t="shared" si="1"/>
        <v>1359.68</v>
      </c>
    </row>
    <row r="180" ht="22.5" customHeight="1">
      <c r="B180" s="7" t="s">
        <v>194</v>
      </c>
      <c r="C180" s="7">
        <v>1094922.0</v>
      </c>
      <c r="D180" s="7">
        <v>5009021.0</v>
      </c>
      <c r="E180" s="7">
        <v>1700448.0</v>
      </c>
      <c r="F180" s="7">
        <v>1621991.0</v>
      </c>
      <c r="G180" s="7">
        <v>3.854017E7</v>
      </c>
      <c r="H180" s="7">
        <v>3.797420653E9</v>
      </c>
      <c r="I180" s="7">
        <v>125285.0</v>
      </c>
      <c r="J180" s="7">
        <v>124229.0</v>
      </c>
      <c r="K180" s="7">
        <v>1056.0</v>
      </c>
      <c r="L180" s="7">
        <v>43.99</v>
      </c>
      <c r="M180" s="7">
        <v>-0.25</v>
      </c>
      <c r="N180" s="7">
        <v>2107.0</v>
      </c>
      <c r="O180" s="7">
        <v>2665368.0</v>
      </c>
      <c r="P180" s="7" t="s">
        <v>409</v>
      </c>
      <c r="Q180" s="7">
        <v>1405.46</v>
      </c>
      <c r="R180" s="3">
        <f t="shared" si="1"/>
        <v>1405.46</v>
      </c>
    </row>
    <row r="181" ht="22.5" customHeight="1">
      <c r="B181" s="7" t="s">
        <v>189</v>
      </c>
      <c r="C181" s="7">
        <v>153834.0</v>
      </c>
      <c r="D181" s="7">
        <v>459957.0</v>
      </c>
      <c r="E181" s="7">
        <v>5876118.0</v>
      </c>
      <c r="F181" s="7">
        <v>5652562.0</v>
      </c>
      <c r="G181" s="7">
        <v>5.0323972E7</v>
      </c>
      <c r="H181" s="7">
        <v>8.50064454E8</v>
      </c>
      <c r="I181" s="7">
        <v>192349.0</v>
      </c>
      <c r="J181" s="7">
        <v>183101.0</v>
      </c>
      <c r="K181" s="7">
        <v>9248.0</v>
      </c>
      <c r="L181" s="7">
        <v>107.78</v>
      </c>
      <c r="M181" s="7">
        <v>-0.07</v>
      </c>
      <c r="N181" s="7">
        <v>13412.0</v>
      </c>
      <c r="O181" s="7">
        <v>1.8523251E7</v>
      </c>
      <c r="P181" s="7" t="s">
        <v>410</v>
      </c>
      <c r="Q181" s="7">
        <v>1415.9</v>
      </c>
      <c r="R181" s="3">
        <f t="shared" si="1"/>
        <v>1415.9</v>
      </c>
    </row>
    <row r="182" ht="22.5" customHeight="1">
      <c r="B182" s="7" t="s">
        <v>169</v>
      </c>
      <c r="C182" s="7">
        <v>2187.0</v>
      </c>
      <c r="D182" s="7">
        <v>21286.0</v>
      </c>
      <c r="E182" s="7">
        <v>8829541.0</v>
      </c>
      <c r="F182" s="7">
        <v>8800768.0</v>
      </c>
      <c r="G182" s="7">
        <v>1.1212335E7</v>
      </c>
      <c r="H182" s="7">
        <v>5.56385695E8</v>
      </c>
      <c r="I182" s="7">
        <v>450542.0</v>
      </c>
      <c r="J182" s="7">
        <v>441346.0</v>
      </c>
      <c r="K182" s="7">
        <v>9196.0</v>
      </c>
      <c r="L182" s="7">
        <v>22.16</v>
      </c>
      <c r="M182" s="7">
        <v>-0.03</v>
      </c>
      <c r="N182" s="7">
        <v>14384.0</v>
      </c>
      <c r="O182" s="7">
        <v>4294713.0</v>
      </c>
      <c r="P182" s="7" t="s">
        <v>410</v>
      </c>
      <c r="Q182" s="7">
        <v>1462.37</v>
      </c>
      <c r="R182" s="3">
        <f t="shared" si="1"/>
        <v>1462.37</v>
      </c>
    </row>
    <row r="183" ht="22.5" customHeight="1">
      <c r="B183" s="7" t="s">
        <v>212</v>
      </c>
      <c r="C183" s="7">
        <v>482548.0</v>
      </c>
      <c r="D183" s="7">
        <v>1368963.0</v>
      </c>
      <c r="E183" s="7">
        <v>4879896.0</v>
      </c>
      <c r="F183" s="7">
        <v>4831714.0</v>
      </c>
      <c r="G183" s="7">
        <v>2.07169231E8</v>
      </c>
      <c r="H183" s="7">
        <v>4.195687648E9</v>
      </c>
      <c r="I183" s="7">
        <v>223787.0</v>
      </c>
      <c r="J183" s="7">
        <v>216100.0</v>
      </c>
      <c r="K183" s="7">
        <v>7687.0</v>
      </c>
      <c r="L183" s="7">
        <v>29.98</v>
      </c>
      <c r="M183" s="7">
        <v>-0.08</v>
      </c>
      <c r="N183" s="7">
        <v>11888.0</v>
      </c>
      <c r="O183" s="7">
        <v>8.1874139E7</v>
      </c>
      <c r="P183" s="7" t="s">
        <v>410</v>
      </c>
      <c r="Q183" s="7">
        <v>1535.7</v>
      </c>
      <c r="R183" s="3">
        <f t="shared" si="1"/>
        <v>1535.7</v>
      </c>
    </row>
    <row r="184" ht="22.5" customHeight="1">
      <c r="B184" s="7" t="s">
        <v>201</v>
      </c>
      <c r="C184" s="7">
        <v>20446.0</v>
      </c>
      <c r="D184" s="7">
        <v>689272.0</v>
      </c>
      <c r="E184" s="7">
        <v>1782431.0</v>
      </c>
      <c r="F184" s="7">
        <v>1739885.0</v>
      </c>
      <c r="G184" s="7">
        <v>3087834.0</v>
      </c>
      <c r="H184" s="7">
        <v>3.522437039E9</v>
      </c>
      <c r="I184" s="7">
        <v>74664.0</v>
      </c>
      <c r="J184" s="7">
        <v>72868.0</v>
      </c>
      <c r="K184" s="7">
        <v>1796.0</v>
      </c>
      <c r="L184" s="7">
        <v>25.31</v>
      </c>
      <c r="M184" s="7">
        <v>-0.08</v>
      </c>
      <c r="N184" s="7">
        <v>2847.0</v>
      </c>
      <c r="O184" s="7">
        <v>1048929.0</v>
      </c>
      <c r="P184" s="7" t="s">
        <v>410</v>
      </c>
      <c r="Q184" s="7">
        <v>1547.34</v>
      </c>
      <c r="R184" s="3">
        <f t="shared" si="1"/>
        <v>1547.34</v>
      </c>
    </row>
    <row r="185" ht="22.5" customHeight="1">
      <c r="B185" s="7" t="s">
        <v>180</v>
      </c>
      <c r="C185" s="7">
        <v>5000.0</v>
      </c>
      <c r="D185" s="7">
        <v>21250.0</v>
      </c>
      <c r="E185" s="7">
        <v>1.0068179E7</v>
      </c>
      <c r="F185" s="7">
        <v>9847658.0</v>
      </c>
      <c r="G185" s="7">
        <v>1.7561067E7</v>
      </c>
      <c r="H185" s="7">
        <v>1.699255869E9</v>
      </c>
      <c r="I185" s="7">
        <v>412074.0</v>
      </c>
      <c r="J185" s="7">
        <v>400960.0</v>
      </c>
      <c r="K185" s="7">
        <v>11114.0</v>
      </c>
      <c r="L185" s="7">
        <v>19.94</v>
      </c>
      <c r="M185" s="7">
        <v>-0.06</v>
      </c>
      <c r="N185" s="7">
        <v>18213.0</v>
      </c>
      <c r="O185" s="7">
        <v>4630140.0</v>
      </c>
      <c r="P185" s="7" t="s">
        <v>410</v>
      </c>
      <c r="Q185" s="7">
        <v>1559.52</v>
      </c>
      <c r="R185" s="3">
        <f t="shared" si="1"/>
        <v>1559.52</v>
      </c>
    </row>
    <row r="186" ht="22.5" customHeight="1">
      <c r="B186" s="7" t="s">
        <v>167</v>
      </c>
      <c r="C186" s="7">
        <v>6658.0</v>
      </c>
      <c r="D186" s="7">
        <v>31909.0</v>
      </c>
      <c r="E186" s="7">
        <v>1804267.0</v>
      </c>
      <c r="F186" s="7">
        <v>1803680.0</v>
      </c>
      <c r="G186" s="7">
        <v>1821255.0</v>
      </c>
      <c r="H186" s="7">
        <v>1.586522265E9</v>
      </c>
      <c r="I186" s="7">
        <v>64507.0</v>
      </c>
      <c r="J186" s="7">
        <v>62734.0</v>
      </c>
      <c r="K186" s="7">
        <v>1773.0</v>
      </c>
      <c r="L186" s="7">
        <v>15.6</v>
      </c>
      <c r="M186" s="7">
        <v>0.0</v>
      </c>
      <c r="N186" s="7">
        <v>2827.0</v>
      </c>
      <c r="O186" s="7">
        <v>955581.0</v>
      </c>
      <c r="P186" s="7" t="s">
        <v>410</v>
      </c>
      <c r="Q186" s="7">
        <v>1590.62</v>
      </c>
      <c r="R186" s="3">
        <f t="shared" si="1"/>
        <v>1590.62</v>
      </c>
    </row>
    <row r="187" ht="22.5" customHeight="1">
      <c r="B187" s="7" t="s">
        <v>186</v>
      </c>
      <c r="C187" s="7">
        <v>189456.0</v>
      </c>
      <c r="D187" s="7">
        <v>835275.0</v>
      </c>
      <c r="E187" s="7">
        <v>2352241.0</v>
      </c>
      <c r="F187" s="7">
        <v>2206545.0</v>
      </c>
      <c r="G187" s="7">
        <v>2.0514831E7</v>
      </c>
      <c r="H187" s="7">
        <v>2.961543532E9</v>
      </c>
      <c r="I187" s="7">
        <v>84948.0</v>
      </c>
      <c r="J187" s="7">
        <v>81802.0</v>
      </c>
      <c r="K187" s="7">
        <v>3146.0</v>
      </c>
      <c r="L187" s="7">
        <v>335.22</v>
      </c>
      <c r="M187" s="7">
        <v>-0.09</v>
      </c>
      <c r="N187" s="7">
        <v>4655.0</v>
      </c>
      <c r="O187" s="7">
        <v>1703847.0</v>
      </c>
      <c r="P187" s="7" t="s">
        <v>409</v>
      </c>
      <c r="Q187" s="7">
        <v>1619.81</v>
      </c>
      <c r="R187" s="3">
        <f t="shared" si="1"/>
        <v>1619.81</v>
      </c>
    </row>
    <row r="188" ht="22.5" customHeight="1">
      <c r="B188" s="7" t="s">
        <v>211</v>
      </c>
      <c r="C188" s="7">
        <v>1046.0</v>
      </c>
      <c r="D188" s="7">
        <v>22804.0</v>
      </c>
      <c r="E188" s="7">
        <v>5066350.0</v>
      </c>
      <c r="F188" s="7">
        <v>5028689.0</v>
      </c>
      <c r="G188" s="7">
        <v>8910110.0</v>
      </c>
      <c r="H188" s="7">
        <v>6.50258974E8</v>
      </c>
      <c r="I188" s="7">
        <v>214297.0</v>
      </c>
      <c r="J188" s="7">
        <v>206421.0</v>
      </c>
      <c r="K188" s="7">
        <v>7876.0</v>
      </c>
      <c r="L188" s="7">
        <v>29.56</v>
      </c>
      <c r="M188" s="7">
        <v>-0.06</v>
      </c>
      <c r="N188" s="7">
        <v>12076.0</v>
      </c>
      <c r="O188" s="7">
        <v>1875653.0</v>
      </c>
      <c r="P188" s="7" t="s">
        <v>409</v>
      </c>
      <c r="Q188" s="7">
        <v>1628.27</v>
      </c>
      <c r="R188" s="3">
        <f t="shared" si="1"/>
        <v>1628.27</v>
      </c>
    </row>
    <row r="189" ht="22.5" customHeight="1">
      <c r="B189" s="7" t="s">
        <v>216</v>
      </c>
      <c r="C189" s="7">
        <v>3220.0</v>
      </c>
      <c r="D189" s="7">
        <v>12314.0</v>
      </c>
      <c r="E189" s="7">
        <v>9649774.0</v>
      </c>
      <c r="F189" s="7">
        <v>9507194.0</v>
      </c>
      <c r="G189" s="7">
        <v>2.8486357E7</v>
      </c>
      <c r="H189" s="7">
        <v>6.67465896E8</v>
      </c>
      <c r="I189" s="7">
        <v>509245.0</v>
      </c>
      <c r="J189" s="7">
        <v>498147.0</v>
      </c>
      <c r="K189" s="7">
        <v>11098.0</v>
      </c>
      <c r="L189" s="7">
        <v>32.82</v>
      </c>
      <c r="M189" s="7">
        <v>-0.1</v>
      </c>
      <c r="N189" s="7">
        <v>17547.0</v>
      </c>
      <c r="O189" s="7">
        <v>4674989.0</v>
      </c>
      <c r="P189" s="7" t="s">
        <v>409</v>
      </c>
      <c r="Q189" s="7">
        <v>1630.19</v>
      </c>
      <c r="R189" s="3">
        <f t="shared" si="1"/>
        <v>1630.19</v>
      </c>
    </row>
    <row r="190" ht="22.5" customHeight="1">
      <c r="B190" s="7" t="s">
        <v>198</v>
      </c>
      <c r="C190" s="7">
        <v>2943830.0</v>
      </c>
      <c r="D190" s="7">
        <v>1.0335595E7</v>
      </c>
      <c r="E190" s="7">
        <v>568026.0</v>
      </c>
      <c r="F190" s="7">
        <v>541330.0</v>
      </c>
      <c r="G190" s="7">
        <v>5154635.0</v>
      </c>
      <c r="H190" s="7">
        <v>3.379119596E9</v>
      </c>
      <c r="I190" s="7">
        <v>28742.0</v>
      </c>
      <c r="J190" s="7">
        <v>28167.0</v>
      </c>
      <c r="K190" s="7">
        <v>575.0</v>
      </c>
      <c r="L190" s="7">
        <v>31.14</v>
      </c>
      <c r="M190" s="7">
        <v>-0.17</v>
      </c>
      <c r="N190" s="7">
        <v>927.0</v>
      </c>
      <c r="O190" s="7">
        <v>1197113.0</v>
      </c>
      <c r="P190" s="7" t="s">
        <v>410</v>
      </c>
      <c r="Q190" s="7">
        <v>1646.11</v>
      </c>
      <c r="R190" s="3">
        <f t="shared" si="1"/>
        <v>1646.11</v>
      </c>
    </row>
    <row r="191" ht="22.5" customHeight="1">
      <c r="B191" s="7" t="s">
        <v>77</v>
      </c>
      <c r="C191" s="7">
        <v>4719.0</v>
      </c>
      <c r="D191" s="7">
        <v>14071.0</v>
      </c>
      <c r="E191" s="7">
        <v>6664674.0</v>
      </c>
      <c r="F191" s="7">
        <v>6593244.0</v>
      </c>
      <c r="G191" s="7">
        <v>1.0568261E7</v>
      </c>
      <c r="H191" s="7">
        <v>7.86082312E8</v>
      </c>
      <c r="I191" s="7">
        <v>338691.0</v>
      </c>
      <c r="J191" s="7">
        <v>330909.0</v>
      </c>
      <c r="K191" s="7">
        <v>7782.0</v>
      </c>
      <c r="L191" s="7">
        <v>39.15</v>
      </c>
      <c r="M191" s="7">
        <v>-0.05</v>
      </c>
      <c r="N191" s="7">
        <v>11982.0</v>
      </c>
      <c r="O191" s="7">
        <v>3118340.0</v>
      </c>
      <c r="P191" s="7" t="s">
        <v>410</v>
      </c>
      <c r="Q191" s="7">
        <v>1646.67</v>
      </c>
      <c r="R191" s="3">
        <f t="shared" si="1"/>
        <v>1646.67</v>
      </c>
    </row>
    <row r="192" ht="22.5" customHeight="1">
      <c r="B192" s="7" t="s">
        <v>176</v>
      </c>
      <c r="C192" s="7">
        <v>3831.0</v>
      </c>
      <c r="D192" s="7">
        <v>15062.0</v>
      </c>
      <c r="E192" s="7">
        <v>4826038.0</v>
      </c>
      <c r="F192" s="7">
        <v>4759323.0</v>
      </c>
      <c r="G192" s="7">
        <v>8905657.0</v>
      </c>
      <c r="H192" s="7">
        <v>5.50972757E8</v>
      </c>
      <c r="I192" s="7">
        <v>202733.0</v>
      </c>
      <c r="J192" s="7">
        <v>195961.0</v>
      </c>
      <c r="K192" s="7">
        <v>6772.0</v>
      </c>
      <c r="L192" s="7">
        <v>38.51</v>
      </c>
      <c r="M192" s="7">
        <v>-0.07</v>
      </c>
      <c r="N192" s="7">
        <v>10978.0</v>
      </c>
      <c r="O192" s="7">
        <v>1650952.0</v>
      </c>
      <c r="P192" s="7" t="s">
        <v>409</v>
      </c>
      <c r="Q192" s="7">
        <v>1702.47</v>
      </c>
      <c r="R192" s="3">
        <f t="shared" si="1"/>
        <v>1702.47</v>
      </c>
    </row>
    <row r="193" ht="22.5" customHeight="1">
      <c r="B193" s="7" t="s">
        <v>248</v>
      </c>
      <c r="C193" s="7">
        <v>895721.0</v>
      </c>
      <c r="D193" s="7">
        <v>1.7648874E7</v>
      </c>
      <c r="E193" s="7">
        <v>995002.0</v>
      </c>
      <c r="F193" s="7">
        <v>969261.0</v>
      </c>
      <c r="G193" s="7">
        <v>2830898.0</v>
      </c>
      <c r="H193" s="7">
        <v>1.788085626E9</v>
      </c>
      <c r="I193" s="7">
        <v>28171.0</v>
      </c>
      <c r="J193" s="7">
        <v>26275.0</v>
      </c>
      <c r="K193" s="7">
        <v>1896.0</v>
      </c>
      <c r="L193" s="7">
        <v>23.75</v>
      </c>
      <c r="M193" s="7">
        <v>-0.1</v>
      </c>
      <c r="N193" s="7">
        <v>2904.0</v>
      </c>
      <c r="O193" s="7">
        <v>526224.0</v>
      </c>
      <c r="P193" s="7" t="s">
        <v>409</v>
      </c>
      <c r="Q193" s="7">
        <v>1753.31</v>
      </c>
      <c r="R193" s="3">
        <f t="shared" si="1"/>
        <v>1753.31</v>
      </c>
    </row>
    <row r="194" ht="22.5" customHeight="1">
      <c r="B194" s="7" t="s">
        <v>213</v>
      </c>
      <c r="C194" s="7">
        <v>17850.0</v>
      </c>
      <c r="D194" s="7">
        <v>149132.0</v>
      </c>
      <c r="E194" s="7">
        <v>7959589.0</v>
      </c>
      <c r="F194" s="7">
        <v>7849245.0</v>
      </c>
      <c r="G194" s="7">
        <v>1.1266114E7</v>
      </c>
      <c r="H194" s="7">
        <v>3.938647419E9</v>
      </c>
      <c r="I194" s="7">
        <v>363021.0</v>
      </c>
      <c r="J194" s="7">
        <v>355446.0</v>
      </c>
      <c r="K194" s="7">
        <v>7575.0</v>
      </c>
      <c r="L194" s="7">
        <v>17.43</v>
      </c>
      <c r="M194" s="7">
        <v>-0.07</v>
      </c>
      <c r="N194" s="7">
        <v>11773.0</v>
      </c>
      <c r="O194" s="7">
        <v>4395804.0</v>
      </c>
      <c r="P194" s="7" t="s">
        <v>410</v>
      </c>
      <c r="Q194" s="7">
        <v>1757.33</v>
      </c>
      <c r="R194" s="3">
        <f t="shared" si="1"/>
        <v>1757.33</v>
      </c>
    </row>
    <row r="195" ht="22.5" customHeight="1">
      <c r="B195" s="7" t="s">
        <v>252</v>
      </c>
      <c r="C195" s="7">
        <v>3066.0</v>
      </c>
      <c r="D195" s="7">
        <v>59739.0</v>
      </c>
      <c r="E195" s="7">
        <v>5880240.0</v>
      </c>
      <c r="F195" s="7">
        <v>5809024.0</v>
      </c>
      <c r="G195" s="7">
        <v>9154692.0</v>
      </c>
      <c r="H195" s="7">
        <v>1.116210463E9</v>
      </c>
      <c r="I195" s="7">
        <v>243474.0</v>
      </c>
      <c r="J195" s="7">
        <v>236681.0</v>
      </c>
      <c r="K195" s="7">
        <v>6793.0</v>
      </c>
      <c r="L195" s="7">
        <v>20.18</v>
      </c>
      <c r="M195" s="7">
        <v>-0.06</v>
      </c>
      <c r="N195" s="7">
        <v>10998.0</v>
      </c>
      <c r="O195" s="7">
        <v>2519329.0</v>
      </c>
      <c r="P195" s="7" t="s">
        <v>410</v>
      </c>
      <c r="Q195" s="7">
        <v>1792.42</v>
      </c>
      <c r="R195" s="3">
        <f t="shared" si="1"/>
        <v>1792.42</v>
      </c>
    </row>
    <row r="196" ht="22.5" customHeight="1">
      <c r="B196" s="7" t="s">
        <v>179</v>
      </c>
      <c r="C196" s="7">
        <v>381708.0</v>
      </c>
      <c r="D196" s="7">
        <v>1619095.0</v>
      </c>
      <c r="E196" s="7">
        <v>599557.0</v>
      </c>
      <c r="F196" s="7">
        <v>488101.0</v>
      </c>
      <c r="G196" s="7">
        <v>5016304.0</v>
      </c>
      <c r="H196" s="7">
        <v>4.738153606E9</v>
      </c>
      <c r="I196" s="7">
        <v>18996.0</v>
      </c>
      <c r="J196" s="7">
        <v>18175.0</v>
      </c>
      <c r="K196" s="7">
        <v>821.0</v>
      </c>
      <c r="L196" s="7">
        <v>263.06</v>
      </c>
      <c r="M196" s="7">
        <v>-0.11</v>
      </c>
      <c r="N196" s="7">
        <v>1216.0</v>
      </c>
      <c r="O196" s="7">
        <v>643133.0</v>
      </c>
      <c r="P196" s="7" t="s">
        <v>409</v>
      </c>
      <c r="Q196" s="7">
        <v>1834.77</v>
      </c>
      <c r="R196" s="3">
        <f t="shared" si="1"/>
        <v>1834.77</v>
      </c>
    </row>
    <row r="197" ht="22.5" customHeight="1">
      <c r="B197" s="7" t="s">
        <v>193</v>
      </c>
      <c r="C197" s="7">
        <v>10675.0</v>
      </c>
      <c r="D197" s="7">
        <v>84849.0</v>
      </c>
      <c r="E197" s="7">
        <v>4482802.0</v>
      </c>
      <c r="F197" s="7">
        <v>4400318.0</v>
      </c>
      <c r="G197" s="7">
        <v>6801082.0</v>
      </c>
      <c r="H197" s="7">
        <v>1.059756296E9</v>
      </c>
      <c r="I197" s="7">
        <v>107465.0</v>
      </c>
      <c r="J197" s="7">
        <v>100124.0</v>
      </c>
      <c r="K197" s="7">
        <v>7341.0</v>
      </c>
      <c r="L197" s="7">
        <v>30.71</v>
      </c>
      <c r="M197" s="7">
        <v>-0.04</v>
      </c>
      <c r="N197" s="7">
        <v>11530.0</v>
      </c>
      <c r="O197" s="7">
        <v>1772267.0</v>
      </c>
      <c r="P197" s="7" t="s">
        <v>410</v>
      </c>
      <c r="Q197" s="7">
        <v>1849.83</v>
      </c>
      <c r="R197" s="3">
        <f t="shared" si="1"/>
        <v>1849.83</v>
      </c>
    </row>
    <row r="198" ht="22.5" customHeight="1">
      <c r="B198" s="7" t="s">
        <v>203</v>
      </c>
      <c r="C198" s="7">
        <v>172.0</v>
      </c>
      <c r="D198" s="7">
        <v>832.0</v>
      </c>
      <c r="E198" s="7">
        <v>1.1264205E7</v>
      </c>
      <c r="F198" s="7">
        <v>1.1206987E7</v>
      </c>
      <c r="G198" s="7">
        <v>1.3846403E7</v>
      </c>
      <c r="H198" s="7">
        <v>2.56175293E8</v>
      </c>
      <c r="I198" s="7">
        <v>439430.0</v>
      </c>
      <c r="J198" s="7">
        <v>424807.0</v>
      </c>
      <c r="K198" s="7">
        <v>14623.0</v>
      </c>
      <c r="L198" s="7">
        <v>18.97</v>
      </c>
      <c r="M198" s="7">
        <v>-0.03</v>
      </c>
      <c r="N198" s="7">
        <v>23564.0</v>
      </c>
      <c r="O198" s="7">
        <v>4377034.0</v>
      </c>
      <c r="P198" s="7" t="s">
        <v>410</v>
      </c>
      <c r="Q198" s="7">
        <v>1859.22</v>
      </c>
      <c r="R198" s="3">
        <f t="shared" si="1"/>
        <v>1859.22</v>
      </c>
    </row>
    <row r="199" ht="22.5" customHeight="1">
      <c r="B199" s="7" t="s">
        <v>188</v>
      </c>
      <c r="C199" s="7">
        <v>559571.0</v>
      </c>
      <c r="D199" s="7">
        <v>1.0144966E7</v>
      </c>
      <c r="E199" s="7">
        <v>695612.0</v>
      </c>
      <c r="F199" s="7">
        <v>530203.0</v>
      </c>
      <c r="G199" s="7">
        <v>5772717.0</v>
      </c>
      <c r="H199" s="7">
        <v>4.607084903E9</v>
      </c>
      <c r="I199" s="7">
        <v>6462.0</v>
      </c>
      <c r="J199" s="7">
        <v>5287.0</v>
      </c>
      <c r="K199" s="7">
        <v>1175.0</v>
      </c>
      <c r="L199" s="7">
        <v>1463.43</v>
      </c>
      <c r="M199" s="7">
        <v>-0.05</v>
      </c>
      <c r="N199" s="7">
        <v>1700.0</v>
      </c>
      <c r="O199" s="7">
        <v>1302647.0</v>
      </c>
      <c r="P199" s="7" t="s">
        <v>410</v>
      </c>
      <c r="Q199" s="7">
        <v>1881.3</v>
      </c>
      <c r="R199" s="3">
        <f t="shared" si="1"/>
        <v>1881.3</v>
      </c>
    </row>
    <row r="200" ht="22.5" customHeight="1">
      <c r="B200" s="7" t="s">
        <v>205</v>
      </c>
      <c r="C200" s="7">
        <v>2187.0</v>
      </c>
      <c r="D200" s="7">
        <v>21358.0</v>
      </c>
      <c r="E200" s="7">
        <v>1.1710403E7</v>
      </c>
      <c r="F200" s="7">
        <v>1.1673533E7</v>
      </c>
      <c r="G200" s="7">
        <v>1.4681015E7</v>
      </c>
      <c r="H200" s="7">
        <v>7.20823966E8</v>
      </c>
      <c r="I200" s="7">
        <v>450118.0</v>
      </c>
      <c r="J200" s="7">
        <v>433432.0</v>
      </c>
      <c r="K200" s="7">
        <v>16686.0</v>
      </c>
      <c r="L200" s="7">
        <v>23.77</v>
      </c>
      <c r="M200" s="7">
        <v>-0.03</v>
      </c>
      <c r="N200" s="7">
        <v>26311.0</v>
      </c>
      <c r="O200" s="7">
        <v>4317282.0</v>
      </c>
      <c r="P200" s="7" t="s">
        <v>409</v>
      </c>
      <c r="Q200" s="7">
        <v>1891.9</v>
      </c>
      <c r="R200" s="3">
        <f t="shared" si="1"/>
        <v>1891.9</v>
      </c>
    </row>
    <row r="201" ht="22.5" customHeight="1">
      <c r="B201" s="7" t="s">
        <v>226</v>
      </c>
      <c r="C201" s="7">
        <v>508510.0</v>
      </c>
      <c r="D201" s="7">
        <v>1464738.0</v>
      </c>
      <c r="E201" s="7">
        <v>1680736.0</v>
      </c>
      <c r="F201" s="7">
        <v>1658057.0</v>
      </c>
      <c r="G201" s="7">
        <v>4.01657347E8</v>
      </c>
      <c r="H201" s="7">
        <v>4.014064061E9</v>
      </c>
      <c r="I201" s="7">
        <v>73984.0</v>
      </c>
      <c r="J201" s="7">
        <v>72611.0</v>
      </c>
      <c r="K201" s="7">
        <v>1373.0</v>
      </c>
      <c r="L201" s="7">
        <v>28.6</v>
      </c>
      <c r="M201" s="7">
        <v>-0.16</v>
      </c>
      <c r="N201" s="7">
        <v>2428.0</v>
      </c>
      <c r="O201" s="7">
        <v>2.38665201E8</v>
      </c>
      <c r="P201" s="7" t="s">
        <v>410</v>
      </c>
      <c r="Q201" s="7">
        <v>1918.55</v>
      </c>
      <c r="R201" s="3">
        <f t="shared" si="1"/>
        <v>1918.55</v>
      </c>
    </row>
    <row r="202" ht="22.5" customHeight="1">
      <c r="B202" s="7" t="s">
        <v>215</v>
      </c>
      <c r="C202" s="7">
        <v>15232.0</v>
      </c>
      <c r="D202" s="7">
        <v>147245.0</v>
      </c>
      <c r="E202" s="7">
        <v>8367670.0</v>
      </c>
      <c r="F202" s="7">
        <v>8250896.0</v>
      </c>
      <c r="G202" s="7">
        <v>1.1909067E7</v>
      </c>
      <c r="H202" s="7">
        <v>3.897821618E9</v>
      </c>
      <c r="I202" s="7">
        <v>381506.0</v>
      </c>
      <c r="J202" s="7">
        <v>373416.0</v>
      </c>
      <c r="K202" s="7">
        <v>8090.0</v>
      </c>
      <c r="L202" s="7">
        <v>17.32</v>
      </c>
      <c r="M202" s="7">
        <v>-0.07</v>
      </c>
      <c r="N202" s="7">
        <v>12561.0</v>
      </c>
      <c r="O202" s="7">
        <v>4581593.0</v>
      </c>
      <c r="P202" s="7" t="s">
        <v>410</v>
      </c>
      <c r="Q202" s="7">
        <v>1929.42</v>
      </c>
      <c r="R202" s="3">
        <f t="shared" si="1"/>
        <v>1929.42</v>
      </c>
    </row>
    <row r="203" ht="22.5" customHeight="1">
      <c r="B203" s="7" t="s">
        <v>112</v>
      </c>
      <c r="C203" s="7">
        <v>720.0</v>
      </c>
      <c r="D203" s="7">
        <v>58758.0</v>
      </c>
      <c r="E203" s="7">
        <v>4826140.0</v>
      </c>
      <c r="F203" s="7">
        <v>4738667.0</v>
      </c>
      <c r="G203" s="7">
        <v>6425709.0</v>
      </c>
      <c r="H203" s="7">
        <v>2.60275202E8</v>
      </c>
      <c r="I203" s="7">
        <v>153129.0</v>
      </c>
      <c r="J203" s="7">
        <v>144171.0</v>
      </c>
      <c r="K203" s="7">
        <v>8958.0</v>
      </c>
      <c r="L203" s="7">
        <v>110.18</v>
      </c>
      <c r="M203" s="7">
        <v>-0.03</v>
      </c>
      <c r="N203" s="7">
        <v>13131.0</v>
      </c>
      <c r="O203" s="7">
        <v>1956591.0</v>
      </c>
      <c r="P203" s="7" t="s">
        <v>410</v>
      </c>
      <c r="Q203" s="7">
        <v>2045.13</v>
      </c>
      <c r="R203" s="3">
        <f t="shared" si="1"/>
        <v>2045.13</v>
      </c>
    </row>
    <row r="204" ht="22.5" customHeight="1">
      <c r="B204" s="7" t="s">
        <v>187</v>
      </c>
      <c r="C204" s="7">
        <v>39547.0</v>
      </c>
      <c r="D204" s="7">
        <v>130954.0</v>
      </c>
      <c r="E204" s="7">
        <v>1.1593567E7</v>
      </c>
      <c r="F204" s="7">
        <v>1.1374961E7</v>
      </c>
      <c r="G204" s="7">
        <v>1.62943371E8</v>
      </c>
      <c r="H204" s="7">
        <v>1.401710973E9</v>
      </c>
      <c r="I204" s="7">
        <v>425904.0</v>
      </c>
      <c r="J204" s="7">
        <v>409330.0</v>
      </c>
      <c r="K204" s="7">
        <v>16574.0</v>
      </c>
      <c r="L204" s="7">
        <v>28.84</v>
      </c>
      <c r="M204" s="7">
        <v>-0.16</v>
      </c>
      <c r="N204" s="7">
        <v>26011.0</v>
      </c>
      <c r="O204" s="7">
        <v>2.6050893E7</v>
      </c>
      <c r="P204" s="7" t="s">
        <v>409</v>
      </c>
      <c r="Q204" s="7">
        <v>2084.92</v>
      </c>
      <c r="R204" s="3">
        <f t="shared" si="1"/>
        <v>2084.92</v>
      </c>
    </row>
    <row r="205" ht="22.5" customHeight="1">
      <c r="B205" s="7" t="s">
        <v>171</v>
      </c>
      <c r="C205" s="7">
        <v>6658.0</v>
      </c>
      <c r="D205" s="7">
        <v>31911.0</v>
      </c>
      <c r="E205" s="7">
        <v>2794774.0</v>
      </c>
      <c r="F205" s="7">
        <v>2794318.0</v>
      </c>
      <c r="G205" s="7">
        <v>2806152.0</v>
      </c>
      <c r="H205" s="7">
        <v>2.235290342E9</v>
      </c>
      <c r="I205" s="7">
        <v>91157.0</v>
      </c>
      <c r="J205" s="7">
        <v>87637.0</v>
      </c>
      <c r="K205" s="7">
        <v>3520.0</v>
      </c>
      <c r="L205" s="7">
        <v>19.25</v>
      </c>
      <c r="M205" s="7">
        <v>0.0</v>
      </c>
      <c r="N205" s="7">
        <v>5730.0</v>
      </c>
      <c r="O205" s="7">
        <v>1119070.0</v>
      </c>
      <c r="P205" s="7" t="s">
        <v>409</v>
      </c>
      <c r="Q205" s="7">
        <v>2116.13</v>
      </c>
      <c r="R205" s="3">
        <f t="shared" si="1"/>
        <v>2116.13</v>
      </c>
    </row>
    <row r="206" ht="22.5" customHeight="1">
      <c r="B206" s="7" t="s">
        <v>307</v>
      </c>
      <c r="C206" s="7">
        <v>51315.0</v>
      </c>
      <c r="D206" s="7">
        <v>485537.0</v>
      </c>
      <c r="E206" s="7">
        <v>7431771.0</v>
      </c>
      <c r="F206" s="7">
        <v>7212298.0</v>
      </c>
      <c r="G206" s="7">
        <v>1.900316E7</v>
      </c>
      <c r="H206" s="7">
        <v>1.698367762E9</v>
      </c>
      <c r="I206" s="7">
        <v>348204.0</v>
      </c>
      <c r="J206" s="7">
        <v>340359.0</v>
      </c>
      <c r="K206" s="7">
        <v>7845.0</v>
      </c>
      <c r="L206" s="7">
        <v>24.7</v>
      </c>
      <c r="M206" s="7">
        <v>-0.11</v>
      </c>
      <c r="N206" s="7">
        <v>12041.0</v>
      </c>
      <c r="O206" s="7">
        <v>5522861.0</v>
      </c>
      <c r="P206" s="7" t="s">
        <v>410</v>
      </c>
      <c r="Q206" s="7">
        <v>2141.29</v>
      </c>
      <c r="R206" s="3">
        <f t="shared" si="1"/>
        <v>2141.29</v>
      </c>
    </row>
    <row r="207" ht="22.5" customHeight="1">
      <c r="B207" s="7" t="s">
        <v>250</v>
      </c>
      <c r="C207" s="7">
        <v>2187.0</v>
      </c>
      <c r="D207" s="7">
        <v>21364.0</v>
      </c>
      <c r="E207" s="7">
        <v>1.3525953E7</v>
      </c>
      <c r="F207" s="7">
        <v>1.3484743E7</v>
      </c>
      <c r="G207" s="7">
        <v>1.6220064E7</v>
      </c>
      <c r="H207" s="7">
        <v>8.76751097E8</v>
      </c>
      <c r="I207" s="7">
        <v>463389.0</v>
      </c>
      <c r="J207" s="7">
        <v>441681.0</v>
      </c>
      <c r="K207" s="7">
        <v>21708.0</v>
      </c>
      <c r="L207" s="7">
        <v>22.79</v>
      </c>
      <c r="M207" s="7">
        <v>-0.02</v>
      </c>
      <c r="N207" s="7">
        <v>34125.0</v>
      </c>
      <c r="O207" s="7">
        <v>4294615.0</v>
      </c>
      <c r="P207" s="7" t="s">
        <v>410</v>
      </c>
      <c r="Q207" s="7">
        <v>2244.07</v>
      </c>
      <c r="R207" s="3">
        <f t="shared" si="1"/>
        <v>2244.07</v>
      </c>
    </row>
    <row r="208" ht="22.5" customHeight="1">
      <c r="B208" s="7" t="s">
        <v>381</v>
      </c>
      <c r="C208" s="7">
        <v>3220.0</v>
      </c>
      <c r="D208" s="7">
        <v>12314.0</v>
      </c>
      <c r="E208" s="7">
        <v>1.0210705E7</v>
      </c>
      <c r="F208" s="7">
        <v>1.0058781E7</v>
      </c>
      <c r="G208" s="7">
        <v>2.8849699E7</v>
      </c>
      <c r="H208" s="7">
        <v>7.15373932E8</v>
      </c>
      <c r="I208" s="7">
        <v>474943.0</v>
      </c>
      <c r="J208" s="7">
        <v>462452.0</v>
      </c>
      <c r="K208" s="7">
        <v>12491.0</v>
      </c>
      <c r="L208" s="7">
        <v>33.91</v>
      </c>
      <c r="M208" s="7">
        <v>-0.09</v>
      </c>
      <c r="N208" s="7">
        <v>19802.0</v>
      </c>
      <c r="O208" s="7">
        <v>4878784.0</v>
      </c>
      <c r="P208" s="7" t="s">
        <v>409</v>
      </c>
      <c r="Q208" s="7">
        <v>2251.75</v>
      </c>
      <c r="R208" s="3">
        <f t="shared" si="1"/>
        <v>2251.75</v>
      </c>
    </row>
    <row r="209" ht="22.5" customHeight="1">
      <c r="B209" s="7" t="s">
        <v>137</v>
      </c>
      <c r="C209" s="7">
        <v>3105.0</v>
      </c>
      <c r="D209" s="7">
        <v>9242.0</v>
      </c>
      <c r="E209" s="7">
        <v>7863084.0</v>
      </c>
      <c r="F209" s="7">
        <v>7785364.0</v>
      </c>
      <c r="G209" s="7">
        <v>1.1596842E7</v>
      </c>
      <c r="H209" s="7">
        <v>7.77900276E8</v>
      </c>
      <c r="I209" s="7">
        <v>459499.0</v>
      </c>
      <c r="J209" s="7">
        <v>451965.0</v>
      </c>
      <c r="K209" s="7">
        <v>7534.0</v>
      </c>
      <c r="L209" s="7">
        <v>35.65</v>
      </c>
      <c r="M209" s="7">
        <v>-0.05</v>
      </c>
      <c r="N209" s="7">
        <v>11735.0</v>
      </c>
      <c r="O209" s="7">
        <v>3995423.0</v>
      </c>
      <c r="P209" s="7" t="s">
        <v>410</v>
      </c>
      <c r="Q209" s="7">
        <v>2280.4</v>
      </c>
      <c r="R209" s="3">
        <f t="shared" si="1"/>
        <v>2280.4</v>
      </c>
    </row>
    <row r="210" ht="22.5" customHeight="1">
      <c r="B210" s="7" t="s">
        <v>225</v>
      </c>
      <c r="C210" s="7">
        <v>2721.0</v>
      </c>
      <c r="D210" s="7">
        <v>11396.0</v>
      </c>
      <c r="E210" s="7">
        <v>4932615.0</v>
      </c>
      <c r="F210" s="7">
        <v>4865760.0</v>
      </c>
      <c r="G210" s="7">
        <v>9160261.0</v>
      </c>
      <c r="H210" s="7">
        <v>5.87004058E8</v>
      </c>
      <c r="I210" s="7">
        <v>210460.0</v>
      </c>
      <c r="J210" s="7">
        <v>203586.0</v>
      </c>
      <c r="K210" s="7">
        <v>6874.0</v>
      </c>
      <c r="L210" s="7">
        <v>37.96</v>
      </c>
      <c r="M210" s="7">
        <v>-0.07</v>
      </c>
      <c r="N210" s="7">
        <v>11080.0</v>
      </c>
      <c r="O210" s="7">
        <v>1740934.0</v>
      </c>
      <c r="P210" s="7" t="s">
        <v>409</v>
      </c>
      <c r="Q210" s="7">
        <v>2354.1</v>
      </c>
      <c r="R210" s="3">
        <f t="shared" si="1"/>
        <v>2354.1</v>
      </c>
    </row>
    <row r="211" ht="22.5" customHeight="1">
      <c r="B211" s="7" t="s">
        <v>185</v>
      </c>
      <c r="C211" s="7">
        <v>3426.0</v>
      </c>
      <c r="D211" s="7">
        <v>15230.0</v>
      </c>
      <c r="E211" s="7">
        <v>1.2616392E7</v>
      </c>
      <c r="F211" s="7">
        <v>1.2615993E7</v>
      </c>
      <c r="G211" s="7">
        <v>1.2648343E7</v>
      </c>
      <c r="H211" s="7">
        <v>3.534127598E9</v>
      </c>
      <c r="I211" s="7">
        <v>320119.0</v>
      </c>
      <c r="J211" s="7">
        <v>301750.0</v>
      </c>
      <c r="K211" s="7">
        <v>18369.0</v>
      </c>
      <c r="L211" s="7">
        <v>17.44</v>
      </c>
      <c r="M211" s="7">
        <v>0.0</v>
      </c>
      <c r="N211" s="7">
        <v>29399.0</v>
      </c>
      <c r="O211" s="7">
        <v>4664116.0</v>
      </c>
      <c r="P211" s="7" t="s">
        <v>409</v>
      </c>
      <c r="Q211" s="7">
        <v>2357.15</v>
      </c>
      <c r="R211" s="3">
        <f t="shared" si="1"/>
        <v>2357.15</v>
      </c>
    </row>
    <row r="212" ht="22.5" customHeight="1">
      <c r="B212" s="7" t="s">
        <v>147</v>
      </c>
      <c r="C212" s="7">
        <v>252328.0</v>
      </c>
      <c r="D212" s="7">
        <v>1169843.0</v>
      </c>
      <c r="E212" s="7">
        <v>2611059.0</v>
      </c>
      <c r="F212" s="7">
        <v>2463482.0</v>
      </c>
      <c r="G212" s="7">
        <v>2.6558849E7</v>
      </c>
      <c r="H212" s="7">
        <v>4.616379905E9</v>
      </c>
      <c r="I212" s="7">
        <v>99021.0</v>
      </c>
      <c r="J212" s="7">
        <v>95063.0</v>
      </c>
      <c r="K212" s="7">
        <v>3958.0</v>
      </c>
      <c r="L212" s="7">
        <v>291.74</v>
      </c>
      <c r="M212" s="7">
        <v>-0.1</v>
      </c>
      <c r="N212" s="7">
        <v>5866.0</v>
      </c>
      <c r="O212" s="7">
        <v>2000294.0</v>
      </c>
      <c r="P212" s="7" t="s">
        <v>409</v>
      </c>
      <c r="Q212" s="7">
        <v>2416.98</v>
      </c>
      <c r="R212" s="3">
        <f t="shared" si="1"/>
        <v>2416.98</v>
      </c>
    </row>
    <row r="213" ht="22.5" customHeight="1">
      <c r="B213" s="7" t="s">
        <v>253</v>
      </c>
      <c r="C213" s="7">
        <v>76006.0</v>
      </c>
      <c r="D213" s="7">
        <v>3192315.0</v>
      </c>
      <c r="E213" s="7">
        <v>1110947.0</v>
      </c>
      <c r="F213" s="7">
        <v>1081583.0</v>
      </c>
      <c r="G213" s="7">
        <v>1909391.0</v>
      </c>
      <c r="H213" s="7">
        <v>5.43077679E9</v>
      </c>
      <c r="I213" s="7">
        <v>29733.0</v>
      </c>
      <c r="J213" s="7">
        <v>27969.0</v>
      </c>
      <c r="K213" s="7">
        <v>1764.0</v>
      </c>
      <c r="L213" s="7">
        <v>26.27</v>
      </c>
      <c r="M213" s="7">
        <v>-0.07</v>
      </c>
      <c r="N213" s="7">
        <v>2815.0</v>
      </c>
      <c r="O213" s="7">
        <v>481046.0</v>
      </c>
      <c r="P213" s="7" t="s">
        <v>410</v>
      </c>
      <c r="Q213" s="7">
        <v>2450.72</v>
      </c>
      <c r="R213" s="3">
        <f t="shared" si="1"/>
        <v>2450.72</v>
      </c>
    </row>
    <row r="214" ht="22.5" customHeight="1">
      <c r="B214" s="7" t="s">
        <v>257</v>
      </c>
      <c r="C214" s="7">
        <v>569318.0</v>
      </c>
      <c r="D214" s="7">
        <v>1484813.0</v>
      </c>
      <c r="E214" s="7">
        <v>5756270.0</v>
      </c>
      <c r="F214" s="7">
        <v>5540669.0</v>
      </c>
      <c r="G214" s="7">
        <v>3.7369822E7</v>
      </c>
      <c r="H214" s="7">
        <v>3.595731029E9</v>
      </c>
      <c r="I214" s="7">
        <v>301606.0</v>
      </c>
      <c r="J214" s="7">
        <v>293787.0</v>
      </c>
      <c r="K214" s="7">
        <v>7819.0</v>
      </c>
      <c r="L214" s="7">
        <v>35.39</v>
      </c>
      <c r="M214" s="7">
        <v>-0.13</v>
      </c>
      <c r="N214" s="7">
        <v>12010.0</v>
      </c>
      <c r="O214" s="7">
        <v>7182201.0</v>
      </c>
      <c r="P214" s="7" t="s">
        <v>410</v>
      </c>
      <c r="Q214" s="7">
        <v>2468.18</v>
      </c>
      <c r="R214" s="3">
        <f t="shared" si="1"/>
        <v>2468.18</v>
      </c>
    </row>
    <row r="215" ht="22.5" customHeight="1">
      <c r="B215" s="7" t="s">
        <v>191</v>
      </c>
      <c r="C215" s="7">
        <v>137472.0</v>
      </c>
      <c r="D215" s="7">
        <v>810768.0</v>
      </c>
      <c r="E215" s="7">
        <v>1.0874872E7</v>
      </c>
      <c r="F215" s="7">
        <v>1.079854E7</v>
      </c>
      <c r="G215" s="7">
        <v>1.5679514E7</v>
      </c>
      <c r="H215" s="7">
        <v>3.40335754E8</v>
      </c>
      <c r="I215" s="7">
        <v>251153.0</v>
      </c>
      <c r="J215" s="7">
        <v>238305.0</v>
      </c>
      <c r="K215" s="7">
        <v>12848.0</v>
      </c>
      <c r="L215" s="7">
        <v>22.43</v>
      </c>
      <c r="M215" s="7">
        <v>-0.06</v>
      </c>
      <c r="N215" s="7">
        <v>21191.0</v>
      </c>
      <c r="O215" s="7">
        <v>5369210.0</v>
      </c>
      <c r="P215" s="7" t="s">
        <v>409</v>
      </c>
      <c r="Q215" s="7">
        <v>2504.45</v>
      </c>
      <c r="R215" s="3">
        <f t="shared" si="1"/>
        <v>2504.45</v>
      </c>
    </row>
    <row r="216" ht="22.5" customHeight="1">
      <c r="B216" s="7" t="s">
        <v>269</v>
      </c>
      <c r="C216" s="7">
        <v>88289.0</v>
      </c>
      <c r="D216" s="7">
        <v>4187682.0</v>
      </c>
      <c r="E216" s="7">
        <v>4503713.0</v>
      </c>
      <c r="F216" s="7">
        <v>4329852.0</v>
      </c>
      <c r="G216" s="7">
        <v>3.7697058E7</v>
      </c>
      <c r="H216" s="7">
        <v>6.987256041E9</v>
      </c>
      <c r="I216" s="7">
        <v>120466.0</v>
      </c>
      <c r="J216" s="7">
        <v>112530.0</v>
      </c>
      <c r="K216" s="7">
        <v>7936.0</v>
      </c>
      <c r="L216" s="7">
        <v>147.48</v>
      </c>
      <c r="M216" s="7">
        <v>-0.09</v>
      </c>
      <c r="N216" s="7">
        <v>12125.0</v>
      </c>
      <c r="O216" s="7">
        <v>1.0168379E7</v>
      </c>
      <c r="P216" s="7" t="s">
        <v>410</v>
      </c>
      <c r="Q216" s="7">
        <v>2671.64</v>
      </c>
      <c r="R216" s="3">
        <f t="shared" si="1"/>
        <v>2671.64</v>
      </c>
    </row>
    <row r="217" ht="22.5" customHeight="1">
      <c r="B217" s="7" t="s">
        <v>260</v>
      </c>
      <c r="C217" s="7">
        <v>123133.0</v>
      </c>
      <c r="D217" s="7">
        <v>796517.0</v>
      </c>
      <c r="E217" s="7">
        <v>964704.0</v>
      </c>
      <c r="F217" s="7">
        <v>929759.0</v>
      </c>
      <c r="G217" s="7">
        <v>3275835.0</v>
      </c>
      <c r="H217" s="7">
        <v>2.064123781E9</v>
      </c>
      <c r="I217" s="7">
        <v>29053.0</v>
      </c>
      <c r="J217" s="7">
        <v>27271.0</v>
      </c>
      <c r="K217" s="7">
        <v>1782.0</v>
      </c>
      <c r="L217" s="7">
        <v>85.38</v>
      </c>
      <c r="M217" s="7">
        <v>-0.11</v>
      </c>
      <c r="N217" s="7">
        <v>2743.0</v>
      </c>
      <c r="O217" s="7">
        <v>491100.0</v>
      </c>
      <c r="P217" s="7" t="s">
        <v>409</v>
      </c>
      <c r="Q217" s="7">
        <v>2680.44</v>
      </c>
      <c r="R217" s="3">
        <f t="shared" si="1"/>
        <v>2680.44</v>
      </c>
    </row>
    <row r="218" ht="22.5" customHeight="1">
      <c r="B218" s="7" t="s">
        <v>200</v>
      </c>
      <c r="C218" s="7">
        <v>1376707.0</v>
      </c>
      <c r="D218" s="7">
        <v>5351985.0</v>
      </c>
      <c r="E218" s="7">
        <v>1479548.0</v>
      </c>
      <c r="F218" s="7">
        <v>1436145.0</v>
      </c>
      <c r="G218" s="7">
        <v>6451660.0</v>
      </c>
      <c r="H218" s="7">
        <v>5.111179749E9</v>
      </c>
      <c r="I218" s="7">
        <v>94865.0</v>
      </c>
      <c r="J218" s="7">
        <v>92900.0</v>
      </c>
      <c r="K218" s="7">
        <v>1965.0</v>
      </c>
      <c r="L218" s="7">
        <v>48.98</v>
      </c>
      <c r="M218" s="7">
        <v>-0.16</v>
      </c>
      <c r="N218" s="7">
        <v>3014.0</v>
      </c>
      <c r="O218" s="7">
        <v>1109678.0</v>
      </c>
      <c r="P218" s="7" t="s">
        <v>410</v>
      </c>
      <c r="Q218" s="7">
        <v>2712.32</v>
      </c>
      <c r="R218" s="3">
        <f t="shared" si="1"/>
        <v>2712.32</v>
      </c>
    </row>
    <row r="219" ht="22.5" customHeight="1">
      <c r="B219" s="7" t="s">
        <v>173</v>
      </c>
      <c r="C219" s="7">
        <v>900.0</v>
      </c>
      <c r="D219" s="7">
        <v>133080.0</v>
      </c>
      <c r="E219" s="7">
        <v>9503062.0</v>
      </c>
      <c r="F219" s="7">
        <v>9177248.0</v>
      </c>
      <c r="G219" s="7">
        <v>1.9583376E7</v>
      </c>
      <c r="H219" s="7">
        <v>1.066667564E9</v>
      </c>
      <c r="I219" s="7">
        <v>307977.0</v>
      </c>
      <c r="J219" s="7">
        <v>294403.0</v>
      </c>
      <c r="K219" s="7">
        <v>13574.0</v>
      </c>
      <c r="L219" s="7">
        <v>49.42</v>
      </c>
      <c r="M219" s="7">
        <v>-0.06</v>
      </c>
      <c r="N219" s="7">
        <v>19740.0</v>
      </c>
      <c r="O219" s="7">
        <v>7816853.0</v>
      </c>
      <c r="P219" s="7" t="s">
        <v>409</v>
      </c>
      <c r="Q219" s="7">
        <v>2735.85</v>
      </c>
      <c r="R219" s="3">
        <f t="shared" si="1"/>
        <v>2735.85</v>
      </c>
    </row>
    <row r="220" ht="22.5" customHeight="1">
      <c r="B220" s="7" t="s">
        <v>72</v>
      </c>
      <c r="C220" s="7">
        <v>4660.0</v>
      </c>
      <c r="D220" s="7">
        <v>243504.0</v>
      </c>
      <c r="E220" s="7">
        <v>6540810.0</v>
      </c>
      <c r="F220" s="7">
        <v>6370822.0</v>
      </c>
      <c r="G220" s="7">
        <v>1.3753198E7</v>
      </c>
      <c r="H220" s="7">
        <v>1.314482693E9</v>
      </c>
      <c r="I220" s="7">
        <v>202898.0</v>
      </c>
      <c r="J220" s="7">
        <v>195341.0</v>
      </c>
      <c r="K220" s="7">
        <v>7557.0</v>
      </c>
      <c r="L220" s="7">
        <v>140.85</v>
      </c>
      <c r="M220" s="7">
        <v>-0.06</v>
      </c>
      <c r="N220" s="7">
        <v>11749.0</v>
      </c>
      <c r="O220" s="7">
        <v>3960302.0</v>
      </c>
      <c r="P220" s="7" t="s">
        <v>409</v>
      </c>
      <c r="Q220" s="7">
        <v>2820.54</v>
      </c>
      <c r="R220" s="3">
        <f t="shared" si="1"/>
        <v>2820.54</v>
      </c>
    </row>
    <row r="221" ht="22.5" customHeight="1">
      <c r="B221" s="7" t="s">
        <v>265</v>
      </c>
      <c r="C221" s="7">
        <v>4128.0</v>
      </c>
      <c r="D221" s="7">
        <v>72564.0</v>
      </c>
      <c r="E221" s="7">
        <v>1.2415459E7</v>
      </c>
      <c r="F221" s="7">
        <v>1.209178E7</v>
      </c>
      <c r="G221" s="7">
        <v>1.37737581E8</v>
      </c>
      <c r="H221" s="7">
        <v>1.61832716E9</v>
      </c>
      <c r="I221" s="7">
        <v>439721.0</v>
      </c>
      <c r="J221" s="7">
        <v>416154.0</v>
      </c>
      <c r="K221" s="7">
        <v>23567.0</v>
      </c>
      <c r="L221" s="7">
        <v>95.12</v>
      </c>
      <c r="M221" s="7">
        <v>-0.16</v>
      </c>
      <c r="N221" s="7">
        <v>34228.0</v>
      </c>
      <c r="O221" s="7">
        <v>1.8226605E7</v>
      </c>
      <c r="P221" s="7" t="s">
        <v>409</v>
      </c>
      <c r="Q221" s="7">
        <v>2838.07</v>
      </c>
      <c r="R221" s="3">
        <f t="shared" si="1"/>
        <v>2838.07</v>
      </c>
    </row>
    <row r="222" ht="22.5" customHeight="1">
      <c r="B222" s="7" t="s">
        <v>202</v>
      </c>
      <c r="C222" s="7">
        <v>3220.0</v>
      </c>
      <c r="D222" s="7">
        <v>12314.0</v>
      </c>
      <c r="E222" s="7">
        <v>1.1100305E7</v>
      </c>
      <c r="F222" s="7">
        <v>1.093991E7</v>
      </c>
      <c r="G222" s="7">
        <v>3.0229731E7</v>
      </c>
      <c r="H222" s="7">
        <v>7.74256995E8</v>
      </c>
      <c r="I222" s="7">
        <v>473865.0</v>
      </c>
      <c r="J222" s="7">
        <v>459160.0</v>
      </c>
      <c r="K222" s="7">
        <v>14705.0</v>
      </c>
      <c r="L222" s="7">
        <v>35.37</v>
      </c>
      <c r="M222" s="7">
        <v>-0.09</v>
      </c>
      <c r="N222" s="7">
        <v>23387.0</v>
      </c>
      <c r="O222" s="7">
        <v>4907277.0</v>
      </c>
      <c r="P222" s="7" t="s">
        <v>409</v>
      </c>
      <c r="Q222" s="7">
        <v>2887.19</v>
      </c>
      <c r="R222" s="3">
        <f t="shared" si="1"/>
        <v>2887.19</v>
      </c>
    </row>
    <row r="223" ht="22.5" customHeight="1">
      <c r="B223" s="7" t="s">
        <v>66</v>
      </c>
      <c r="C223" s="7">
        <v>3426.0</v>
      </c>
      <c r="D223" s="7">
        <v>20302.0</v>
      </c>
      <c r="E223" s="7">
        <v>1.1428336E7</v>
      </c>
      <c r="F223" s="7">
        <v>1.1428111E7</v>
      </c>
      <c r="G223" s="7">
        <v>1.1440805E7</v>
      </c>
      <c r="H223" s="7">
        <v>9.34869031E9</v>
      </c>
      <c r="I223" s="7">
        <v>249327.0</v>
      </c>
      <c r="J223" s="7">
        <v>234684.0</v>
      </c>
      <c r="K223" s="7">
        <v>14643.0</v>
      </c>
      <c r="L223" s="7">
        <v>17.13</v>
      </c>
      <c r="M223" s="7">
        <v>0.0</v>
      </c>
      <c r="N223" s="7">
        <v>23852.0</v>
      </c>
      <c r="O223" s="7">
        <v>4784480.0</v>
      </c>
      <c r="P223" s="7" t="s">
        <v>409</v>
      </c>
      <c r="Q223" s="7">
        <v>2896.11</v>
      </c>
      <c r="R223" s="3">
        <f t="shared" si="1"/>
        <v>2896.11</v>
      </c>
    </row>
    <row r="224" ht="22.5" customHeight="1">
      <c r="B224" s="7" t="s">
        <v>175</v>
      </c>
      <c r="C224" s="7">
        <v>89190.0</v>
      </c>
      <c r="D224" s="7">
        <v>265715.0</v>
      </c>
      <c r="E224" s="7">
        <v>1.0118294E7</v>
      </c>
      <c r="F224" s="7">
        <v>9905977.0</v>
      </c>
      <c r="G224" s="7">
        <v>8.6279853E7</v>
      </c>
      <c r="H224" s="7">
        <v>1.863533784E9</v>
      </c>
      <c r="I224" s="7">
        <v>559860.0</v>
      </c>
      <c r="J224" s="7">
        <v>546195.0</v>
      </c>
      <c r="K224" s="7">
        <v>13665.0</v>
      </c>
      <c r="L224" s="7">
        <v>31.75</v>
      </c>
      <c r="M224" s="7">
        <v>-0.15</v>
      </c>
      <c r="N224" s="7">
        <v>20821.0</v>
      </c>
      <c r="O224" s="7">
        <v>1.1867879E7</v>
      </c>
      <c r="P224" s="7" t="s">
        <v>410</v>
      </c>
      <c r="Q224" s="7">
        <v>2896.77</v>
      </c>
      <c r="R224" s="3">
        <f t="shared" si="1"/>
        <v>2896.77</v>
      </c>
    </row>
    <row r="225" ht="22.5" customHeight="1">
      <c r="B225" s="7" t="s">
        <v>209</v>
      </c>
      <c r="C225" s="7">
        <v>2750.0</v>
      </c>
      <c r="D225" s="7">
        <v>286160.0</v>
      </c>
      <c r="E225" s="7">
        <v>7584625.0</v>
      </c>
      <c r="F225" s="7">
        <v>7396775.0</v>
      </c>
      <c r="G225" s="7">
        <v>1.6821464E7</v>
      </c>
      <c r="H225" s="7">
        <v>3.36003951E8</v>
      </c>
      <c r="I225" s="7">
        <v>345731.0</v>
      </c>
      <c r="J225" s="7">
        <v>336536.0</v>
      </c>
      <c r="K225" s="7">
        <v>9195.0</v>
      </c>
      <c r="L225" s="7">
        <v>100.34</v>
      </c>
      <c r="M225" s="7">
        <v>-0.05</v>
      </c>
      <c r="N225" s="7">
        <v>13362.0</v>
      </c>
      <c r="O225" s="7">
        <v>6148733.0</v>
      </c>
      <c r="P225" s="7" t="s">
        <v>410</v>
      </c>
      <c r="Q225" s="7">
        <v>2923.42</v>
      </c>
      <c r="R225" s="3">
        <f t="shared" si="1"/>
        <v>2923.42</v>
      </c>
    </row>
    <row r="226" ht="22.5" customHeight="1">
      <c r="B226" s="7" t="s">
        <v>162</v>
      </c>
      <c r="C226" s="7">
        <v>6634.0</v>
      </c>
      <c r="D226" s="7">
        <v>23392.0</v>
      </c>
      <c r="E226" s="7">
        <v>8496797.0</v>
      </c>
      <c r="F226" s="7">
        <v>8334237.0</v>
      </c>
      <c r="G226" s="7">
        <v>1.8731135E7</v>
      </c>
      <c r="H226" s="7">
        <v>2.424240958E9</v>
      </c>
      <c r="I226" s="7">
        <v>347429.0</v>
      </c>
      <c r="J226" s="7">
        <v>338558.0</v>
      </c>
      <c r="K226" s="7">
        <v>8871.0</v>
      </c>
      <c r="L226" s="7">
        <v>65.48</v>
      </c>
      <c r="M226" s="7">
        <v>-0.06</v>
      </c>
      <c r="N226" s="7">
        <v>13528.0</v>
      </c>
      <c r="O226" s="7">
        <v>4618229.0</v>
      </c>
      <c r="P226" s="7" t="s">
        <v>409</v>
      </c>
      <c r="Q226" s="7">
        <v>2971.01</v>
      </c>
      <c r="R226" s="3">
        <f t="shared" si="1"/>
        <v>2971.01</v>
      </c>
    </row>
    <row r="227" ht="22.5" customHeight="1">
      <c r="B227" s="7" t="s">
        <v>242</v>
      </c>
      <c r="C227" s="7">
        <v>183200.0</v>
      </c>
      <c r="D227" s="7">
        <v>637206.0</v>
      </c>
      <c r="E227" s="7">
        <v>2120130.0</v>
      </c>
      <c r="F227" s="7">
        <v>2063440.0</v>
      </c>
      <c r="G227" s="7">
        <v>5.3598756E7</v>
      </c>
      <c r="H227" s="7">
        <v>1.264089696E10</v>
      </c>
      <c r="I227" s="7">
        <v>108317.0</v>
      </c>
      <c r="J227" s="7">
        <v>106323.0</v>
      </c>
      <c r="K227" s="7">
        <v>1994.0</v>
      </c>
      <c r="L227" s="7">
        <v>62.83</v>
      </c>
      <c r="M227" s="7">
        <v>-0.12</v>
      </c>
      <c r="N227" s="7">
        <v>3158.0</v>
      </c>
      <c r="O227" s="7">
        <v>3757743.0</v>
      </c>
      <c r="P227" s="7" t="s">
        <v>409</v>
      </c>
      <c r="Q227" s="7">
        <v>3033.36</v>
      </c>
      <c r="R227" s="3">
        <f t="shared" si="1"/>
        <v>3033.36</v>
      </c>
    </row>
    <row r="228" ht="22.5" customHeight="1">
      <c r="B228" s="7" t="s">
        <v>264</v>
      </c>
      <c r="C228" s="7">
        <v>4288.0</v>
      </c>
      <c r="D228" s="7">
        <v>76700.0</v>
      </c>
      <c r="E228" s="7">
        <v>1.2994492E7</v>
      </c>
      <c r="F228" s="7">
        <v>1.2658374E7</v>
      </c>
      <c r="G228" s="7">
        <v>1.59994452E8</v>
      </c>
      <c r="H228" s="7">
        <v>1.767787092E9</v>
      </c>
      <c r="I228" s="7">
        <v>441223.0</v>
      </c>
      <c r="J228" s="7">
        <v>415636.0</v>
      </c>
      <c r="K228" s="7">
        <v>25587.0</v>
      </c>
      <c r="L228" s="7">
        <v>104.46</v>
      </c>
      <c r="M228" s="7">
        <v>-0.16</v>
      </c>
      <c r="N228" s="7">
        <v>37135.0</v>
      </c>
      <c r="O228" s="7">
        <v>2.2144115E7</v>
      </c>
      <c r="P228" s="7" t="s">
        <v>409</v>
      </c>
      <c r="Q228" s="7">
        <v>3071.5</v>
      </c>
      <c r="R228" s="3">
        <f t="shared" si="1"/>
        <v>3071.5</v>
      </c>
    </row>
    <row r="229" ht="22.5" customHeight="1">
      <c r="B229" s="7" t="s">
        <v>258</v>
      </c>
      <c r="C229" s="7">
        <v>2309.0</v>
      </c>
      <c r="D229" s="7">
        <v>88734.0</v>
      </c>
      <c r="E229" s="7">
        <v>1.3536896E7</v>
      </c>
      <c r="F229" s="7">
        <v>1.3297853E7</v>
      </c>
      <c r="G229" s="7">
        <v>1.8500243E7</v>
      </c>
      <c r="H229" s="7">
        <v>1.037046636E9</v>
      </c>
      <c r="I229" s="7">
        <v>345194.0</v>
      </c>
      <c r="J229" s="7">
        <v>318905.0</v>
      </c>
      <c r="K229" s="7">
        <v>26289.0</v>
      </c>
      <c r="L229" s="7">
        <v>147.56</v>
      </c>
      <c r="M229" s="7">
        <v>-0.03</v>
      </c>
      <c r="N229" s="7">
        <v>38622.0</v>
      </c>
      <c r="O229" s="7">
        <v>5468425.0</v>
      </c>
      <c r="P229" s="7" t="s">
        <v>410</v>
      </c>
      <c r="Q229" s="7">
        <v>3074.46</v>
      </c>
      <c r="R229" s="3">
        <f t="shared" si="1"/>
        <v>3074.46</v>
      </c>
    </row>
    <row r="230" ht="22.5" customHeight="1">
      <c r="B230" s="7" t="s">
        <v>227</v>
      </c>
      <c r="C230" s="7">
        <v>895721.0</v>
      </c>
      <c r="D230" s="7">
        <v>1.768805E7</v>
      </c>
      <c r="E230" s="7">
        <v>3443035.0</v>
      </c>
      <c r="F230" s="7">
        <v>3354521.0</v>
      </c>
      <c r="G230" s="7">
        <v>8793996.0</v>
      </c>
      <c r="H230" s="7">
        <v>4.321824118E9</v>
      </c>
      <c r="I230" s="7">
        <v>106301.0</v>
      </c>
      <c r="J230" s="7">
        <v>100233.0</v>
      </c>
      <c r="K230" s="7">
        <v>6068.0</v>
      </c>
      <c r="L230" s="7">
        <v>25.51</v>
      </c>
      <c r="M230" s="7">
        <v>-0.09</v>
      </c>
      <c r="N230" s="7">
        <v>9263.0</v>
      </c>
      <c r="O230" s="7">
        <v>1748064.0</v>
      </c>
      <c r="P230" s="7" t="s">
        <v>409</v>
      </c>
      <c r="Q230" s="7">
        <v>3129.74</v>
      </c>
      <c r="R230" s="3">
        <f t="shared" si="1"/>
        <v>3129.74</v>
      </c>
    </row>
    <row r="231" ht="22.5" customHeight="1">
      <c r="B231" s="7" t="s">
        <v>241</v>
      </c>
      <c r="C231" s="7">
        <v>189982.0</v>
      </c>
      <c r="D231" s="7">
        <v>384580.0</v>
      </c>
      <c r="E231" s="7">
        <v>1782612.0</v>
      </c>
      <c r="F231" s="7">
        <v>1747992.0</v>
      </c>
      <c r="G231" s="7">
        <v>3707141.0</v>
      </c>
      <c r="H231" s="7">
        <v>7.561395861E9</v>
      </c>
      <c r="I231" s="7">
        <v>77461.0</v>
      </c>
      <c r="J231" s="7">
        <v>75568.0</v>
      </c>
      <c r="K231" s="7">
        <v>1893.0</v>
      </c>
      <c r="L231" s="7">
        <v>30.78</v>
      </c>
      <c r="M231" s="7">
        <v>-0.08</v>
      </c>
      <c r="N231" s="7">
        <v>2945.0</v>
      </c>
      <c r="O231" s="7">
        <v>1100965.0</v>
      </c>
      <c r="P231" s="7" t="s">
        <v>410</v>
      </c>
      <c r="Q231" s="7">
        <v>3144.88</v>
      </c>
      <c r="R231" s="3">
        <f t="shared" si="1"/>
        <v>3144.88</v>
      </c>
    </row>
    <row r="232" ht="22.5" customHeight="1">
      <c r="B232" s="7" t="s">
        <v>387</v>
      </c>
      <c r="C232" s="7">
        <v>103136.0</v>
      </c>
      <c r="D232" s="7">
        <v>4673415.0</v>
      </c>
      <c r="E232" s="7">
        <v>1265174.0</v>
      </c>
      <c r="F232" s="7">
        <v>1228256.0</v>
      </c>
      <c r="G232" s="7">
        <v>2255451.0</v>
      </c>
      <c r="H232" s="7">
        <v>6.270629676E9</v>
      </c>
      <c r="I232" s="7">
        <v>36912.0</v>
      </c>
      <c r="J232" s="7">
        <v>35113.0</v>
      </c>
      <c r="K232" s="7">
        <v>1799.0</v>
      </c>
      <c r="L232" s="7">
        <v>27.1</v>
      </c>
      <c r="M232" s="7">
        <v>-0.07</v>
      </c>
      <c r="N232" s="7">
        <v>2850.0</v>
      </c>
      <c r="O232" s="7">
        <v>677541.0</v>
      </c>
      <c r="P232" s="7" t="s">
        <v>410</v>
      </c>
      <c r="Q232" s="7">
        <v>3182.12</v>
      </c>
      <c r="R232" s="3">
        <f t="shared" si="1"/>
        <v>3182.12</v>
      </c>
    </row>
    <row r="233" ht="22.5" customHeight="1">
      <c r="B233" s="7" t="s">
        <v>217</v>
      </c>
      <c r="C233" s="7">
        <v>310.0</v>
      </c>
      <c r="D233" s="7">
        <v>1081.0</v>
      </c>
      <c r="E233" s="7">
        <v>9865810.0</v>
      </c>
      <c r="F233" s="7">
        <v>9692162.0</v>
      </c>
      <c r="G233" s="7">
        <v>1.55283E7</v>
      </c>
      <c r="H233" s="7">
        <v>3.47590822E8</v>
      </c>
      <c r="I233" s="7">
        <v>411654.0</v>
      </c>
      <c r="J233" s="7">
        <v>400908.0</v>
      </c>
      <c r="K233" s="7">
        <v>10746.0</v>
      </c>
      <c r="L233" s="7">
        <v>18.18</v>
      </c>
      <c r="M233" s="7">
        <v>-0.06</v>
      </c>
      <c r="N233" s="7">
        <v>17530.0</v>
      </c>
      <c r="O233" s="7">
        <v>4424434.0</v>
      </c>
      <c r="P233" s="7" t="s">
        <v>410</v>
      </c>
      <c r="Q233" s="7">
        <v>3201.57</v>
      </c>
      <c r="R233" s="3">
        <f t="shared" si="1"/>
        <v>3201.57</v>
      </c>
    </row>
    <row r="234" ht="22.5" customHeight="1">
      <c r="B234" s="7" t="s">
        <v>380</v>
      </c>
      <c r="C234" s="7">
        <v>3220.0</v>
      </c>
      <c r="D234" s="7">
        <v>12314.0</v>
      </c>
      <c r="E234" s="7">
        <v>1.5273326E7</v>
      </c>
      <c r="F234" s="7">
        <v>1.5067826E7</v>
      </c>
      <c r="G234" s="7">
        <v>3.3043992E7</v>
      </c>
      <c r="H234" s="7">
        <v>1.052798017E9</v>
      </c>
      <c r="I234" s="7">
        <v>466067.0</v>
      </c>
      <c r="J234" s="7">
        <v>440267.0</v>
      </c>
      <c r="K234" s="7">
        <v>25800.0</v>
      </c>
      <c r="L234" s="7">
        <v>37.93</v>
      </c>
      <c r="M234" s="7">
        <v>-0.07</v>
      </c>
      <c r="N234" s="7">
        <v>40901.0</v>
      </c>
      <c r="O234" s="7">
        <v>4962872.0</v>
      </c>
      <c r="P234" s="7" t="s">
        <v>409</v>
      </c>
      <c r="Q234" s="7">
        <v>3216.46</v>
      </c>
      <c r="R234" s="3">
        <f t="shared" si="1"/>
        <v>3216.46</v>
      </c>
    </row>
    <row r="235" ht="22.5" customHeight="1">
      <c r="B235" s="7" t="s">
        <v>221</v>
      </c>
      <c r="C235" s="7">
        <v>2425.0</v>
      </c>
      <c r="D235" s="7">
        <v>23064.0</v>
      </c>
      <c r="E235" s="7">
        <v>2.293629E7</v>
      </c>
      <c r="F235" s="7">
        <v>2.2904975E7</v>
      </c>
      <c r="G235" s="7">
        <v>2.3805112E7</v>
      </c>
      <c r="H235" s="7">
        <v>1.284522596E9</v>
      </c>
      <c r="I235" s="7">
        <v>808761.0</v>
      </c>
      <c r="J235" s="7">
        <v>780234.0</v>
      </c>
      <c r="K235" s="7">
        <v>28527.0</v>
      </c>
      <c r="L235" s="7">
        <v>20.02</v>
      </c>
      <c r="M235" s="7">
        <v>-0.01</v>
      </c>
      <c r="N235" s="7">
        <v>45355.0</v>
      </c>
      <c r="O235" s="7">
        <v>1.0007806E7</v>
      </c>
      <c r="P235" s="7" t="s">
        <v>410</v>
      </c>
      <c r="Q235" s="7">
        <v>3235.87</v>
      </c>
      <c r="R235" s="3">
        <f t="shared" si="1"/>
        <v>3235.87</v>
      </c>
    </row>
    <row r="236" ht="22.5" customHeight="1">
      <c r="B236" s="7" t="s">
        <v>174</v>
      </c>
      <c r="C236" s="7">
        <v>140.0</v>
      </c>
      <c r="D236" s="7">
        <v>560.0</v>
      </c>
      <c r="E236" s="7">
        <v>5.4166291E7</v>
      </c>
      <c r="F236" s="7">
        <v>5.4152041E7</v>
      </c>
      <c r="G236" s="7">
        <v>6.5192435E7</v>
      </c>
      <c r="H236" s="7">
        <v>2.73570256E8</v>
      </c>
      <c r="I236" s="7">
        <v>1449730.0</v>
      </c>
      <c r="J236" s="7">
        <v>1366531.0</v>
      </c>
      <c r="K236" s="7">
        <v>83199.0</v>
      </c>
      <c r="L236" s="7">
        <v>18.19</v>
      </c>
      <c r="M236" s="7">
        <v>-0.02</v>
      </c>
      <c r="N236" s="7">
        <v>133031.0</v>
      </c>
      <c r="O236" s="7">
        <v>2.0583839E7</v>
      </c>
      <c r="P236" s="7" t="s">
        <v>410</v>
      </c>
      <c r="Q236" s="7">
        <v>3288.71</v>
      </c>
      <c r="R236" s="3">
        <f t="shared" si="1"/>
        <v>3288.71</v>
      </c>
    </row>
    <row r="237" ht="22.5" customHeight="1">
      <c r="B237" s="7" t="s">
        <v>240</v>
      </c>
      <c r="C237" s="7">
        <v>984.0</v>
      </c>
      <c r="D237" s="7">
        <v>22937.0</v>
      </c>
      <c r="E237" s="7">
        <v>6854096.0</v>
      </c>
      <c r="F237" s="7">
        <v>6799393.0</v>
      </c>
      <c r="G237" s="7">
        <v>1.3020029E7</v>
      </c>
      <c r="H237" s="7">
        <v>9.76013411E8</v>
      </c>
      <c r="I237" s="7">
        <v>379816.0</v>
      </c>
      <c r="J237" s="7">
        <v>372248.0</v>
      </c>
      <c r="K237" s="7">
        <v>7568.0</v>
      </c>
      <c r="L237" s="7">
        <v>28.42</v>
      </c>
      <c r="M237" s="7">
        <v>-0.07</v>
      </c>
      <c r="N237" s="7">
        <v>11771.0</v>
      </c>
      <c r="O237" s="7">
        <v>3238863.0</v>
      </c>
      <c r="P237" s="7" t="s">
        <v>409</v>
      </c>
      <c r="Q237" s="7">
        <v>3504.87</v>
      </c>
      <c r="R237" s="3">
        <f t="shared" si="1"/>
        <v>3504.87</v>
      </c>
    </row>
    <row r="238" ht="22.5" customHeight="1">
      <c r="B238" s="7" t="s">
        <v>234</v>
      </c>
      <c r="C238" s="7">
        <v>2720.0</v>
      </c>
      <c r="D238" s="7">
        <v>11392.0</v>
      </c>
      <c r="E238" s="7">
        <v>8090373.0</v>
      </c>
      <c r="F238" s="7">
        <v>7971998.0</v>
      </c>
      <c r="G238" s="7">
        <v>1.6402801E7</v>
      </c>
      <c r="H238" s="7">
        <v>9.55822088E8</v>
      </c>
      <c r="I238" s="7">
        <v>486858.0</v>
      </c>
      <c r="J238" s="7">
        <v>480107.0</v>
      </c>
      <c r="K238" s="7">
        <v>6751.0</v>
      </c>
      <c r="L238" s="7">
        <v>37.92</v>
      </c>
      <c r="M238" s="7">
        <v>-0.09</v>
      </c>
      <c r="N238" s="7">
        <v>10957.0</v>
      </c>
      <c r="O238" s="7">
        <v>4205126.0</v>
      </c>
      <c r="P238" s="7" t="s">
        <v>409</v>
      </c>
      <c r="Q238" s="7">
        <v>3574.81</v>
      </c>
      <c r="R238" s="3">
        <f t="shared" si="1"/>
        <v>3574.81</v>
      </c>
    </row>
    <row r="239" ht="22.5" customHeight="1">
      <c r="B239" s="7" t="s">
        <v>266</v>
      </c>
      <c r="C239" s="7">
        <v>4128.0</v>
      </c>
      <c r="D239" s="7">
        <v>72571.0</v>
      </c>
      <c r="E239" s="7">
        <v>1.0419366E7</v>
      </c>
      <c r="F239" s="7">
        <v>1.0116809E7</v>
      </c>
      <c r="G239" s="7">
        <v>1.46760969E8</v>
      </c>
      <c r="H239" s="7">
        <v>1.468125715E9</v>
      </c>
      <c r="I239" s="7">
        <v>439664.0</v>
      </c>
      <c r="J239" s="7">
        <v>422555.0</v>
      </c>
      <c r="K239" s="7">
        <v>17109.0</v>
      </c>
      <c r="L239" s="7">
        <v>89.16</v>
      </c>
      <c r="M239" s="7">
        <v>-0.19</v>
      </c>
      <c r="N239" s="7">
        <v>24709.0</v>
      </c>
      <c r="O239" s="7">
        <v>2.0243433E7</v>
      </c>
      <c r="P239" s="7" t="s">
        <v>409</v>
      </c>
      <c r="Q239" s="7">
        <v>3586.84</v>
      </c>
      <c r="R239" s="3">
        <f t="shared" si="1"/>
        <v>3586.84</v>
      </c>
    </row>
    <row r="240" ht="22.5" customHeight="1">
      <c r="B240" s="7" t="s">
        <v>208</v>
      </c>
      <c r="C240" s="7">
        <v>2719.0</v>
      </c>
      <c r="D240" s="7">
        <v>11388.0</v>
      </c>
      <c r="E240" s="7">
        <v>8066861.0</v>
      </c>
      <c r="F240" s="7">
        <v>7946720.0</v>
      </c>
      <c r="G240" s="7">
        <v>1.6279718E7</v>
      </c>
      <c r="H240" s="7">
        <v>9.46416821E8</v>
      </c>
      <c r="I240" s="7">
        <v>485112.0</v>
      </c>
      <c r="J240" s="7">
        <v>478393.0</v>
      </c>
      <c r="K240" s="7">
        <v>6719.0</v>
      </c>
      <c r="L240" s="7">
        <v>38.52</v>
      </c>
      <c r="M240" s="7">
        <v>-0.09</v>
      </c>
      <c r="N240" s="7">
        <v>10926.0</v>
      </c>
      <c r="O240" s="7">
        <v>4184600.0</v>
      </c>
      <c r="P240" s="7" t="s">
        <v>409</v>
      </c>
      <c r="Q240" s="7">
        <v>3595.42</v>
      </c>
      <c r="R240" s="3">
        <f t="shared" si="1"/>
        <v>3595.42</v>
      </c>
    </row>
    <row r="241" ht="22.5" customHeight="1">
      <c r="B241" s="7" t="s">
        <v>262</v>
      </c>
      <c r="C241" s="7">
        <v>4128.0</v>
      </c>
      <c r="D241" s="7">
        <v>72562.0</v>
      </c>
      <c r="E241" s="7">
        <v>1.4012412E7</v>
      </c>
      <c r="F241" s="7">
        <v>1.3669502E7</v>
      </c>
      <c r="G241" s="7">
        <v>1.41270187E8</v>
      </c>
      <c r="H241" s="7">
        <v>1.797114073E9</v>
      </c>
      <c r="I241" s="7">
        <v>444644.0</v>
      </c>
      <c r="J241" s="7">
        <v>415452.0</v>
      </c>
      <c r="K241" s="7">
        <v>29192.0</v>
      </c>
      <c r="L241" s="7">
        <v>101.77</v>
      </c>
      <c r="M241" s="7">
        <v>-0.14</v>
      </c>
      <c r="N241" s="7">
        <v>42297.0</v>
      </c>
      <c r="O241" s="7">
        <v>1.8203958E7</v>
      </c>
      <c r="P241" s="7" t="s">
        <v>409</v>
      </c>
      <c r="Q241" s="7">
        <v>3650.73</v>
      </c>
      <c r="R241" s="3">
        <f t="shared" si="1"/>
        <v>3650.73</v>
      </c>
    </row>
    <row r="242" ht="22.5" customHeight="1">
      <c r="B242" s="7" t="s">
        <v>178</v>
      </c>
      <c r="C242" s="7">
        <v>172.0</v>
      </c>
      <c r="D242" s="7">
        <v>832.0</v>
      </c>
      <c r="E242" s="7">
        <v>1.9763354E7</v>
      </c>
      <c r="F242" s="7">
        <v>1.9645969E7</v>
      </c>
      <c r="G242" s="7">
        <v>2.4074077E7</v>
      </c>
      <c r="H242" s="7">
        <v>4.61852791E8</v>
      </c>
      <c r="I242" s="7">
        <v>712689.0</v>
      </c>
      <c r="J242" s="7">
        <v>684769.0</v>
      </c>
      <c r="K242" s="7">
        <v>27920.0</v>
      </c>
      <c r="L242" s="7">
        <v>18.81</v>
      </c>
      <c r="M242" s="7">
        <v>-0.03</v>
      </c>
      <c r="N242" s="7">
        <v>44742.0</v>
      </c>
      <c r="O242" s="7">
        <v>7094244.0</v>
      </c>
      <c r="P242" s="7" t="s">
        <v>410</v>
      </c>
      <c r="Q242" s="7">
        <v>3929.89</v>
      </c>
      <c r="R242" s="3">
        <f t="shared" si="1"/>
        <v>3929.89</v>
      </c>
    </row>
    <row r="243" ht="22.5" customHeight="1">
      <c r="B243" s="7" t="s">
        <v>218</v>
      </c>
      <c r="C243" s="7">
        <v>9582411.0</v>
      </c>
      <c r="D243" s="7">
        <v>4.6593859E7</v>
      </c>
      <c r="E243" s="7">
        <v>136493.0</v>
      </c>
      <c r="F243" s="7">
        <v>122689.0</v>
      </c>
      <c r="G243" s="7">
        <v>3.477191632E9</v>
      </c>
      <c r="H243" s="7">
        <v>7.075937244E9</v>
      </c>
      <c r="I243" s="7">
        <v>7132.0</v>
      </c>
      <c r="J243" s="7">
        <v>7101.0</v>
      </c>
      <c r="K243" s="7">
        <v>31.0</v>
      </c>
      <c r="L243" s="7">
        <v>68.73</v>
      </c>
      <c r="M243" s="7">
        <v>-0.27</v>
      </c>
      <c r="N243" s="7">
        <v>111.0</v>
      </c>
      <c r="O243" s="7">
        <v>3.459391363E9</v>
      </c>
      <c r="P243" s="7" t="s">
        <v>409</v>
      </c>
      <c r="Q243" s="7">
        <v>4032.45</v>
      </c>
      <c r="R243" s="3">
        <f t="shared" si="1"/>
        <v>4032.45</v>
      </c>
    </row>
    <row r="244" ht="22.5" customHeight="1">
      <c r="B244" s="7" t="s">
        <v>229</v>
      </c>
      <c r="C244" s="7">
        <v>2722.0</v>
      </c>
      <c r="D244" s="7">
        <v>11400.0</v>
      </c>
      <c r="E244" s="7">
        <v>7516092.0</v>
      </c>
      <c r="F244" s="7">
        <v>7405728.0</v>
      </c>
      <c r="G244" s="7">
        <v>1.5138627E7</v>
      </c>
      <c r="H244" s="7">
        <v>8.79478727E8</v>
      </c>
      <c r="I244" s="7">
        <v>435674.0</v>
      </c>
      <c r="J244" s="7">
        <v>429100.0</v>
      </c>
      <c r="K244" s="7">
        <v>6574.0</v>
      </c>
      <c r="L244" s="7">
        <v>38.89</v>
      </c>
      <c r="M244" s="7">
        <v>-0.08</v>
      </c>
      <c r="N244" s="7">
        <v>10782.0</v>
      </c>
      <c r="O244" s="7">
        <v>3759444.0</v>
      </c>
      <c r="P244" s="7" t="s">
        <v>409</v>
      </c>
      <c r="Q244" s="7">
        <v>4074.34</v>
      </c>
      <c r="R244" s="3">
        <f t="shared" si="1"/>
        <v>4074.34</v>
      </c>
    </row>
    <row r="245" ht="22.5" customHeight="1">
      <c r="B245" s="7" t="s">
        <v>261</v>
      </c>
      <c r="C245" s="7">
        <v>264264.0</v>
      </c>
      <c r="D245" s="7">
        <v>895141.0</v>
      </c>
      <c r="E245" s="7">
        <v>2777238.0</v>
      </c>
      <c r="F245" s="7">
        <v>2708650.0</v>
      </c>
      <c r="G245" s="7">
        <v>6.5077286E7</v>
      </c>
      <c r="H245" s="7">
        <v>1.887915374E10</v>
      </c>
      <c r="I245" s="7">
        <v>109330.0</v>
      </c>
      <c r="J245" s="7">
        <v>105602.0</v>
      </c>
      <c r="K245" s="7">
        <v>3728.0</v>
      </c>
      <c r="L245" s="7">
        <v>72.75</v>
      </c>
      <c r="M245" s="7">
        <v>-0.1</v>
      </c>
      <c r="N245" s="7">
        <v>5903.0</v>
      </c>
      <c r="O245" s="7">
        <v>4388485.0</v>
      </c>
      <c r="P245" s="7" t="s">
        <v>409</v>
      </c>
      <c r="Q245" s="7">
        <v>4380.5</v>
      </c>
      <c r="R245" s="3">
        <f t="shared" si="1"/>
        <v>4380.5</v>
      </c>
    </row>
    <row r="246" ht="22.5" customHeight="1">
      <c r="B246" s="7" t="s">
        <v>85</v>
      </c>
      <c r="C246" s="7">
        <v>708.0</v>
      </c>
      <c r="D246" s="7">
        <v>2539.0</v>
      </c>
      <c r="E246" s="7">
        <v>1.8737078E7</v>
      </c>
      <c r="F246" s="7">
        <v>1.8694889E7</v>
      </c>
      <c r="G246" s="7">
        <v>2.3281004E7</v>
      </c>
      <c r="H246" s="7">
        <v>9.78757693E8</v>
      </c>
      <c r="I246" s="7">
        <v>662458.0</v>
      </c>
      <c r="J246" s="7">
        <v>635095.0</v>
      </c>
      <c r="K246" s="7">
        <v>27363.0</v>
      </c>
      <c r="L246" s="7">
        <v>22.89</v>
      </c>
      <c r="M246" s="7">
        <v>-0.03</v>
      </c>
      <c r="N246" s="7">
        <v>44188.0</v>
      </c>
      <c r="O246" s="7">
        <v>6142479.0</v>
      </c>
      <c r="P246" s="7" t="s">
        <v>409</v>
      </c>
      <c r="Q246" s="7">
        <v>4488.24</v>
      </c>
      <c r="R246" s="3">
        <f t="shared" si="1"/>
        <v>4488.24</v>
      </c>
    </row>
    <row r="247" ht="22.5" customHeight="1">
      <c r="B247" s="7" t="s">
        <v>238</v>
      </c>
      <c r="C247" s="7">
        <v>14665.0</v>
      </c>
      <c r="D247" s="7">
        <v>34976.0</v>
      </c>
      <c r="E247" s="7">
        <v>5.6109369E7</v>
      </c>
      <c r="F247" s="7">
        <v>4.9303854E7</v>
      </c>
      <c r="G247" s="7">
        <v>3.84329904E8</v>
      </c>
      <c r="H247" s="7">
        <v>3.05293097E9</v>
      </c>
      <c r="I247" s="7">
        <v>611125.0</v>
      </c>
      <c r="J247" s="7">
        <v>442811.0</v>
      </c>
      <c r="K247" s="7">
        <v>168314.0</v>
      </c>
      <c r="L247" s="7">
        <v>39.91</v>
      </c>
      <c r="M247" s="7">
        <v>-0.04</v>
      </c>
      <c r="N247" s="7">
        <v>219633.0</v>
      </c>
      <c r="O247" s="7">
        <v>4.2079134E7</v>
      </c>
      <c r="P247" s="7" t="s">
        <v>410</v>
      </c>
      <c r="Q247" s="7">
        <v>4542.44</v>
      </c>
      <c r="R247" s="3">
        <f t="shared" si="1"/>
        <v>4542.44</v>
      </c>
    </row>
    <row r="248" ht="22.5" customHeight="1">
      <c r="B248" s="7" t="s">
        <v>251</v>
      </c>
      <c r="C248" s="7">
        <v>772.0</v>
      </c>
      <c r="D248" s="7">
        <v>9601.0</v>
      </c>
      <c r="E248" s="7">
        <v>1.2349614E7</v>
      </c>
      <c r="F248" s="7">
        <v>1.2318889E7</v>
      </c>
      <c r="G248" s="7">
        <v>1.4296896E7</v>
      </c>
      <c r="H248" s="7">
        <v>1.367273211E9</v>
      </c>
      <c r="I248" s="7">
        <v>364624.0</v>
      </c>
      <c r="J248" s="7">
        <v>345737.0</v>
      </c>
      <c r="K248" s="7">
        <v>18887.0</v>
      </c>
      <c r="L248" s="7">
        <v>24.3</v>
      </c>
      <c r="M248" s="7">
        <v>-0.02</v>
      </c>
      <c r="N248" s="7">
        <v>29486.0</v>
      </c>
      <c r="O248" s="7">
        <v>4536775.0</v>
      </c>
      <c r="P248" s="7" t="s">
        <v>410</v>
      </c>
      <c r="Q248" s="7">
        <v>4577.75</v>
      </c>
      <c r="R248" s="3">
        <f t="shared" si="1"/>
        <v>4577.75</v>
      </c>
    </row>
    <row r="249" ht="22.5" customHeight="1">
      <c r="B249" s="7" t="s">
        <v>239</v>
      </c>
      <c r="C249" s="7">
        <v>2715.0</v>
      </c>
      <c r="D249" s="7">
        <v>11371.0</v>
      </c>
      <c r="E249" s="7">
        <v>7064803.0</v>
      </c>
      <c r="F249" s="7">
        <v>6962424.0</v>
      </c>
      <c r="G249" s="7">
        <v>1.4151609E7</v>
      </c>
      <c r="H249" s="7">
        <v>8.27079703E8</v>
      </c>
      <c r="I249" s="7">
        <v>403225.0</v>
      </c>
      <c r="J249" s="7">
        <v>396439.0</v>
      </c>
      <c r="K249" s="7">
        <v>6786.0</v>
      </c>
      <c r="L249" s="7">
        <v>38.81</v>
      </c>
      <c r="M249" s="7">
        <v>-0.08</v>
      </c>
      <c r="N249" s="7">
        <v>10993.0</v>
      </c>
      <c r="O249" s="7">
        <v>3386813.0</v>
      </c>
      <c r="P249" s="7" t="s">
        <v>409</v>
      </c>
      <c r="Q249" s="7">
        <v>4711.58</v>
      </c>
      <c r="R249" s="3">
        <f t="shared" si="1"/>
        <v>4711.58</v>
      </c>
    </row>
    <row r="250" ht="22.5" customHeight="1">
      <c r="B250" s="7" t="s">
        <v>223</v>
      </c>
      <c r="C250" s="7">
        <v>3835.0</v>
      </c>
      <c r="D250" s="7">
        <v>15069.0</v>
      </c>
      <c r="E250" s="7">
        <v>8380779.0</v>
      </c>
      <c r="F250" s="7">
        <v>8260282.0</v>
      </c>
      <c r="G250" s="7">
        <v>1.671399E7</v>
      </c>
      <c r="H250" s="7">
        <v>9.9050428E8</v>
      </c>
      <c r="I250" s="7">
        <v>498763.0</v>
      </c>
      <c r="J250" s="7">
        <v>491586.0</v>
      </c>
      <c r="K250" s="7">
        <v>7177.0</v>
      </c>
      <c r="L250" s="7">
        <v>37.81</v>
      </c>
      <c r="M250" s="7">
        <v>-0.08</v>
      </c>
      <c r="N250" s="7">
        <v>11679.0</v>
      </c>
      <c r="O250" s="7">
        <v>4266862.0</v>
      </c>
      <c r="P250" s="7" t="s">
        <v>409</v>
      </c>
      <c r="Q250" s="7">
        <v>4815.91</v>
      </c>
      <c r="R250" s="3">
        <f t="shared" si="1"/>
        <v>4815.91</v>
      </c>
    </row>
    <row r="251" ht="22.5" customHeight="1">
      <c r="B251" s="7" t="s">
        <v>246</v>
      </c>
      <c r="C251" s="7">
        <v>2365527.0</v>
      </c>
      <c r="D251" s="7">
        <v>1.050804E7</v>
      </c>
      <c r="E251" s="7">
        <v>930428.0</v>
      </c>
      <c r="F251" s="7">
        <v>919835.0</v>
      </c>
      <c r="G251" s="7">
        <v>1565153.0</v>
      </c>
      <c r="H251" s="7">
        <v>4.220872864E9</v>
      </c>
      <c r="I251" s="7">
        <v>27446.0</v>
      </c>
      <c r="J251" s="7">
        <v>25994.0</v>
      </c>
      <c r="K251" s="7">
        <v>1452.0</v>
      </c>
      <c r="L251" s="7">
        <v>15.83</v>
      </c>
      <c r="M251" s="7">
        <v>-0.06</v>
      </c>
      <c r="N251" s="7">
        <v>2364.0</v>
      </c>
      <c r="O251" s="7">
        <v>300971.0</v>
      </c>
      <c r="P251" s="7" t="s">
        <v>410</v>
      </c>
      <c r="Q251" s="7">
        <v>4827.19</v>
      </c>
      <c r="R251" s="3">
        <f t="shared" si="1"/>
        <v>4827.19</v>
      </c>
    </row>
    <row r="252" ht="22.5" customHeight="1">
      <c r="B252" s="7" t="s">
        <v>274</v>
      </c>
      <c r="C252" s="7">
        <v>520.0</v>
      </c>
      <c r="D252" s="7">
        <v>5761.0</v>
      </c>
      <c r="E252" s="7">
        <v>9939961.0</v>
      </c>
      <c r="F252" s="7">
        <v>9919257.0</v>
      </c>
      <c r="G252" s="7">
        <v>1.295459E7</v>
      </c>
      <c r="H252" s="7">
        <v>3.38490831E8</v>
      </c>
      <c r="I252" s="7">
        <v>478401.0</v>
      </c>
      <c r="J252" s="7">
        <v>466472.0</v>
      </c>
      <c r="K252" s="7">
        <v>11929.0</v>
      </c>
      <c r="L252" s="7">
        <v>25.7</v>
      </c>
      <c r="M252" s="7">
        <v>-0.03</v>
      </c>
      <c r="N252" s="7">
        <v>18827.0</v>
      </c>
      <c r="O252" s="7">
        <v>4229022.0</v>
      </c>
      <c r="P252" s="7" t="s">
        <v>409</v>
      </c>
      <c r="Q252" s="7">
        <v>4946.43</v>
      </c>
      <c r="R252" s="3">
        <f t="shared" si="1"/>
        <v>4946.43</v>
      </c>
    </row>
    <row r="253" ht="22.5" customHeight="1">
      <c r="B253" s="7" t="s">
        <v>277</v>
      </c>
      <c r="C253" s="7">
        <v>21734.0</v>
      </c>
      <c r="D253" s="7">
        <v>78990.0</v>
      </c>
      <c r="E253" s="7">
        <v>1.0944368E7</v>
      </c>
      <c r="F253" s="7">
        <v>1.0777307E7</v>
      </c>
      <c r="G253" s="7">
        <v>4.3400662E7</v>
      </c>
      <c r="H253" s="7">
        <v>2.053660784E9</v>
      </c>
      <c r="I253" s="7">
        <v>481976.0</v>
      </c>
      <c r="J253" s="7">
        <v>465204.0</v>
      </c>
      <c r="K253" s="7">
        <v>16772.0</v>
      </c>
      <c r="L253" s="7">
        <v>52.19</v>
      </c>
      <c r="M253" s="7">
        <v>-0.11</v>
      </c>
      <c r="N253" s="7">
        <v>25191.0</v>
      </c>
      <c r="O253" s="7">
        <v>6410633.0</v>
      </c>
      <c r="P253" s="7" t="s">
        <v>411</v>
      </c>
      <c r="Q253" s="7">
        <v>3661.46</v>
      </c>
      <c r="R253" s="3">
        <f t="shared" si="1"/>
        <v>10000</v>
      </c>
    </row>
    <row r="254" ht="22.5" customHeight="1">
      <c r="B254" s="7" t="s">
        <v>267</v>
      </c>
      <c r="C254" s="7">
        <v>4288.0</v>
      </c>
      <c r="D254" s="7">
        <v>76698.0</v>
      </c>
      <c r="E254" s="7">
        <v>1.8572855E7</v>
      </c>
      <c r="F254" s="7">
        <v>1.8087439E7</v>
      </c>
      <c r="G254" s="7">
        <v>2.19173721E8</v>
      </c>
      <c r="H254" s="7">
        <v>2.476196425E9</v>
      </c>
      <c r="I254" s="7">
        <v>596432.0</v>
      </c>
      <c r="J254" s="7">
        <v>561444.0</v>
      </c>
      <c r="K254" s="7">
        <v>34988.0</v>
      </c>
      <c r="L254" s="7">
        <v>98.07</v>
      </c>
      <c r="M254" s="7">
        <v>-0.16</v>
      </c>
      <c r="N254" s="7">
        <v>51743.0</v>
      </c>
      <c r="O254" s="7">
        <v>3.0982068E7</v>
      </c>
      <c r="P254" s="7" t="s">
        <v>411</v>
      </c>
      <c r="Q254" s="7">
        <v>5003.79</v>
      </c>
      <c r="R254" s="3">
        <f t="shared" si="1"/>
        <v>10000</v>
      </c>
    </row>
    <row r="255" ht="22.5" customHeight="1">
      <c r="B255" s="7" t="s">
        <v>270</v>
      </c>
      <c r="C255" s="7">
        <v>4448.0</v>
      </c>
      <c r="D255" s="7">
        <v>80690.0</v>
      </c>
      <c r="E255" s="7">
        <v>1.7940126E7</v>
      </c>
      <c r="F255" s="7">
        <v>1.7493676E7</v>
      </c>
      <c r="G255" s="7">
        <v>1.74355588E8</v>
      </c>
      <c r="H255" s="7">
        <v>2.247232021E9</v>
      </c>
      <c r="I255" s="7">
        <v>543675.0</v>
      </c>
      <c r="J255" s="7">
        <v>509387.0</v>
      </c>
      <c r="K255" s="7">
        <v>34288.0</v>
      </c>
      <c r="L255" s="7">
        <v>95.74</v>
      </c>
      <c r="M255" s="7">
        <v>-0.14</v>
      </c>
      <c r="N255" s="7">
        <v>51049.0</v>
      </c>
      <c r="O255" s="7">
        <v>2.3337447E7</v>
      </c>
      <c r="P255" s="7" t="s">
        <v>411</v>
      </c>
      <c r="Q255" s="7">
        <v>5003.79</v>
      </c>
      <c r="R255" s="3">
        <f t="shared" si="1"/>
        <v>10000</v>
      </c>
    </row>
    <row r="256" ht="22.5" customHeight="1">
      <c r="B256" s="7" t="s">
        <v>271</v>
      </c>
      <c r="C256" s="7">
        <v>1176.0</v>
      </c>
      <c r="D256" s="7">
        <v>78498.0</v>
      </c>
      <c r="E256" s="7">
        <v>4.4894531E7</v>
      </c>
      <c r="F256" s="7">
        <v>4.3709626E7</v>
      </c>
      <c r="G256" s="7">
        <v>2.00676882E8</v>
      </c>
      <c r="H256" s="7">
        <v>1.301493906E9</v>
      </c>
      <c r="I256" s="7">
        <v>971474.0</v>
      </c>
      <c r="J256" s="7">
        <v>910055.0</v>
      </c>
      <c r="K256" s="7">
        <v>61419.0</v>
      </c>
      <c r="L256" s="7">
        <v>63.12</v>
      </c>
      <c r="M256" s="7">
        <v>-0.09</v>
      </c>
      <c r="N256" s="7">
        <v>96868.0</v>
      </c>
      <c r="O256" s="7">
        <v>2.5028262E7</v>
      </c>
      <c r="P256" s="7" t="s">
        <v>411</v>
      </c>
      <c r="Q256" s="7">
        <v>5003.77</v>
      </c>
      <c r="R256" s="3">
        <f t="shared" si="1"/>
        <v>10000</v>
      </c>
    </row>
    <row r="257" ht="22.5" customHeight="1">
      <c r="B257" s="7" t="s">
        <v>272</v>
      </c>
      <c r="C257" s="7">
        <v>1097.0</v>
      </c>
      <c r="D257" s="7">
        <v>23771.0</v>
      </c>
      <c r="E257" s="7">
        <v>8714302.0</v>
      </c>
      <c r="F257" s="7">
        <v>8643152.0</v>
      </c>
      <c r="G257" s="7">
        <v>1.7636995E7</v>
      </c>
      <c r="H257" s="7">
        <v>1.215559877E9</v>
      </c>
      <c r="I257" s="7">
        <v>496112.0</v>
      </c>
      <c r="J257" s="7">
        <v>486427.0</v>
      </c>
      <c r="K257" s="7">
        <v>9685.0</v>
      </c>
      <c r="L257" s="7">
        <v>33.71</v>
      </c>
      <c r="M257" s="7">
        <v>-0.07</v>
      </c>
      <c r="N257" s="7">
        <v>14689.0</v>
      </c>
      <c r="O257" s="7">
        <v>4332180.0</v>
      </c>
      <c r="P257" s="7" t="s">
        <v>411</v>
      </c>
      <c r="Q257" s="7">
        <v>5003.83</v>
      </c>
      <c r="R257" s="3">
        <f t="shared" si="1"/>
        <v>10000</v>
      </c>
    </row>
    <row r="258" ht="22.5" customHeight="1">
      <c r="B258" s="7" t="s">
        <v>273</v>
      </c>
      <c r="C258" s="7">
        <v>1164.0</v>
      </c>
      <c r="D258" s="7">
        <v>28980.0</v>
      </c>
      <c r="E258" s="7">
        <v>1.0592887E7</v>
      </c>
      <c r="F258" s="7">
        <v>1.0504745E7</v>
      </c>
      <c r="G258" s="7">
        <v>2.1584224E7</v>
      </c>
      <c r="H258" s="7">
        <v>1.132998862E9</v>
      </c>
      <c r="I258" s="7">
        <v>485146.0</v>
      </c>
      <c r="J258" s="7">
        <v>470340.0</v>
      </c>
      <c r="K258" s="7">
        <v>14806.0</v>
      </c>
      <c r="L258" s="7">
        <v>33.77</v>
      </c>
      <c r="M258" s="7">
        <v>-0.07</v>
      </c>
      <c r="N258" s="7">
        <v>22700.0</v>
      </c>
      <c r="O258" s="7">
        <v>4420872.0</v>
      </c>
      <c r="P258" s="7" t="s">
        <v>411</v>
      </c>
      <c r="Q258" s="7">
        <v>5003.84</v>
      </c>
      <c r="R258" s="3">
        <f t="shared" si="1"/>
        <v>10000</v>
      </c>
    </row>
    <row r="259" ht="22.5" customHeight="1">
      <c r="B259" s="7" t="s">
        <v>237</v>
      </c>
      <c r="C259" s="7">
        <v>15320.0</v>
      </c>
      <c r="D259" s="7">
        <v>245163.0</v>
      </c>
      <c r="E259" s="7">
        <v>1.1844887E7</v>
      </c>
      <c r="F259" s="7">
        <v>1.1651064E7</v>
      </c>
      <c r="G259" s="7">
        <v>3.5807803E7</v>
      </c>
      <c r="H259" s="7">
        <v>4.240138064E9</v>
      </c>
      <c r="I259" s="7">
        <v>488398.0</v>
      </c>
      <c r="J259" s="7">
        <v>470349.0</v>
      </c>
      <c r="K259" s="7">
        <v>18049.0</v>
      </c>
      <c r="L259" s="7">
        <v>63.71</v>
      </c>
      <c r="M259" s="7">
        <v>-0.09</v>
      </c>
      <c r="N259" s="7">
        <v>27858.0</v>
      </c>
      <c r="O259" s="7">
        <v>5191420.0</v>
      </c>
      <c r="P259" s="7" t="s">
        <v>411</v>
      </c>
      <c r="Q259" s="7">
        <v>5003.82</v>
      </c>
      <c r="R259" s="3">
        <f t="shared" si="1"/>
        <v>10000</v>
      </c>
    </row>
    <row r="260" ht="22.5" customHeight="1">
      <c r="B260" s="7" t="s">
        <v>275</v>
      </c>
      <c r="C260" s="7">
        <v>422649.0</v>
      </c>
      <c r="D260" s="7">
        <v>1265651.0</v>
      </c>
      <c r="E260" s="7">
        <v>3735193.0</v>
      </c>
      <c r="F260" s="7">
        <v>3612528.0</v>
      </c>
      <c r="G260" s="7">
        <v>1.8446191E7</v>
      </c>
      <c r="H260" s="7">
        <v>1.1209070975E10</v>
      </c>
      <c r="I260" s="7">
        <v>109091.0</v>
      </c>
      <c r="J260" s="7">
        <v>101273.0</v>
      </c>
      <c r="K260" s="7">
        <v>7818.0</v>
      </c>
      <c r="L260" s="7">
        <v>111.22</v>
      </c>
      <c r="M260" s="7">
        <v>-0.12</v>
      </c>
      <c r="N260" s="7">
        <v>11450.0</v>
      </c>
      <c r="O260" s="7">
        <v>3901783.0</v>
      </c>
      <c r="P260" s="7" t="s">
        <v>411</v>
      </c>
      <c r="Q260" s="7">
        <v>5003.81</v>
      </c>
      <c r="R260" s="3">
        <f t="shared" si="1"/>
        <v>10000</v>
      </c>
    </row>
    <row r="261" ht="22.5" customHeight="1">
      <c r="B261" s="7" t="s">
        <v>220</v>
      </c>
      <c r="C261" s="7">
        <v>171148.0</v>
      </c>
      <c r="D261" s="7">
        <v>6591010.0</v>
      </c>
      <c r="E261" s="7">
        <v>2548435.0</v>
      </c>
      <c r="F261" s="7">
        <v>2519425.0</v>
      </c>
      <c r="G261" s="7">
        <v>4539168.0</v>
      </c>
      <c r="H261" s="7">
        <v>1.541781457E9</v>
      </c>
      <c r="I261" s="7">
        <v>114769.0</v>
      </c>
      <c r="J261" s="7">
        <v>111371.0</v>
      </c>
      <c r="K261" s="7">
        <v>3398.0</v>
      </c>
      <c r="L261" s="7">
        <v>25.85</v>
      </c>
      <c r="M261" s="7">
        <v>-0.07</v>
      </c>
      <c r="N261" s="7">
        <v>5220.0</v>
      </c>
      <c r="O261" s="7">
        <v>1099253.0</v>
      </c>
      <c r="P261" s="7" t="s">
        <v>411</v>
      </c>
      <c r="Q261" s="7">
        <v>5019.34</v>
      </c>
      <c r="R261" s="3">
        <f t="shared" si="1"/>
        <v>10000</v>
      </c>
    </row>
    <row r="262" ht="22.5" customHeight="1">
      <c r="B262" s="7" t="s">
        <v>214</v>
      </c>
      <c r="C262" s="7">
        <v>1236271.0</v>
      </c>
      <c r="D262" s="7">
        <v>4906536.0</v>
      </c>
      <c r="E262" s="7">
        <v>181726.0</v>
      </c>
      <c r="F262" s="7">
        <v>176577.0</v>
      </c>
      <c r="G262" s="7">
        <v>622216.0</v>
      </c>
      <c r="H262" s="7">
        <v>4.361911091E9</v>
      </c>
      <c r="I262" s="7">
        <v>9895.0</v>
      </c>
      <c r="J262" s="7">
        <v>9625.0</v>
      </c>
      <c r="K262" s="7">
        <v>270.0</v>
      </c>
      <c r="L262" s="7">
        <v>36.36</v>
      </c>
      <c r="M262" s="7">
        <v>-0.12</v>
      </c>
      <c r="N262" s="7">
        <v>421.0</v>
      </c>
      <c r="O262" s="7">
        <v>71217.0</v>
      </c>
      <c r="P262" s="7" t="s">
        <v>411</v>
      </c>
      <c r="Q262" s="7">
        <v>5010.42</v>
      </c>
      <c r="R262" s="3">
        <f t="shared" si="1"/>
        <v>10000</v>
      </c>
    </row>
    <row r="263" ht="22.5" customHeight="1">
      <c r="B263" s="7" t="s">
        <v>278</v>
      </c>
      <c r="C263" s="7">
        <v>63268.0</v>
      </c>
      <c r="D263" s="7">
        <v>396114.0</v>
      </c>
      <c r="E263" s="7">
        <v>6670238.0</v>
      </c>
      <c r="F263" s="7">
        <v>6513585.0</v>
      </c>
      <c r="G263" s="7">
        <v>2.9915915E7</v>
      </c>
      <c r="H263" s="7">
        <v>1.822296537E9</v>
      </c>
      <c r="I263" s="7">
        <v>392857.0</v>
      </c>
      <c r="J263" s="7">
        <v>384488.0</v>
      </c>
      <c r="K263" s="7">
        <v>8369.0</v>
      </c>
      <c r="L263" s="7">
        <v>45.53</v>
      </c>
      <c r="M263" s="7">
        <v>-0.13</v>
      </c>
      <c r="N263" s="7">
        <v>12558.0</v>
      </c>
      <c r="O263" s="7">
        <v>4522171.0</v>
      </c>
      <c r="P263" s="7" t="s">
        <v>411</v>
      </c>
      <c r="Q263" s="7">
        <v>5002.73</v>
      </c>
      <c r="R263" s="3">
        <f t="shared" si="1"/>
        <v>10000</v>
      </c>
    </row>
    <row r="264" ht="22.5" customHeight="1">
      <c r="B264" s="7" t="s">
        <v>256</v>
      </c>
      <c r="C264" s="7">
        <v>63268.0</v>
      </c>
      <c r="D264" s="7">
        <v>374457.0</v>
      </c>
      <c r="E264" s="7">
        <v>5631419.0</v>
      </c>
      <c r="F264" s="7">
        <v>5494607.0</v>
      </c>
      <c r="G264" s="7">
        <v>2.0469385E7</v>
      </c>
      <c r="H264" s="7">
        <v>2.344661561E9</v>
      </c>
      <c r="I264" s="7">
        <v>280780.0</v>
      </c>
      <c r="J264" s="7">
        <v>272053.0</v>
      </c>
      <c r="K264" s="7">
        <v>8727.0</v>
      </c>
      <c r="L264" s="7">
        <v>63.11</v>
      </c>
      <c r="M264" s="7">
        <v>-0.12</v>
      </c>
      <c r="N264" s="7">
        <v>12911.0</v>
      </c>
      <c r="O264" s="7">
        <v>3260716.0</v>
      </c>
      <c r="P264" s="7" t="s">
        <v>411</v>
      </c>
      <c r="Q264" s="7">
        <v>5002.97</v>
      </c>
      <c r="R264" s="3">
        <f t="shared" si="1"/>
        <v>10000</v>
      </c>
    </row>
    <row r="265" ht="22.5" customHeight="1">
      <c r="B265" s="7" t="s">
        <v>279</v>
      </c>
      <c r="C265" s="7">
        <v>68940.0</v>
      </c>
      <c r="D265" s="7">
        <v>327952.0</v>
      </c>
      <c r="E265" s="7">
        <v>5781244.0</v>
      </c>
      <c r="F265" s="7">
        <v>5636515.0</v>
      </c>
      <c r="G265" s="7">
        <v>1.7598904E7</v>
      </c>
      <c r="H265" s="7">
        <v>2.451426192E9</v>
      </c>
      <c r="I265" s="7">
        <v>260228.0</v>
      </c>
      <c r="J265" s="7">
        <v>251806.0</v>
      </c>
      <c r="K265" s="7">
        <v>8422.0</v>
      </c>
      <c r="L265" s="7">
        <v>55.61</v>
      </c>
      <c r="M265" s="7">
        <v>-0.11</v>
      </c>
      <c r="N265" s="7">
        <v>12610.0</v>
      </c>
      <c r="O265" s="7">
        <v>3345102.0</v>
      </c>
      <c r="P265" s="7" t="s">
        <v>411</v>
      </c>
      <c r="Q265" s="7">
        <v>5002.82</v>
      </c>
      <c r="R265" s="3">
        <f t="shared" si="1"/>
        <v>10000</v>
      </c>
    </row>
    <row r="266" ht="22.5" customHeight="1">
      <c r="B266" s="7" t="s">
        <v>247</v>
      </c>
      <c r="C266" s="7">
        <v>68940.0</v>
      </c>
      <c r="D266" s="7">
        <v>310541.0</v>
      </c>
      <c r="E266" s="7">
        <v>4968594.0</v>
      </c>
      <c r="F266" s="7">
        <v>4855790.0</v>
      </c>
      <c r="G266" s="7">
        <v>1.2125931E7</v>
      </c>
      <c r="H266" s="7">
        <v>2.489573847E9</v>
      </c>
      <c r="I266" s="7">
        <v>183106.0</v>
      </c>
      <c r="J266" s="7">
        <v>175460.0</v>
      </c>
      <c r="K266" s="7">
        <v>7646.0</v>
      </c>
      <c r="L266" s="7">
        <v>56.72</v>
      </c>
      <c r="M266" s="7">
        <v>-0.09</v>
      </c>
      <c r="N266" s="7">
        <v>11840.0</v>
      </c>
      <c r="O266" s="7">
        <v>2312660.0</v>
      </c>
      <c r="P266" s="7" t="s">
        <v>411</v>
      </c>
      <c r="Q266" s="7">
        <v>5003.31</v>
      </c>
      <c r="R266" s="3">
        <f t="shared" si="1"/>
        <v>10000</v>
      </c>
    </row>
    <row r="267" ht="22.5" customHeight="1">
      <c r="B267" s="7" t="s">
        <v>280</v>
      </c>
      <c r="C267" s="7">
        <v>69644.0</v>
      </c>
      <c r="D267" s="7">
        <v>368587.0</v>
      </c>
      <c r="E267" s="7">
        <v>5885331.0</v>
      </c>
      <c r="F267" s="7">
        <v>5735691.0</v>
      </c>
      <c r="G267" s="7">
        <v>1.7359707E7</v>
      </c>
      <c r="H267" s="7">
        <v>2.00916641E9</v>
      </c>
      <c r="I267" s="7">
        <v>238392.0</v>
      </c>
      <c r="J267" s="7">
        <v>229541.0</v>
      </c>
      <c r="K267" s="7">
        <v>8851.0</v>
      </c>
      <c r="L267" s="7">
        <v>70.86</v>
      </c>
      <c r="M267" s="7">
        <v>-0.1</v>
      </c>
      <c r="N267" s="7">
        <v>13035.0</v>
      </c>
      <c r="O267" s="7">
        <v>3754037.0</v>
      </c>
      <c r="P267" s="7" t="s">
        <v>411</v>
      </c>
      <c r="Q267" s="7">
        <v>5002.92</v>
      </c>
      <c r="R267" s="3">
        <f t="shared" si="1"/>
        <v>10000</v>
      </c>
    </row>
    <row r="268" ht="22.5" customHeight="1">
      <c r="B268" s="7" t="s">
        <v>155</v>
      </c>
      <c r="C268" s="7">
        <v>69644.0</v>
      </c>
      <c r="D268" s="7">
        <v>305432.0</v>
      </c>
      <c r="E268" s="7">
        <v>6259127.0</v>
      </c>
      <c r="F268" s="7">
        <v>6113228.0</v>
      </c>
      <c r="G268" s="7">
        <v>1.5300329E7</v>
      </c>
      <c r="H268" s="7">
        <v>1.822350103E9</v>
      </c>
      <c r="I268" s="7">
        <v>268706.0</v>
      </c>
      <c r="J268" s="7">
        <v>260778.0</v>
      </c>
      <c r="K268" s="7">
        <v>7928.0</v>
      </c>
      <c r="L268" s="7">
        <v>49.01</v>
      </c>
      <c r="M268" s="7">
        <v>-0.1</v>
      </c>
      <c r="N268" s="7">
        <v>12120.0</v>
      </c>
      <c r="O268" s="7">
        <v>3605265.0</v>
      </c>
      <c r="P268" s="7" t="s">
        <v>411</v>
      </c>
      <c r="Q268" s="7">
        <v>5003.4</v>
      </c>
      <c r="R268" s="3">
        <f t="shared" si="1"/>
        <v>10000</v>
      </c>
    </row>
    <row r="269" ht="22.5" customHeight="1">
      <c r="B269" s="7" t="s">
        <v>161</v>
      </c>
      <c r="C269" s="7">
        <v>69644.0</v>
      </c>
      <c r="D269" s="7">
        <v>306029.0</v>
      </c>
      <c r="E269" s="7">
        <v>5138540.0</v>
      </c>
      <c r="F269" s="7">
        <v>5029885.0</v>
      </c>
      <c r="G269" s="7">
        <v>1.0606975E7</v>
      </c>
      <c r="H269" s="7">
        <v>1.652335049E9</v>
      </c>
      <c r="I269" s="7">
        <v>182175.0</v>
      </c>
      <c r="J269" s="7">
        <v>174110.0</v>
      </c>
      <c r="K269" s="7">
        <v>8065.0</v>
      </c>
      <c r="L269" s="7">
        <v>55.5</v>
      </c>
      <c r="M269" s="7">
        <v>-0.08</v>
      </c>
      <c r="N269" s="7">
        <v>12255.0</v>
      </c>
      <c r="O269" s="7">
        <v>2354021.0</v>
      </c>
      <c r="P269" s="7" t="s">
        <v>411</v>
      </c>
      <c r="Q269" s="7">
        <v>5003.21</v>
      </c>
      <c r="R269" s="3">
        <f t="shared" si="1"/>
        <v>10000</v>
      </c>
    </row>
    <row r="270" ht="22.5" customHeight="1">
      <c r="B270" s="7" t="s">
        <v>219</v>
      </c>
      <c r="C270" s="7">
        <v>489685.0</v>
      </c>
      <c r="D270" s="7">
        <v>8702447.0</v>
      </c>
      <c r="E270" s="7">
        <v>1488297.0</v>
      </c>
      <c r="F270" s="7">
        <v>1185921.0</v>
      </c>
      <c r="G270" s="7">
        <v>1.4385451E7</v>
      </c>
      <c r="H270" s="7">
        <v>8.680859861E9</v>
      </c>
      <c r="I270" s="7">
        <v>26023.0</v>
      </c>
      <c r="J270" s="7">
        <v>23745.0</v>
      </c>
      <c r="K270" s="7">
        <v>2278.0</v>
      </c>
      <c r="L270" s="7">
        <v>1179.79</v>
      </c>
      <c r="M270" s="7">
        <v>-0.07</v>
      </c>
      <c r="N270" s="7">
        <v>3300.0</v>
      </c>
      <c r="O270" s="7">
        <v>2514451.0</v>
      </c>
      <c r="P270" s="7" t="s">
        <v>411</v>
      </c>
      <c r="Q270" s="7">
        <v>5004.95</v>
      </c>
      <c r="R270" s="3">
        <f t="shared" si="1"/>
        <v>10000</v>
      </c>
    </row>
    <row r="271" ht="22.5" customHeight="1">
      <c r="B271" s="7" t="s">
        <v>281</v>
      </c>
      <c r="C271" s="7">
        <v>8527.0</v>
      </c>
      <c r="D271" s="7">
        <v>25482.0</v>
      </c>
      <c r="E271" s="7">
        <v>1.6849036E7</v>
      </c>
      <c r="F271" s="7">
        <v>1.684901E7</v>
      </c>
      <c r="G271" s="7">
        <v>1.6856656E7</v>
      </c>
      <c r="H271" s="7">
        <v>1.5657498048E10</v>
      </c>
      <c r="I271" s="7">
        <v>184227.0</v>
      </c>
      <c r="J271" s="7">
        <v>158893.0</v>
      </c>
      <c r="K271" s="7">
        <v>25334.0</v>
      </c>
      <c r="L271" s="7">
        <v>23.4</v>
      </c>
      <c r="M271" s="7">
        <v>0.0</v>
      </c>
      <c r="N271" s="7">
        <v>42193.0</v>
      </c>
      <c r="O271" s="7">
        <v>5466948.0</v>
      </c>
      <c r="P271" s="7" t="s">
        <v>411</v>
      </c>
      <c r="Q271" s="7">
        <v>5003.94</v>
      </c>
      <c r="R271" s="3">
        <f t="shared" si="1"/>
        <v>10000</v>
      </c>
    </row>
    <row r="272" ht="22.5" customHeight="1">
      <c r="B272" s="7" t="s">
        <v>244</v>
      </c>
      <c r="C272" s="7">
        <v>513.0</v>
      </c>
      <c r="D272" s="7">
        <v>1424.0</v>
      </c>
      <c r="E272" s="7">
        <v>3.1675941E7</v>
      </c>
      <c r="F272" s="7">
        <v>3.1502887E7</v>
      </c>
      <c r="G272" s="7">
        <v>3.6715683E7</v>
      </c>
      <c r="H272" s="7">
        <v>7.92437352E8</v>
      </c>
      <c r="I272" s="7">
        <v>1471991.0</v>
      </c>
      <c r="J272" s="7">
        <v>1444436.0</v>
      </c>
      <c r="K272" s="7">
        <v>27555.0</v>
      </c>
      <c r="L272" s="7">
        <v>20.55</v>
      </c>
      <c r="M272" s="7">
        <v>-0.03</v>
      </c>
      <c r="N272" s="7">
        <v>44378.0</v>
      </c>
      <c r="O272" s="7">
        <v>1.7417636E7</v>
      </c>
      <c r="P272" s="7" t="s">
        <v>411</v>
      </c>
      <c r="Q272" s="7">
        <v>5004.01</v>
      </c>
      <c r="R272" s="3">
        <f t="shared" si="1"/>
        <v>10000</v>
      </c>
    </row>
    <row r="273" ht="22.5" customHeight="1">
      <c r="B273" s="7" t="s">
        <v>283</v>
      </c>
      <c r="C273" s="7">
        <v>621.0</v>
      </c>
      <c r="D273" s="7">
        <v>1733.0</v>
      </c>
      <c r="E273" s="7">
        <v>2.8199169E7</v>
      </c>
      <c r="F273" s="7">
        <v>2.8067881E7</v>
      </c>
      <c r="G273" s="7">
        <v>3.821847E7</v>
      </c>
      <c r="H273" s="7">
        <v>6.98133115E8</v>
      </c>
      <c r="I273" s="7">
        <v>1274170.0</v>
      </c>
      <c r="J273" s="7">
        <v>1246543.0</v>
      </c>
      <c r="K273" s="7">
        <v>27627.0</v>
      </c>
      <c r="L273" s="7">
        <v>24.27</v>
      </c>
      <c r="M273" s="7">
        <v>-0.04</v>
      </c>
      <c r="N273" s="7">
        <v>44447.0</v>
      </c>
      <c r="O273" s="7">
        <v>1.4309503E7</v>
      </c>
      <c r="P273" s="7" t="s">
        <v>411</v>
      </c>
      <c r="Q273" s="7">
        <v>5003.99</v>
      </c>
      <c r="R273" s="3">
        <f t="shared" si="1"/>
        <v>10000</v>
      </c>
    </row>
    <row r="274" ht="22.5" customHeight="1">
      <c r="B274" s="7" t="s">
        <v>284</v>
      </c>
      <c r="C274" s="7">
        <v>15232.0</v>
      </c>
      <c r="D274" s="7">
        <v>134756.0</v>
      </c>
      <c r="E274" s="7">
        <v>1.6178037E7</v>
      </c>
      <c r="F274" s="7">
        <v>1.6003184E7</v>
      </c>
      <c r="G274" s="7">
        <v>2.056389E7</v>
      </c>
      <c r="H274" s="7">
        <v>8.425515781E9</v>
      </c>
      <c r="I274" s="7">
        <v>440724.0</v>
      </c>
      <c r="J274" s="7">
        <v>409951.0</v>
      </c>
      <c r="K274" s="7">
        <v>30773.0</v>
      </c>
      <c r="L274" s="7">
        <v>17.25</v>
      </c>
      <c r="M274" s="7">
        <v>-0.04</v>
      </c>
      <c r="N274" s="7">
        <v>47249.0</v>
      </c>
      <c r="O274" s="7">
        <v>4432186.0</v>
      </c>
      <c r="P274" s="7" t="s">
        <v>411</v>
      </c>
      <c r="Q274" s="7">
        <v>5004.0</v>
      </c>
      <c r="R274" s="3">
        <f t="shared" si="1"/>
        <v>10000</v>
      </c>
    </row>
    <row r="275" ht="22.5" customHeight="1">
      <c r="B275" s="7" t="s">
        <v>285</v>
      </c>
      <c r="C275" s="7">
        <v>4660.0</v>
      </c>
      <c r="D275" s="7">
        <v>13676.0</v>
      </c>
      <c r="E275" s="7">
        <v>2.4672181E7</v>
      </c>
      <c r="F275" s="7">
        <v>2.4669615E7</v>
      </c>
      <c r="G275" s="7">
        <v>2.4720154E7</v>
      </c>
      <c r="H275" s="7">
        <v>4.302210802E9</v>
      </c>
      <c r="I275" s="7">
        <v>422288.0</v>
      </c>
      <c r="J275" s="7">
        <v>396765.0</v>
      </c>
      <c r="K275" s="7">
        <v>25523.0</v>
      </c>
      <c r="L275" s="7">
        <v>59.17</v>
      </c>
      <c r="M275" s="7">
        <v>0.0</v>
      </c>
      <c r="N275" s="7">
        <v>42381.0</v>
      </c>
      <c r="O275" s="7">
        <v>1.2618054E7</v>
      </c>
      <c r="P275" s="7" t="s">
        <v>411</v>
      </c>
      <c r="Q275" s="7">
        <v>5004.0</v>
      </c>
      <c r="R275" s="3">
        <f t="shared" si="1"/>
        <v>10000</v>
      </c>
    </row>
    <row r="276" ht="22.5" customHeight="1">
      <c r="B276" s="7" t="s">
        <v>286</v>
      </c>
      <c r="C276" s="7">
        <v>3633.0</v>
      </c>
      <c r="D276" s="7">
        <v>10625.0</v>
      </c>
      <c r="E276" s="7">
        <v>1.9198777E7</v>
      </c>
      <c r="F276" s="7">
        <v>1.8930714E7</v>
      </c>
      <c r="G276" s="7">
        <v>2.6728229E7</v>
      </c>
      <c r="H276" s="7">
        <v>3.934588143E9</v>
      </c>
      <c r="I276" s="7">
        <v>724595.0</v>
      </c>
      <c r="J276" s="7">
        <v>695448.0</v>
      </c>
      <c r="K276" s="7">
        <v>29147.0</v>
      </c>
      <c r="L276" s="7">
        <v>46.94</v>
      </c>
      <c r="M276" s="7">
        <v>-0.02</v>
      </c>
      <c r="N276" s="7">
        <v>45951.0</v>
      </c>
      <c r="O276" s="7">
        <v>6525422.0</v>
      </c>
      <c r="P276" s="7" t="s">
        <v>411</v>
      </c>
      <c r="Q276" s="7">
        <v>5004.02</v>
      </c>
      <c r="R276" s="3">
        <f t="shared" si="1"/>
        <v>10000</v>
      </c>
    </row>
    <row r="277" ht="22.5" customHeight="1">
      <c r="B277" s="7" t="s">
        <v>287</v>
      </c>
      <c r="C277" s="7">
        <v>97.0</v>
      </c>
      <c r="D277" s="7">
        <v>204.0</v>
      </c>
      <c r="E277" s="7">
        <v>3.1025105E7</v>
      </c>
      <c r="F277" s="7">
        <v>3.0805068E7</v>
      </c>
      <c r="G277" s="7">
        <v>3.6814821E7</v>
      </c>
      <c r="H277" s="7">
        <v>4.43940924E8</v>
      </c>
      <c r="I277" s="7">
        <v>1731669.0</v>
      </c>
      <c r="J277" s="7">
        <v>1703892.0</v>
      </c>
      <c r="K277" s="7">
        <v>27777.0</v>
      </c>
      <c r="L277" s="7">
        <v>18.59</v>
      </c>
      <c r="M277" s="7">
        <v>-0.03</v>
      </c>
      <c r="N277" s="7">
        <v>44595.0</v>
      </c>
      <c r="O277" s="7">
        <v>1.5572088E7</v>
      </c>
      <c r="P277" s="7" t="s">
        <v>411</v>
      </c>
      <c r="Q277" s="7">
        <v>5003.96</v>
      </c>
      <c r="R277" s="3">
        <f t="shared" si="1"/>
        <v>10000</v>
      </c>
    </row>
    <row r="278" ht="22.5" customHeight="1">
      <c r="B278" s="7" t="s">
        <v>288</v>
      </c>
      <c r="C278" s="7">
        <v>708290.0</v>
      </c>
      <c r="D278" s="7">
        <v>5425469.0</v>
      </c>
      <c r="E278" s="7">
        <v>2786212.0</v>
      </c>
      <c r="F278" s="7">
        <v>2657844.0</v>
      </c>
      <c r="G278" s="7">
        <v>4.081352E7</v>
      </c>
      <c r="H278" s="7">
        <v>4.741399767E9</v>
      </c>
      <c r="I278" s="7">
        <v>96831.0</v>
      </c>
      <c r="J278" s="7">
        <v>92417.0</v>
      </c>
      <c r="K278" s="7">
        <v>4414.0</v>
      </c>
      <c r="L278" s="7">
        <v>368.04</v>
      </c>
      <c r="M278" s="7">
        <v>-0.19</v>
      </c>
      <c r="N278" s="7">
        <v>6595.0</v>
      </c>
      <c r="O278" s="7">
        <v>6744336.0</v>
      </c>
      <c r="P278" s="7" t="s">
        <v>411</v>
      </c>
      <c r="Q278" s="7">
        <v>5003.93</v>
      </c>
      <c r="R278" s="3">
        <f t="shared" si="1"/>
        <v>10000</v>
      </c>
    </row>
    <row r="279" ht="22.5" customHeight="1">
      <c r="B279" s="7" t="s">
        <v>289</v>
      </c>
      <c r="C279" s="7">
        <v>6154.0</v>
      </c>
      <c r="D279" s="7">
        <v>18364.0</v>
      </c>
      <c r="E279" s="7">
        <v>1.6754376E7</v>
      </c>
      <c r="F279" s="7">
        <v>1.6588876E7</v>
      </c>
      <c r="G279" s="7">
        <v>2.1699076E7</v>
      </c>
      <c r="H279" s="7">
        <v>3.240246679E9</v>
      </c>
      <c r="I279" s="7">
        <v>600210.0</v>
      </c>
      <c r="J279" s="7">
        <v>570434.0</v>
      </c>
      <c r="K279" s="7">
        <v>29776.0</v>
      </c>
      <c r="L279" s="7">
        <v>52.15</v>
      </c>
      <c r="M279" s="7">
        <v>-0.02</v>
      </c>
      <c r="N279" s="7">
        <v>46575.0</v>
      </c>
      <c r="O279" s="7">
        <v>4275576.0</v>
      </c>
      <c r="P279" s="7" t="s">
        <v>411</v>
      </c>
      <c r="Q279" s="7">
        <v>5004.01</v>
      </c>
      <c r="R279" s="3">
        <f t="shared" si="1"/>
        <v>10000</v>
      </c>
    </row>
    <row r="280" ht="22.5" customHeight="1">
      <c r="B280" s="7" t="s">
        <v>290</v>
      </c>
      <c r="C280" s="7">
        <v>3018.0</v>
      </c>
      <c r="D280" s="7">
        <v>8982.0</v>
      </c>
      <c r="E280" s="7">
        <v>1.7858449E7</v>
      </c>
      <c r="F280" s="7">
        <v>1.770034E7</v>
      </c>
      <c r="G280" s="7">
        <v>2.1956761E7</v>
      </c>
      <c r="H280" s="7">
        <v>2.092822803E9</v>
      </c>
      <c r="I280" s="7">
        <v>630940.0</v>
      </c>
      <c r="J280" s="7">
        <v>602406.0</v>
      </c>
      <c r="K280" s="7">
        <v>28534.0</v>
      </c>
      <c r="L280" s="7">
        <v>35.51</v>
      </c>
      <c r="M280" s="7">
        <v>-0.03</v>
      </c>
      <c r="N280" s="7">
        <v>45346.0</v>
      </c>
      <c r="O280" s="7">
        <v>5311865.0</v>
      </c>
      <c r="P280" s="7" t="s">
        <v>411</v>
      </c>
      <c r="Q280" s="7">
        <v>5004.01</v>
      </c>
      <c r="R280" s="3">
        <f t="shared" si="1"/>
        <v>10000</v>
      </c>
    </row>
    <row r="281" ht="22.5" customHeight="1">
      <c r="B281" s="7" t="s">
        <v>291</v>
      </c>
      <c r="C281" s="7">
        <v>4838.0</v>
      </c>
      <c r="D281" s="7">
        <v>14428.0</v>
      </c>
      <c r="E281" s="7">
        <v>1.3903423E7</v>
      </c>
      <c r="F281" s="7">
        <v>1.3789383E7</v>
      </c>
      <c r="G281" s="7">
        <v>1.8257408E7</v>
      </c>
      <c r="H281" s="7">
        <v>1.90891527E9</v>
      </c>
      <c r="I281" s="7">
        <v>499644.0</v>
      </c>
      <c r="J281" s="7">
        <v>476508.0</v>
      </c>
      <c r="K281" s="7">
        <v>23136.0</v>
      </c>
      <c r="L281" s="7">
        <v>46.19</v>
      </c>
      <c r="M281" s="7">
        <v>-0.03</v>
      </c>
      <c r="N281" s="7">
        <v>36124.0</v>
      </c>
      <c r="O281" s="7">
        <v>4174401.0</v>
      </c>
      <c r="P281" s="7" t="s">
        <v>411</v>
      </c>
      <c r="Q281" s="7">
        <v>5004.02</v>
      </c>
      <c r="R281" s="3">
        <f t="shared" si="1"/>
        <v>10000</v>
      </c>
    </row>
    <row r="282" ht="22.5" customHeight="1">
      <c r="B282" s="7" t="s">
        <v>292</v>
      </c>
      <c r="C282" s="7">
        <v>7193.0</v>
      </c>
      <c r="D282" s="7">
        <v>21469.0</v>
      </c>
      <c r="E282" s="7">
        <v>1.6285644E7</v>
      </c>
      <c r="F282" s="7">
        <v>1.6137107E7</v>
      </c>
      <c r="G282" s="7">
        <v>2.0833983E7</v>
      </c>
      <c r="H282" s="7">
        <v>2.704568004E9</v>
      </c>
      <c r="I282" s="7">
        <v>461523.0</v>
      </c>
      <c r="J282" s="7">
        <v>430390.0</v>
      </c>
      <c r="K282" s="7">
        <v>31133.0</v>
      </c>
      <c r="L282" s="7">
        <v>68.56</v>
      </c>
      <c r="M282" s="7">
        <v>-0.03</v>
      </c>
      <c r="N282" s="7">
        <v>47765.0</v>
      </c>
      <c r="O282" s="7">
        <v>4286775.0</v>
      </c>
      <c r="P282" s="7" t="s">
        <v>411</v>
      </c>
      <c r="Q282" s="7">
        <v>5004.0</v>
      </c>
      <c r="R282" s="3">
        <f t="shared" si="1"/>
        <v>10000</v>
      </c>
    </row>
    <row r="283" ht="22.5" customHeight="1">
      <c r="B283" s="7" t="s">
        <v>293</v>
      </c>
      <c r="C283" s="7">
        <v>4000.0</v>
      </c>
      <c r="D283" s="7">
        <v>11914.0</v>
      </c>
      <c r="E283" s="7">
        <v>1.742834E7</v>
      </c>
      <c r="F283" s="7">
        <v>1.7271637E7</v>
      </c>
      <c r="G283" s="7">
        <v>2.2746345E7</v>
      </c>
      <c r="H283" s="7">
        <v>2.15608613E9</v>
      </c>
      <c r="I283" s="7">
        <v>621184.0</v>
      </c>
      <c r="J283" s="7">
        <v>591573.0</v>
      </c>
      <c r="K283" s="7">
        <v>29611.0</v>
      </c>
      <c r="L283" s="7">
        <v>44.49</v>
      </c>
      <c r="M283" s="7">
        <v>-0.03</v>
      </c>
      <c r="N283" s="7">
        <v>46412.0</v>
      </c>
      <c r="O283" s="7">
        <v>4890769.0</v>
      </c>
      <c r="P283" s="7" t="s">
        <v>411</v>
      </c>
      <c r="Q283" s="7">
        <v>5004.0</v>
      </c>
      <c r="R283" s="3">
        <f t="shared" si="1"/>
        <v>10000</v>
      </c>
    </row>
    <row r="284" ht="22.5" customHeight="1">
      <c r="B284" s="7" t="s">
        <v>294</v>
      </c>
      <c r="C284" s="7">
        <v>4249.0</v>
      </c>
      <c r="D284" s="7">
        <v>12662.0</v>
      </c>
      <c r="E284" s="7">
        <v>1.3363116E7</v>
      </c>
      <c r="F284" s="7">
        <v>1.3251737E7</v>
      </c>
      <c r="G284" s="7">
        <v>1.7193115E7</v>
      </c>
      <c r="H284" s="7">
        <v>1.595694478E9</v>
      </c>
      <c r="I284" s="7">
        <v>498092.0</v>
      </c>
      <c r="J284" s="7">
        <v>475851.0</v>
      </c>
      <c r="K284" s="7">
        <v>22241.0</v>
      </c>
      <c r="L284" s="7">
        <v>47.72</v>
      </c>
      <c r="M284" s="7">
        <v>-0.03</v>
      </c>
      <c r="N284" s="7">
        <v>34392.0</v>
      </c>
      <c r="O284" s="7">
        <v>4193716.0</v>
      </c>
      <c r="P284" s="7" t="s">
        <v>411</v>
      </c>
      <c r="Q284" s="7">
        <v>5004.03</v>
      </c>
      <c r="R284" s="3">
        <f t="shared" si="1"/>
        <v>10000</v>
      </c>
    </row>
    <row r="285" ht="22.5" customHeight="1">
      <c r="B285" s="7" t="s">
        <v>295</v>
      </c>
      <c r="C285" s="7">
        <v>5550.0</v>
      </c>
      <c r="D285" s="7">
        <v>16552.0</v>
      </c>
      <c r="E285" s="7">
        <v>1.5877082E7</v>
      </c>
      <c r="F285" s="7">
        <v>1.5732142E7</v>
      </c>
      <c r="G285" s="7">
        <v>2.0939692E7</v>
      </c>
      <c r="H285" s="7">
        <v>2.014821717E9</v>
      </c>
      <c r="I285" s="7">
        <v>498475.0</v>
      </c>
      <c r="J285" s="7">
        <v>469059.0</v>
      </c>
      <c r="K285" s="7">
        <v>29416.0</v>
      </c>
      <c r="L285" s="7">
        <v>54.93</v>
      </c>
      <c r="M285" s="7">
        <v>-0.03</v>
      </c>
      <c r="N285" s="7">
        <v>45424.0</v>
      </c>
      <c r="O285" s="7">
        <v>4192869.0</v>
      </c>
      <c r="P285" s="7" t="s">
        <v>411</v>
      </c>
      <c r="Q285" s="7">
        <v>5004.0</v>
      </c>
      <c r="R285" s="3">
        <f t="shared" si="1"/>
        <v>10000</v>
      </c>
    </row>
    <row r="286" ht="22.5" customHeight="1">
      <c r="B286" s="7" t="s">
        <v>296</v>
      </c>
      <c r="C286" s="7">
        <v>7282.0</v>
      </c>
      <c r="D286" s="7">
        <v>21738.0</v>
      </c>
      <c r="E286" s="7">
        <v>1.6525971E7</v>
      </c>
      <c r="F286" s="7">
        <v>1.6395428E7</v>
      </c>
      <c r="G286" s="7">
        <v>2.0674047E7</v>
      </c>
      <c r="H286" s="7">
        <v>3.557537596E9</v>
      </c>
      <c r="I286" s="7">
        <v>506773.0</v>
      </c>
      <c r="J286" s="7">
        <v>476342.0</v>
      </c>
      <c r="K286" s="7">
        <v>30431.0</v>
      </c>
      <c r="L286" s="7">
        <v>57.33</v>
      </c>
      <c r="M286" s="7">
        <v>-0.02</v>
      </c>
      <c r="N286" s="7">
        <v>47228.0</v>
      </c>
      <c r="O286" s="7">
        <v>4315189.0</v>
      </c>
      <c r="P286" s="7" t="s">
        <v>411</v>
      </c>
      <c r="Q286" s="7">
        <v>5004.02</v>
      </c>
      <c r="R286" s="3">
        <f t="shared" si="1"/>
        <v>10000</v>
      </c>
    </row>
    <row r="287" ht="22.5" customHeight="1">
      <c r="B287" s="7" t="s">
        <v>297</v>
      </c>
      <c r="C287" s="7">
        <v>3278.0</v>
      </c>
      <c r="D287" s="7">
        <v>9760.0</v>
      </c>
      <c r="E287" s="7">
        <v>1.5559329E7</v>
      </c>
      <c r="F287" s="7">
        <v>1.5430502E7</v>
      </c>
      <c r="G287" s="7">
        <v>1.9380778E7</v>
      </c>
      <c r="H287" s="7">
        <v>1.916902076E9</v>
      </c>
      <c r="I287" s="7">
        <v>544124.0</v>
      </c>
      <c r="J287" s="7">
        <v>517269.0</v>
      </c>
      <c r="K287" s="7">
        <v>26855.0</v>
      </c>
      <c r="L287" s="7">
        <v>31.57</v>
      </c>
      <c r="M287" s="7">
        <v>-0.03</v>
      </c>
      <c r="N287" s="7">
        <v>42396.0</v>
      </c>
      <c r="O287" s="7">
        <v>4052232.0</v>
      </c>
      <c r="P287" s="7" t="s">
        <v>411</v>
      </c>
      <c r="Q287" s="7">
        <v>5004.01</v>
      </c>
      <c r="R287" s="3">
        <f t="shared" si="1"/>
        <v>10000</v>
      </c>
    </row>
    <row r="288" ht="22.5" customHeight="1">
      <c r="B288" s="7" t="s">
        <v>298</v>
      </c>
      <c r="C288" s="7">
        <v>3096.0</v>
      </c>
      <c r="D288" s="7">
        <v>9215.0</v>
      </c>
      <c r="E288" s="7">
        <v>1.6561955E7</v>
      </c>
      <c r="F288" s="7">
        <v>1.6451988E7</v>
      </c>
      <c r="G288" s="7">
        <v>2.0260928E7</v>
      </c>
      <c r="H288" s="7">
        <v>1.92159279E9</v>
      </c>
      <c r="I288" s="7">
        <v>555840.0</v>
      </c>
      <c r="J288" s="7">
        <v>526291.0</v>
      </c>
      <c r="K288" s="7">
        <v>29549.0</v>
      </c>
      <c r="L288" s="7">
        <v>33.65</v>
      </c>
      <c r="M288" s="7">
        <v>-0.03</v>
      </c>
      <c r="N288" s="7">
        <v>46358.0</v>
      </c>
      <c r="O288" s="7">
        <v>4202037.0</v>
      </c>
      <c r="P288" s="7" t="s">
        <v>411</v>
      </c>
      <c r="Q288" s="7">
        <v>5004.02</v>
      </c>
      <c r="R288" s="3">
        <f t="shared" si="1"/>
        <v>10000</v>
      </c>
    </row>
    <row r="289" ht="22.5" customHeight="1">
      <c r="B289" s="7" t="s">
        <v>299</v>
      </c>
      <c r="C289" s="7">
        <v>4136.0</v>
      </c>
      <c r="D289" s="7">
        <v>12323.0</v>
      </c>
      <c r="E289" s="7">
        <v>1.8050913E7</v>
      </c>
      <c r="F289" s="7">
        <v>1.7876811E7</v>
      </c>
      <c r="G289" s="7">
        <v>2.4503343E7</v>
      </c>
      <c r="H289" s="7">
        <v>2.185704737E9</v>
      </c>
      <c r="I289" s="7">
        <v>648441.0</v>
      </c>
      <c r="J289" s="7">
        <v>620414.0</v>
      </c>
      <c r="K289" s="7">
        <v>28027.0</v>
      </c>
      <c r="L289" s="7">
        <v>35.84</v>
      </c>
      <c r="M289" s="7">
        <v>-0.03</v>
      </c>
      <c r="N289" s="7">
        <v>44837.0</v>
      </c>
      <c r="O289" s="7">
        <v>5477629.0</v>
      </c>
      <c r="P289" s="7" t="s">
        <v>411</v>
      </c>
      <c r="Q289" s="7">
        <v>5004.0</v>
      </c>
      <c r="R289" s="3">
        <f t="shared" si="1"/>
        <v>10000</v>
      </c>
    </row>
    <row r="290" ht="22.5" customHeight="1">
      <c r="B290" s="7" t="s">
        <v>300</v>
      </c>
      <c r="C290" s="7">
        <v>6576.0</v>
      </c>
      <c r="D290" s="7">
        <v>19630.0</v>
      </c>
      <c r="E290" s="7">
        <v>1.3511485E7</v>
      </c>
      <c r="F290" s="7">
        <v>1.3385434E7</v>
      </c>
      <c r="G290" s="7">
        <v>1.8085041E7</v>
      </c>
      <c r="H290" s="7">
        <v>2.688556834E9</v>
      </c>
      <c r="I290" s="7">
        <v>498248.0</v>
      </c>
      <c r="J290" s="7">
        <v>476670.0</v>
      </c>
      <c r="K290" s="7">
        <v>21578.0</v>
      </c>
      <c r="L290" s="7">
        <v>48.58</v>
      </c>
      <c r="M290" s="7">
        <v>-0.02</v>
      </c>
      <c r="N290" s="7">
        <v>33964.0</v>
      </c>
      <c r="O290" s="7">
        <v>4177760.0</v>
      </c>
      <c r="P290" s="7" t="s">
        <v>411</v>
      </c>
      <c r="Q290" s="7">
        <v>5004.03</v>
      </c>
      <c r="R290" s="3">
        <f t="shared" si="1"/>
        <v>10000</v>
      </c>
    </row>
    <row r="291" ht="22.5" customHeight="1">
      <c r="B291" s="7" t="s">
        <v>301</v>
      </c>
      <c r="C291" s="7">
        <v>3001.0</v>
      </c>
      <c r="D291" s="7">
        <v>8931.0</v>
      </c>
      <c r="E291" s="7">
        <v>1.5820135E7</v>
      </c>
      <c r="F291" s="7">
        <v>1.570586E7</v>
      </c>
      <c r="G291" s="7">
        <v>1.9250069E7</v>
      </c>
      <c r="H291" s="7">
        <v>1.746915854E9</v>
      </c>
      <c r="I291" s="7">
        <v>506873.0</v>
      </c>
      <c r="J291" s="7">
        <v>479253.0</v>
      </c>
      <c r="K291" s="7">
        <v>27620.0</v>
      </c>
      <c r="L291" s="7">
        <v>34.22</v>
      </c>
      <c r="M291" s="7">
        <v>-0.03</v>
      </c>
      <c r="N291" s="7">
        <v>43564.0</v>
      </c>
      <c r="O291" s="7">
        <v>4164942.0</v>
      </c>
      <c r="P291" s="7" t="s">
        <v>411</v>
      </c>
      <c r="Q291" s="7">
        <v>5004.01</v>
      </c>
      <c r="R291" s="3">
        <f t="shared" si="1"/>
        <v>10000</v>
      </c>
    </row>
    <row r="292" ht="22.5" customHeight="1">
      <c r="B292" s="7" t="s">
        <v>302</v>
      </c>
      <c r="C292" s="7">
        <v>4344.0</v>
      </c>
      <c r="D292" s="7">
        <v>12948.0</v>
      </c>
      <c r="E292" s="7">
        <v>1.7438526E7</v>
      </c>
      <c r="F292" s="7">
        <v>1.7284712E7</v>
      </c>
      <c r="G292" s="7">
        <v>2.2679269E7</v>
      </c>
      <c r="H292" s="7">
        <v>2.255044901E9</v>
      </c>
      <c r="I292" s="7">
        <v>593026.0</v>
      </c>
      <c r="J292" s="7">
        <v>564322.0</v>
      </c>
      <c r="K292" s="7">
        <v>28704.0</v>
      </c>
      <c r="L292" s="7">
        <v>35.62</v>
      </c>
      <c r="M292" s="7">
        <v>-0.03</v>
      </c>
      <c r="N292" s="7">
        <v>45513.0</v>
      </c>
      <c r="O292" s="7">
        <v>5020736.0</v>
      </c>
      <c r="P292" s="7" t="s">
        <v>411</v>
      </c>
      <c r="Q292" s="7">
        <v>5004.01</v>
      </c>
      <c r="R292" s="3">
        <f t="shared" si="1"/>
        <v>10000</v>
      </c>
    </row>
    <row r="293" ht="22.5" customHeight="1">
      <c r="B293" s="7" t="s">
        <v>303</v>
      </c>
      <c r="C293" s="7">
        <v>4699.0</v>
      </c>
      <c r="D293" s="7">
        <v>14013.0</v>
      </c>
      <c r="E293" s="7">
        <v>1.940002E7</v>
      </c>
      <c r="F293" s="7">
        <v>1.9224729E7</v>
      </c>
      <c r="G293" s="7">
        <v>2.8299444E7</v>
      </c>
      <c r="H293" s="7">
        <v>2.175130985E9</v>
      </c>
      <c r="I293" s="7">
        <v>721119.0</v>
      </c>
      <c r="J293" s="7">
        <v>690749.0</v>
      </c>
      <c r="K293" s="7">
        <v>30370.0</v>
      </c>
      <c r="L293" s="7">
        <v>39.75</v>
      </c>
      <c r="M293" s="7">
        <v>-0.04</v>
      </c>
      <c r="N293" s="7">
        <v>47162.0</v>
      </c>
      <c r="O293" s="7">
        <v>6749102.0</v>
      </c>
      <c r="P293" s="7" t="s">
        <v>411</v>
      </c>
      <c r="Q293" s="7">
        <v>5004.02</v>
      </c>
      <c r="R293" s="3">
        <f t="shared" si="1"/>
        <v>10000</v>
      </c>
    </row>
    <row r="294" ht="22.5" customHeight="1">
      <c r="B294" s="7" t="s">
        <v>304</v>
      </c>
      <c r="C294" s="7">
        <v>4292.0</v>
      </c>
      <c r="D294" s="7">
        <v>12790.0</v>
      </c>
      <c r="E294" s="7">
        <v>1.9559588E7</v>
      </c>
      <c r="F294" s="7">
        <v>1.940895E7</v>
      </c>
      <c r="G294" s="7">
        <v>2.5604284E7</v>
      </c>
      <c r="H294" s="7">
        <v>2.282398591E9</v>
      </c>
      <c r="I294" s="7">
        <v>821524.0</v>
      </c>
      <c r="J294" s="7">
        <v>790948.0</v>
      </c>
      <c r="K294" s="7">
        <v>30576.0</v>
      </c>
      <c r="L294" s="7">
        <v>46.07</v>
      </c>
      <c r="M294" s="7">
        <v>-0.03</v>
      </c>
      <c r="N294" s="7">
        <v>47368.0</v>
      </c>
      <c r="O294" s="7">
        <v>6485242.0</v>
      </c>
      <c r="P294" s="7" t="s">
        <v>411</v>
      </c>
      <c r="Q294" s="7">
        <v>5003.94</v>
      </c>
      <c r="R294" s="3">
        <f t="shared" si="1"/>
        <v>10000</v>
      </c>
    </row>
    <row r="295" ht="22.5" customHeight="1">
      <c r="B295" s="7" t="s">
        <v>305</v>
      </c>
      <c r="C295" s="7">
        <v>5418.0</v>
      </c>
      <c r="D295" s="7">
        <v>16168.0</v>
      </c>
      <c r="E295" s="7">
        <v>1.2527726E7</v>
      </c>
      <c r="F295" s="7">
        <v>1.242728E7</v>
      </c>
      <c r="G295" s="7">
        <v>1.6521675E7</v>
      </c>
      <c r="H295" s="7">
        <v>2.087974031E9</v>
      </c>
      <c r="I295" s="7">
        <v>536640.0</v>
      </c>
      <c r="J295" s="7">
        <v>517118.0</v>
      </c>
      <c r="K295" s="7">
        <v>19522.0</v>
      </c>
      <c r="L295" s="7">
        <v>51.57</v>
      </c>
      <c r="M295" s="7">
        <v>-0.03</v>
      </c>
      <c r="N295" s="7">
        <v>30394.0</v>
      </c>
      <c r="O295" s="7">
        <v>4056266.0</v>
      </c>
      <c r="P295" s="7" t="s">
        <v>411</v>
      </c>
      <c r="Q295" s="7">
        <v>5004.0</v>
      </c>
      <c r="R295" s="3">
        <f t="shared" si="1"/>
        <v>10000</v>
      </c>
    </row>
    <row r="296" ht="22.5" customHeight="1">
      <c r="B296" s="7" t="s">
        <v>306</v>
      </c>
      <c r="C296" s="7">
        <v>5702.0</v>
      </c>
      <c r="D296" s="7">
        <v>17010.0</v>
      </c>
      <c r="E296" s="7">
        <v>1.4491615E7</v>
      </c>
      <c r="F296" s="7">
        <v>1.436384E7</v>
      </c>
      <c r="G296" s="7">
        <v>1.8528243E7</v>
      </c>
      <c r="H296" s="7">
        <v>2.279485872E9</v>
      </c>
      <c r="I296" s="7">
        <v>525589.0</v>
      </c>
      <c r="J296" s="7">
        <v>500041.0</v>
      </c>
      <c r="K296" s="7">
        <v>25548.0</v>
      </c>
      <c r="L296" s="7">
        <v>61.88</v>
      </c>
      <c r="M296" s="7">
        <v>-0.03</v>
      </c>
      <c r="N296" s="7">
        <v>39430.0</v>
      </c>
      <c r="O296" s="7">
        <v>4067860.0</v>
      </c>
      <c r="P296" s="7" t="s">
        <v>411</v>
      </c>
      <c r="Q296" s="7">
        <v>5003.99</v>
      </c>
      <c r="R296" s="3">
        <f t="shared" si="1"/>
        <v>10000</v>
      </c>
    </row>
    <row r="297" ht="22.5" customHeight="1">
      <c r="B297" s="7" t="s">
        <v>308</v>
      </c>
      <c r="C297" s="7">
        <v>39544.0</v>
      </c>
      <c r="D297" s="7">
        <v>294276.0</v>
      </c>
      <c r="E297" s="7">
        <v>1.9506221E7</v>
      </c>
      <c r="F297" s="7">
        <v>1.9031596E7</v>
      </c>
      <c r="G297" s="7">
        <v>5.3348446E7</v>
      </c>
      <c r="H297" s="7">
        <v>3.748899083E9</v>
      </c>
      <c r="I297" s="7">
        <v>715930.0</v>
      </c>
      <c r="J297" s="7">
        <v>681920.0</v>
      </c>
      <c r="K297" s="7">
        <v>34010.0</v>
      </c>
      <c r="L297" s="7">
        <v>24.44</v>
      </c>
      <c r="M297" s="7">
        <v>-0.1</v>
      </c>
      <c r="N297" s="7">
        <v>50771.0</v>
      </c>
      <c r="O297" s="7">
        <v>1.0887156E7</v>
      </c>
      <c r="P297" s="7" t="s">
        <v>411</v>
      </c>
      <c r="Q297" s="7">
        <v>5003.99</v>
      </c>
      <c r="R297" s="3">
        <f t="shared" si="1"/>
        <v>10000</v>
      </c>
    </row>
    <row r="298" ht="22.5" customHeight="1">
      <c r="B298" s="7" t="s">
        <v>309</v>
      </c>
      <c r="C298" s="7">
        <v>1534.0</v>
      </c>
      <c r="D298" s="7">
        <v>132295.0</v>
      </c>
      <c r="E298" s="7">
        <v>1.9694337E7</v>
      </c>
      <c r="F298" s="7">
        <v>1.9237176E7</v>
      </c>
      <c r="G298" s="7">
        <v>3.05858E7</v>
      </c>
      <c r="H298" s="7">
        <v>2.337336952E9</v>
      </c>
      <c r="I298" s="7">
        <v>464801.0</v>
      </c>
      <c r="J298" s="7">
        <v>434884.0</v>
      </c>
      <c r="K298" s="7">
        <v>29917.0</v>
      </c>
      <c r="L298" s="7">
        <v>76.68</v>
      </c>
      <c r="M298" s="7">
        <v>-0.05</v>
      </c>
      <c r="N298" s="7">
        <v>46680.0</v>
      </c>
      <c r="O298" s="7">
        <v>8831085.0</v>
      </c>
      <c r="P298" s="7" t="s">
        <v>411</v>
      </c>
      <c r="Q298" s="7">
        <v>5003.98</v>
      </c>
      <c r="R298" s="3">
        <f t="shared" si="1"/>
        <v>10000</v>
      </c>
    </row>
    <row r="299" ht="22.5" customHeight="1">
      <c r="B299" s="7" t="s">
        <v>310</v>
      </c>
      <c r="C299" s="7">
        <v>32402.0</v>
      </c>
      <c r="D299" s="7">
        <v>97364.0</v>
      </c>
      <c r="E299" s="7">
        <v>4824298.0</v>
      </c>
      <c r="F299" s="7">
        <v>4811568.0</v>
      </c>
      <c r="G299" s="7">
        <v>5158137.0</v>
      </c>
      <c r="H299" s="7">
        <v>9.349911726E9</v>
      </c>
      <c r="I299" s="7">
        <v>126601.0</v>
      </c>
      <c r="J299" s="7">
        <v>118781.0</v>
      </c>
      <c r="K299" s="7">
        <v>7820.0</v>
      </c>
      <c r="L299" s="7">
        <v>55.47</v>
      </c>
      <c r="M299" s="7">
        <v>-0.01</v>
      </c>
      <c r="N299" s="7">
        <v>12024.0</v>
      </c>
      <c r="O299" s="7">
        <v>1774741.0</v>
      </c>
      <c r="P299" s="7" t="s">
        <v>411</v>
      </c>
      <c r="Q299" s="7">
        <v>5004.02</v>
      </c>
      <c r="R299" s="3">
        <f t="shared" si="1"/>
        <v>10000</v>
      </c>
    </row>
    <row r="300" ht="22.5" customHeight="1">
      <c r="B300" s="7" t="s">
        <v>311</v>
      </c>
      <c r="C300" s="7">
        <v>69641.0</v>
      </c>
      <c r="D300" s="7">
        <v>226367.0</v>
      </c>
      <c r="E300" s="7">
        <v>1920045.0</v>
      </c>
      <c r="F300" s="7">
        <v>1897438.0</v>
      </c>
      <c r="G300" s="7">
        <v>5257430.0</v>
      </c>
      <c r="H300" s="7">
        <v>8.105590969E9</v>
      </c>
      <c r="I300" s="7">
        <v>89612.0</v>
      </c>
      <c r="J300" s="7">
        <v>87172.0</v>
      </c>
      <c r="K300" s="7">
        <v>2440.0</v>
      </c>
      <c r="L300" s="7">
        <v>106.34</v>
      </c>
      <c r="M300" s="7">
        <v>-0.06</v>
      </c>
      <c r="N300" s="7">
        <v>3487.0</v>
      </c>
      <c r="O300" s="7">
        <v>1176986.0</v>
      </c>
      <c r="P300" s="7" t="s">
        <v>411</v>
      </c>
      <c r="Q300" s="7">
        <v>5003.87</v>
      </c>
      <c r="R300" s="3">
        <f t="shared" si="1"/>
        <v>10000</v>
      </c>
    </row>
    <row r="301" ht="22.5" customHeight="1">
      <c r="B301" s="7" t="s">
        <v>312</v>
      </c>
      <c r="C301" s="7">
        <v>2197.0</v>
      </c>
      <c r="D301" s="7">
        <v>26977.0</v>
      </c>
      <c r="E301" s="7">
        <v>3.1103807E7</v>
      </c>
      <c r="F301" s="7">
        <v>3.0935629E7</v>
      </c>
      <c r="G301" s="7">
        <v>3.3851869E7</v>
      </c>
      <c r="H301" s="7">
        <v>3.46943542E8</v>
      </c>
      <c r="I301" s="7">
        <v>1290273.0</v>
      </c>
      <c r="J301" s="7">
        <v>1255121.0</v>
      </c>
      <c r="K301" s="7">
        <v>35152.0</v>
      </c>
      <c r="L301" s="7">
        <v>50.77</v>
      </c>
      <c r="M301" s="7">
        <v>-0.02</v>
      </c>
      <c r="N301" s="7">
        <v>51894.0</v>
      </c>
      <c r="O301" s="7">
        <v>1.7043212E7</v>
      </c>
      <c r="P301" s="7" t="s">
        <v>411</v>
      </c>
      <c r="Q301" s="7">
        <v>5003.77</v>
      </c>
      <c r="R301" s="3">
        <f t="shared" si="1"/>
        <v>10000</v>
      </c>
    </row>
    <row r="302" ht="22.5" customHeight="1">
      <c r="B302" s="7" t="s">
        <v>313</v>
      </c>
      <c r="C302" s="7">
        <v>81920.0</v>
      </c>
      <c r="D302" s="7">
        <v>1.6496017E7</v>
      </c>
      <c r="E302" s="7">
        <v>6187080.0</v>
      </c>
      <c r="F302" s="7">
        <v>5590790.0</v>
      </c>
      <c r="G302" s="7">
        <v>2.09919068E8</v>
      </c>
      <c r="H302" s="7">
        <v>3.243344532E9</v>
      </c>
      <c r="I302" s="7">
        <v>176188.0</v>
      </c>
      <c r="J302" s="7">
        <v>163156.0</v>
      </c>
      <c r="K302" s="7">
        <v>13032.0</v>
      </c>
      <c r="L302" s="7">
        <v>335.9</v>
      </c>
      <c r="M302" s="7">
        <v>-0.07</v>
      </c>
      <c r="N302" s="7">
        <v>17006.0</v>
      </c>
      <c r="O302" s="7">
        <v>4.4578078E7</v>
      </c>
      <c r="P302" s="7" t="s">
        <v>411</v>
      </c>
      <c r="Q302" s="7">
        <v>5008.29</v>
      </c>
      <c r="R302" s="3">
        <f t="shared" si="1"/>
        <v>10000</v>
      </c>
    </row>
    <row r="303" ht="22.5" customHeight="1">
      <c r="B303" s="7" t="s">
        <v>151</v>
      </c>
      <c r="C303" s="7">
        <v>47040.0</v>
      </c>
      <c r="D303" s="7">
        <v>178880.0</v>
      </c>
      <c r="E303" s="7">
        <v>9239340.0</v>
      </c>
      <c r="F303" s="7">
        <v>9025713.0</v>
      </c>
      <c r="G303" s="7">
        <v>9.1997819E7</v>
      </c>
      <c r="H303" s="7">
        <v>2.0432761093E10</v>
      </c>
      <c r="I303" s="7">
        <v>328196.0</v>
      </c>
      <c r="J303" s="7">
        <v>316888.0</v>
      </c>
      <c r="K303" s="7">
        <v>11308.0</v>
      </c>
      <c r="L303" s="7">
        <v>95.15</v>
      </c>
      <c r="M303" s="7">
        <v>-0.09</v>
      </c>
      <c r="N303" s="7">
        <v>17107.0</v>
      </c>
      <c r="O303" s="7">
        <v>8954383.0</v>
      </c>
      <c r="P303" s="7" t="s">
        <v>411</v>
      </c>
      <c r="Q303" s="7">
        <v>5003.82</v>
      </c>
      <c r="R303" s="3">
        <f t="shared" si="1"/>
        <v>10000</v>
      </c>
    </row>
    <row r="304" ht="22.5" customHeight="1">
      <c r="B304" s="7" t="s">
        <v>314</v>
      </c>
      <c r="C304" s="7">
        <v>370944.0</v>
      </c>
      <c r="D304" s="7">
        <v>1254550.0</v>
      </c>
      <c r="E304" s="7">
        <v>1911838.0</v>
      </c>
      <c r="F304" s="7">
        <v>1858069.0</v>
      </c>
      <c r="G304" s="7">
        <v>6.6610992E7</v>
      </c>
      <c r="H304" s="7">
        <v>1.8936451709E10</v>
      </c>
      <c r="I304" s="7">
        <v>95580.0</v>
      </c>
      <c r="J304" s="7">
        <v>93815.0</v>
      </c>
      <c r="K304" s="7">
        <v>1765.0</v>
      </c>
      <c r="L304" s="7">
        <v>64.78</v>
      </c>
      <c r="M304" s="7">
        <v>-0.13</v>
      </c>
      <c r="N304" s="7">
        <v>2816.0</v>
      </c>
      <c r="O304" s="7">
        <v>4536702.0</v>
      </c>
      <c r="P304" s="7" t="s">
        <v>411</v>
      </c>
      <c r="Q304" s="7">
        <v>5003.75</v>
      </c>
      <c r="R304" s="3">
        <f t="shared" si="1"/>
        <v>10000</v>
      </c>
    </row>
    <row r="305" ht="22.5" customHeight="1">
      <c r="B305" s="7" t="s">
        <v>315</v>
      </c>
      <c r="C305" s="7">
        <v>505648.0</v>
      </c>
      <c r="D305" s="7">
        <v>1677281.0</v>
      </c>
      <c r="E305" s="7">
        <v>1335444.0</v>
      </c>
      <c r="F305" s="7">
        <v>1298207.0</v>
      </c>
      <c r="G305" s="7">
        <v>4.5741613E7</v>
      </c>
      <c r="H305" s="7">
        <v>1.5369878601E10</v>
      </c>
      <c r="I305" s="7">
        <v>54838.0</v>
      </c>
      <c r="J305" s="7">
        <v>53186.0</v>
      </c>
      <c r="K305" s="7">
        <v>1652.0</v>
      </c>
      <c r="L305" s="7">
        <v>71.23</v>
      </c>
      <c r="M305" s="7">
        <v>-0.11</v>
      </c>
      <c r="N305" s="7">
        <v>2705.0</v>
      </c>
      <c r="O305" s="7">
        <v>2895387.0</v>
      </c>
      <c r="P305" s="7" t="s">
        <v>411</v>
      </c>
      <c r="Q305" s="7">
        <v>5003.83</v>
      </c>
      <c r="R305" s="3">
        <f t="shared" si="1"/>
        <v>10000</v>
      </c>
    </row>
    <row r="306" ht="22.5" customHeight="1">
      <c r="B306" s="7" t="s">
        <v>316</v>
      </c>
      <c r="C306" s="7">
        <v>41961.0</v>
      </c>
      <c r="D306" s="7">
        <v>70118.0</v>
      </c>
      <c r="E306" s="7">
        <v>1.4011476E7</v>
      </c>
      <c r="F306" s="7">
        <v>1.3733553E7</v>
      </c>
      <c r="G306" s="7">
        <v>7.8356933E7</v>
      </c>
      <c r="H306" s="7">
        <v>2.55535513E9</v>
      </c>
      <c r="I306" s="7">
        <v>356726.0</v>
      </c>
      <c r="J306" s="7">
        <v>332172.0</v>
      </c>
      <c r="K306" s="7">
        <v>24554.0</v>
      </c>
      <c r="L306" s="7">
        <v>94.91</v>
      </c>
      <c r="M306" s="7">
        <v>-0.09</v>
      </c>
      <c r="N306" s="7">
        <v>37691.0</v>
      </c>
      <c r="O306" s="7">
        <v>9370197.0</v>
      </c>
      <c r="P306" s="7" t="s">
        <v>411</v>
      </c>
      <c r="Q306" s="7">
        <v>5003.82</v>
      </c>
      <c r="R306" s="3">
        <f t="shared" si="1"/>
        <v>10000</v>
      </c>
    </row>
    <row r="307" ht="22.5" customHeight="1">
      <c r="B307" s="7" t="s">
        <v>317</v>
      </c>
      <c r="C307" s="7">
        <v>70675.0</v>
      </c>
      <c r="D307" s="7">
        <v>106388.0</v>
      </c>
      <c r="E307" s="7">
        <v>1.7249351E7</v>
      </c>
      <c r="F307" s="7">
        <v>1.687509E7</v>
      </c>
      <c r="G307" s="7">
        <v>1.20674133E8</v>
      </c>
      <c r="H307" s="7">
        <v>2.729414097E9</v>
      </c>
      <c r="I307" s="7">
        <v>448388.0</v>
      </c>
      <c r="J307" s="7">
        <v>416884.0</v>
      </c>
      <c r="K307" s="7">
        <v>31504.0</v>
      </c>
      <c r="L307" s="7">
        <v>83.75</v>
      </c>
      <c r="M307" s="7">
        <v>-0.09</v>
      </c>
      <c r="N307" s="7">
        <v>48278.0</v>
      </c>
      <c r="O307" s="7">
        <v>1.4362129E7</v>
      </c>
      <c r="P307" s="7" t="s">
        <v>411</v>
      </c>
      <c r="Q307" s="7">
        <v>5003.81</v>
      </c>
      <c r="R307" s="3">
        <f t="shared" si="1"/>
        <v>10000</v>
      </c>
    </row>
    <row r="308" ht="22.5" customHeight="1">
      <c r="B308" s="7" t="s">
        <v>318</v>
      </c>
      <c r="C308" s="7">
        <v>111475.0</v>
      </c>
      <c r="D308" s="7">
        <v>138053.0</v>
      </c>
      <c r="E308" s="7">
        <v>1.8396893E7</v>
      </c>
      <c r="F308" s="7">
        <v>1.7965485E7</v>
      </c>
      <c r="G308" s="7">
        <v>1.72626542E8</v>
      </c>
      <c r="H308" s="7">
        <v>3.247137648E9</v>
      </c>
      <c r="I308" s="7">
        <v>549178.0</v>
      </c>
      <c r="J308" s="7">
        <v>519348.0</v>
      </c>
      <c r="K308" s="7">
        <v>29830.0</v>
      </c>
      <c r="L308" s="7">
        <v>76.71</v>
      </c>
      <c r="M308" s="7">
        <v>-0.11</v>
      </c>
      <c r="N308" s="7">
        <v>46617.0</v>
      </c>
      <c r="O308" s="7">
        <v>2.1875401E7</v>
      </c>
      <c r="P308" s="7" t="s">
        <v>411</v>
      </c>
      <c r="Q308" s="7">
        <v>5003.81</v>
      </c>
      <c r="R308" s="3">
        <f t="shared" si="1"/>
        <v>10000</v>
      </c>
    </row>
    <row r="309" ht="22.5" customHeight="1">
      <c r="B309" s="7" t="s">
        <v>319</v>
      </c>
      <c r="C309" s="7">
        <v>168019.0</v>
      </c>
      <c r="D309" s="7">
        <v>173814.0</v>
      </c>
      <c r="E309" s="7">
        <v>1.7060104E7</v>
      </c>
      <c r="F309" s="7">
        <v>1.6662126E7</v>
      </c>
      <c r="G309" s="7">
        <v>1.76906256E8</v>
      </c>
      <c r="H309" s="7">
        <v>3.261606793E9</v>
      </c>
      <c r="I309" s="7">
        <v>478550.0</v>
      </c>
      <c r="J309" s="7">
        <v>449725.0</v>
      </c>
      <c r="K309" s="7">
        <v>28825.0</v>
      </c>
      <c r="L309" s="7">
        <v>77.62</v>
      </c>
      <c r="M309" s="7">
        <v>-0.11</v>
      </c>
      <c r="N309" s="7">
        <v>45621.0</v>
      </c>
      <c r="O309" s="7">
        <v>2.3042009E7</v>
      </c>
      <c r="P309" s="7" t="s">
        <v>411</v>
      </c>
      <c r="Q309" s="7">
        <v>5003.8</v>
      </c>
      <c r="R309" s="3">
        <f t="shared" si="1"/>
        <v>10000</v>
      </c>
    </row>
    <row r="310" ht="22.5" customHeight="1">
      <c r="B310" s="7" t="s">
        <v>320</v>
      </c>
      <c r="C310" s="7">
        <v>243955.0</v>
      </c>
      <c r="D310" s="7">
        <v>213707.0</v>
      </c>
      <c r="E310" s="7">
        <v>1.7540568E7</v>
      </c>
      <c r="F310" s="7">
        <v>1.7115354E7</v>
      </c>
      <c r="G310" s="7">
        <v>2.1927743E8</v>
      </c>
      <c r="H310" s="7">
        <v>3.692841368E9</v>
      </c>
      <c r="I310" s="7">
        <v>523335.0</v>
      </c>
      <c r="J310" s="7">
        <v>495159.0</v>
      </c>
      <c r="K310" s="7">
        <v>28176.0</v>
      </c>
      <c r="L310" s="7">
        <v>76.24</v>
      </c>
      <c r="M310" s="7">
        <v>-0.12</v>
      </c>
      <c r="N310" s="7">
        <v>44977.0</v>
      </c>
      <c r="O310" s="7">
        <v>3.0767985E7</v>
      </c>
      <c r="P310" s="7" t="s">
        <v>411</v>
      </c>
      <c r="Q310" s="7">
        <v>5003.69</v>
      </c>
      <c r="R310" s="3">
        <f t="shared" si="1"/>
        <v>10000</v>
      </c>
    </row>
    <row r="311" ht="22.5" customHeight="1">
      <c r="B311" s="7" t="s">
        <v>321</v>
      </c>
      <c r="C311" s="7">
        <v>344469.0</v>
      </c>
      <c r="D311" s="7">
        <v>286016.0</v>
      </c>
      <c r="E311" s="7">
        <v>1.8340306E7</v>
      </c>
      <c r="F311" s="7">
        <v>1.7875296E7</v>
      </c>
      <c r="G311" s="7">
        <v>2.79580332E8</v>
      </c>
      <c r="H311" s="7">
        <v>4.523983573E9</v>
      </c>
      <c r="I311" s="7">
        <v>598469.0</v>
      </c>
      <c r="J311" s="7">
        <v>571124.0</v>
      </c>
      <c r="K311" s="7">
        <v>27345.0</v>
      </c>
      <c r="L311" s="7">
        <v>74.09</v>
      </c>
      <c r="M311" s="7">
        <v>-0.13</v>
      </c>
      <c r="N311" s="7">
        <v>44154.0</v>
      </c>
      <c r="O311" s="7">
        <v>4.1434995E7</v>
      </c>
      <c r="P311" s="7" t="s">
        <v>411</v>
      </c>
      <c r="Q311" s="7">
        <v>5003.84</v>
      </c>
      <c r="R311" s="3">
        <f t="shared" si="1"/>
        <v>10000</v>
      </c>
    </row>
    <row r="312" ht="22.5" customHeight="1">
      <c r="B312" s="7" t="s">
        <v>322</v>
      </c>
      <c r="C312" s="7">
        <v>141985.0</v>
      </c>
      <c r="D312" s="7">
        <v>634173.0</v>
      </c>
      <c r="E312" s="7">
        <v>1.2083412E7</v>
      </c>
      <c r="F312" s="7">
        <v>1.1830531E7</v>
      </c>
      <c r="G312" s="7">
        <v>5.0524114E7</v>
      </c>
      <c r="H312" s="7">
        <v>5.776618991E9</v>
      </c>
      <c r="I312" s="7">
        <v>490909.0</v>
      </c>
      <c r="J312" s="7">
        <v>471264.0</v>
      </c>
      <c r="K312" s="7">
        <v>19645.0</v>
      </c>
      <c r="L312" s="7">
        <v>57.56</v>
      </c>
      <c r="M312" s="7">
        <v>-0.11</v>
      </c>
      <c r="N312" s="7">
        <v>29808.0</v>
      </c>
      <c r="O312" s="7">
        <v>7264168.0</v>
      </c>
      <c r="P312" s="7" t="s">
        <v>411</v>
      </c>
      <c r="Q312" s="7">
        <v>5003.77</v>
      </c>
      <c r="R312" s="3">
        <f t="shared" si="1"/>
        <v>10000</v>
      </c>
    </row>
    <row r="313" ht="22.5" customHeight="1">
      <c r="B313" s="7" t="s">
        <v>323</v>
      </c>
      <c r="C313" s="7">
        <v>59794.0</v>
      </c>
      <c r="D313" s="7">
        <v>243931.0</v>
      </c>
      <c r="E313" s="7">
        <v>8714092.0</v>
      </c>
      <c r="F313" s="7">
        <v>8560236.0</v>
      </c>
      <c r="G313" s="7">
        <v>2.9790291E7</v>
      </c>
      <c r="H313" s="7">
        <v>2.700778441E9</v>
      </c>
      <c r="I313" s="7">
        <v>488347.0</v>
      </c>
      <c r="J313" s="7">
        <v>478946.0</v>
      </c>
      <c r="K313" s="7">
        <v>9401.0</v>
      </c>
      <c r="L313" s="7">
        <v>56.65</v>
      </c>
      <c r="M313" s="7">
        <v>-0.11</v>
      </c>
      <c r="N313" s="7">
        <v>14398.0</v>
      </c>
      <c r="O313" s="7">
        <v>4881293.0</v>
      </c>
      <c r="P313" s="7" t="s">
        <v>411</v>
      </c>
      <c r="Q313" s="7">
        <v>5003.57</v>
      </c>
      <c r="R313" s="3">
        <f t="shared" si="1"/>
        <v>10000</v>
      </c>
    </row>
    <row r="314" ht="22.5" customHeight="1">
      <c r="B314" s="7" t="s">
        <v>259</v>
      </c>
      <c r="C314" s="7">
        <v>4680.0</v>
      </c>
      <c r="D314" s="7">
        <v>39640.0</v>
      </c>
      <c r="E314" s="7">
        <v>1.5504578E7</v>
      </c>
      <c r="F314" s="7">
        <v>1.5177053E7</v>
      </c>
      <c r="G314" s="7">
        <v>9.4413117E7</v>
      </c>
      <c r="H314" s="7">
        <v>4.110072865E9</v>
      </c>
      <c r="I314" s="7">
        <v>448163.0</v>
      </c>
      <c r="J314" s="7">
        <v>419542.0</v>
      </c>
      <c r="K314" s="7">
        <v>28621.0</v>
      </c>
      <c r="L314" s="7">
        <v>98.91</v>
      </c>
      <c r="M314" s="7">
        <v>-0.09</v>
      </c>
      <c r="N314" s="7">
        <v>44054.0</v>
      </c>
      <c r="O314" s="7">
        <v>9649817.0</v>
      </c>
      <c r="P314" s="7" t="s">
        <v>411</v>
      </c>
      <c r="Q314" s="7">
        <v>5003.57</v>
      </c>
      <c r="R314" s="3">
        <f t="shared" si="1"/>
        <v>10000</v>
      </c>
    </row>
    <row r="315" ht="22.5" customHeight="1">
      <c r="B315" s="7" t="s">
        <v>324</v>
      </c>
      <c r="C315" s="7">
        <v>81119.0</v>
      </c>
      <c r="D315" s="7">
        <v>804926.0</v>
      </c>
      <c r="E315" s="7">
        <v>6083195.0</v>
      </c>
      <c r="F315" s="7">
        <v>4262651.0</v>
      </c>
      <c r="G315" s="7">
        <v>2.67850389E8</v>
      </c>
      <c r="H315" s="7">
        <v>8.348159689E9</v>
      </c>
      <c r="I315" s="7">
        <v>162785.0</v>
      </c>
      <c r="J315" s="7">
        <v>156741.0</v>
      </c>
      <c r="K315" s="7">
        <v>6044.0</v>
      </c>
      <c r="L315" s="7">
        <v>479.43</v>
      </c>
      <c r="M315" s="7">
        <v>-0.18</v>
      </c>
      <c r="N315" s="7">
        <v>10170.0</v>
      </c>
      <c r="O315" s="7">
        <v>2.9436664E7</v>
      </c>
      <c r="P315" s="7" t="s">
        <v>411</v>
      </c>
      <c r="Q315" s="7">
        <v>5003.39</v>
      </c>
      <c r="R315" s="3">
        <f t="shared" si="1"/>
        <v>10000</v>
      </c>
    </row>
    <row r="316" ht="22.5" customHeight="1">
      <c r="B316" s="7" t="s">
        <v>325</v>
      </c>
      <c r="C316" s="7">
        <v>126152.0</v>
      </c>
      <c r="D316" s="7">
        <v>1297025.0</v>
      </c>
      <c r="E316" s="7">
        <v>5145487.0</v>
      </c>
      <c r="F316" s="7">
        <v>3424848.0</v>
      </c>
      <c r="G316" s="7">
        <v>2.52710814E8</v>
      </c>
      <c r="H316" s="7">
        <v>8.817723372E9</v>
      </c>
      <c r="I316" s="7">
        <v>111367.0</v>
      </c>
      <c r="J316" s="7">
        <v>105414.0</v>
      </c>
      <c r="K316" s="7">
        <v>5953.0</v>
      </c>
      <c r="L316" s="7">
        <v>552.62</v>
      </c>
      <c r="M316" s="7">
        <v>-0.16</v>
      </c>
      <c r="N316" s="7">
        <v>10016.0</v>
      </c>
      <c r="O316" s="7">
        <v>2.8547718E7</v>
      </c>
      <c r="P316" s="7" t="s">
        <v>411</v>
      </c>
      <c r="Q316" s="7">
        <v>5003.73</v>
      </c>
      <c r="R316" s="3">
        <f t="shared" si="1"/>
        <v>10000</v>
      </c>
    </row>
    <row r="317" ht="22.5" customHeight="1">
      <c r="B317" s="7" t="s">
        <v>326</v>
      </c>
      <c r="C317" s="7">
        <v>189446.0</v>
      </c>
      <c r="D317" s="7">
        <v>2004246.0</v>
      </c>
      <c r="E317" s="7">
        <v>4823801.0</v>
      </c>
      <c r="F317" s="7">
        <v>2968113.0</v>
      </c>
      <c r="G317" s="7">
        <v>2.38041434E8</v>
      </c>
      <c r="H317" s="7">
        <v>9.133629307E9</v>
      </c>
      <c r="I317" s="7">
        <v>82194.0</v>
      </c>
      <c r="J317" s="7">
        <v>76890.0</v>
      </c>
      <c r="K317" s="7">
        <v>5304.0</v>
      </c>
      <c r="L317" s="7">
        <v>596.16</v>
      </c>
      <c r="M317" s="7">
        <v>-0.15</v>
      </c>
      <c r="N317" s="7">
        <v>9309.0</v>
      </c>
      <c r="O317" s="7">
        <v>2.7835226E7</v>
      </c>
      <c r="P317" s="7" t="s">
        <v>411</v>
      </c>
      <c r="Q317" s="7">
        <v>5003.7</v>
      </c>
      <c r="R317" s="3">
        <f t="shared" si="1"/>
        <v>10000</v>
      </c>
    </row>
    <row r="318" ht="22.5" customHeight="1">
      <c r="B318" s="7" t="s">
        <v>327</v>
      </c>
      <c r="C318" s="7">
        <v>7021.0</v>
      </c>
      <c r="D318" s="7">
        <v>95854.0</v>
      </c>
      <c r="E318" s="7">
        <v>1.0811336E7</v>
      </c>
      <c r="F318" s="7">
        <v>1.068491E7</v>
      </c>
      <c r="G318" s="7">
        <v>1.8935452E7</v>
      </c>
      <c r="H318" s="7">
        <v>3.272076067E9</v>
      </c>
      <c r="I318" s="7">
        <v>426001.0</v>
      </c>
      <c r="J318" s="7">
        <v>410979.0</v>
      </c>
      <c r="K318" s="7">
        <v>15022.0</v>
      </c>
      <c r="L318" s="7">
        <v>27.29</v>
      </c>
      <c r="M318" s="7">
        <v>-0.07</v>
      </c>
      <c r="N318" s="7">
        <v>23250.0</v>
      </c>
      <c r="O318" s="7">
        <v>4587171.0</v>
      </c>
      <c r="P318" s="7" t="s">
        <v>411</v>
      </c>
      <c r="Q318" s="7">
        <v>5003.8</v>
      </c>
      <c r="R318" s="3">
        <f t="shared" si="1"/>
        <v>10000</v>
      </c>
    </row>
    <row r="319" ht="22.5" customHeight="1">
      <c r="B319" s="7" t="s">
        <v>328</v>
      </c>
      <c r="C319" s="7">
        <v>152376.0</v>
      </c>
      <c r="D319" s="7">
        <v>308482.0</v>
      </c>
      <c r="E319" s="7">
        <v>4557318.0</v>
      </c>
      <c r="F319" s="7">
        <v>4504437.0</v>
      </c>
      <c r="G319" s="7">
        <v>1.4110102E7</v>
      </c>
      <c r="H319" s="7">
        <v>1.4410614569E10</v>
      </c>
      <c r="I319" s="7">
        <v>170497.0</v>
      </c>
      <c r="J319" s="7">
        <v>163212.0</v>
      </c>
      <c r="K319" s="7">
        <v>7285.0</v>
      </c>
      <c r="L319" s="7">
        <v>45.4</v>
      </c>
      <c r="M319" s="7">
        <v>-0.06</v>
      </c>
      <c r="N319" s="7">
        <v>11488.0</v>
      </c>
      <c r="O319" s="7">
        <v>1606210.0</v>
      </c>
      <c r="P319" s="7" t="s">
        <v>411</v>
      </c>
      <c r="Q319" s="7">
        <v>5003.78</v>
      </c>
      <c r="R319" s="3">
        <f t="shared" si="1"/>
        <v>10000</v>
      </c>
    </row>
    <row r="320" ht="22.5" customHeight="1">
      <c r="B320" s="7" t="s">
        <v>329</v>
      </c>
      <c r="C320" s="7">
        <v>6300.0</v>
      </c>
      <c r="D320" s="7">
        <v>114816.0</v>
      </c>
      <c r="E320" s="7">
        <v>2.8177656E7</v>
      </c>
      <c r="F320" s="7">
        <v>2.795085E7</v>
      </c>
      <c r="G320" s="7">
        <v>3.180148E7</v>
      </c>
      <c r="H320" s="7">
        <v>1.906048058E9</v>
      </c>
      <c r="I320" s="7">
        <v>919158.0</v>
      </c>
      <c r="J320" s="7">
        <v>884588.0</v>
      </c>
      <c r="K320" s="7">
        <v>34570.0</v>
      </c>
      <c r="L320" s="7">
        <v>53.33</v>
      </c>
      <c r="M320" s="7">
        <v>-0.03</v>
      </c>
      <c r="N320" s="7">
        <v>51305.0</v>
      </c>
      <c r="O320" s="7">
        <v>1.5373467E7</v>
      </c>
      <c r="P320" s="7" t="s">
        <v>411</v>
      </c>
      <c r="Q320" s="7">
        <v>5003.83</v>
      </c>
      <c r="R320" s="3">
        <f t="shared" si="1"/>
        <v>10000</v>
      </c>
    </row>
    <row r="321" ht="22.5" customHeight="1">
      <c r="B321" s="7" t="s">
        <v>330</v>
      </c>
      <c r="C321" s="7">
        <v>28147.0</v>
      </c>
      <c r="D321" s="7">
        <v>108399.0</v>
      </c>
      <c r="E321" s="7">
        <v>7413521.0</v>
      </c>
      <c r="F321" s="7">
        <v>7061603.0</v>
      </c>
      <c r="G321" s="7">
        <v>1.0446404E8</v>
      </c>
      <c r="H321" s="7">
        <v>5.635272746E9</v>
      </c>
      <c r="I321" s="7">
        <v>447968.0</v>
      </c>
      <c r="J321" s="7">
        <v>441230.0</v>
      </c>
      <c r="K321" s="7">
        <v>6738.0</v>
      </c>
      <c r="L321" s="7">
        <v>165.52</v>
      </c>
      <c r="M321" s="7">
        <v>-0.17</v>
      </c>
      <c r="N321" s="7">
        <v>10940.0</v>
      </c>
      <c r="O321" s="7">
        <v>6018788.0</v>
      </c>
      <c r="P321" s="7" t="s">
        <v>411</v>
      </c>
      <c r="Q321" s="7">
        <v>5003.78</v>
      </c>
      <c r="R321" s="3">
        <f t="shared" si="1"/>
        <v>10000</v>
      </c>
    </row>
    <row r="322" ht="22.5" customHeight="1">
      <c r="B322" s="7" t="s">
        <v>331</v>
      </c>
      <c r="C322" s="7">
        <v>36809.0</v>
      </c>
      <c r="D322" s="7">
        <v>142448.0</v>
      </c>
      <c r="E322" s="7">
        <v>6547245.0</v>
      </c>
      <c r="F322" s="7">
        <v>6168224.0</v>
      </c>
      <c r="G322" s="7">
        <v>2.03182165E8</v>
      </c>
      <c r="H322" s="7">
        <v>6.220698935E9</v>
      </c>
      <c r="I322" s="7">
        <v>347660.0</v>
      </c>
      <c r="J322" s="7">
        <v>341180.0</v>
      </c>
      <c r="K322" s="7">
        <v>6480.0</v>
      </c>
      <c r="L322" s="7">
        <v>247.67</v>
      </c>
      <c r="M322" s="7">
        <v>-0.18</v>
      </c>
      <c r="N322" s="7">
        <v>10683.0</v>
      </c>
      <c r="O322" s="7">
        <v>1.0668223E7</v>
      </c>
      <c r="P322" s="7" t="s">
        <v>411</v>
      </c>
      <c r="Q322" s="7">
        <v>5003.79</v>
      </c>
      <c r="R322" s="3">
        <f t="shared" si="1"/>
        <v>10000</v>
      </c>
    </row>
    <row r="323" ht="22.5" customHeight="1">
      <c r="B323" s="7" t="s">
        <v>332</v>
      </c>
      <c r="C323" s="7">
        <v>8590.0</v>
      </c>
      <c r="D323" s="7">
        <v>65144.0</v>
      </c>
      <c r="E323" s="7">
        <v>1.347586E7</v>
      </c>
      <c r="F323" s="7">
        <v>1.3110184E7</v>
      </c>
      <c r="G323" s="7">
        <v>1.68173058E8</v>
      </c>
      <c r="H323" s="7">
        <v>2.303063248E9</v>
      </c>
      <c r="I323" s="7">
        <v>395061.0</v>
      </c>
      <c r="J323" s="7">
        <v>371667.0</v>
      </c>
      <c r="K323" s="7">
        <v>23394.0</v>
      </c>
      <c r="L323" s="7">
        <v>100.06</v>
      </c>
      <c r="M323" s="7">
        <v>-0.16</v>
      </c>
      <c r="N323" s="7">
        <v>35703.0</v>
      </c>
      <c r="O323" s="7">
        <v>2.240953E7</v>
      </c>
      <c r="P323" s="7" t="s">
        <v>411</v>
      </c>
      <c r="Q323" s="7">
        <v>5003.62</v>
      </c>
      <c r="R323" s="3">
        <f t="shared" si="1"/>
        <v>10000</v>
      </c>
    </row>
    <row r="324" ht="22.5" customHeight="1">
      <c r="B324" s="7" t="s">
        <v>333</v>
      </c>
      <c r="C324" s="7">
        <v>8591.0</v>
      </c>
      <c r="D324" s="7">
        <v>65154.0</v>
      </c>
      <c r="E324" s="7">
        <v>1.5282242E7</v>
      </c>
      <c r="F324" s="7">
        <v>1.4884496E7</v>
      </c>
      <c r="G324" s="7">
        <v>1.72916726E8</v>
      </c>
      <c r="H324" s="7">
        <v>2.635508757E9</v>
      </c>
      <c r="I324" s="7">
        <v>400160.0</v>
      </c>
      <c r="J324" s="7">
        <v>371426.0</v>
      </c>
      <c r="K324" s="7">
        <v>28734.0</v>
      </c>
      <c r="L324" s="7">
        <v>114.33</v>
      </c>
      <c r="M324" s="7">
        <v>-0.15</v>
      </c>
      <c r="N324" s="7">
        <v>43816.0</v>
      </c>
      <c r="O324" s="7">
        <v>2.2516263E7</v>
      </c>
      <c r="P324" s="7" t="s">
        <v>411</v>
      </c>
      <c r="Q324" s="7">
        <v>5003.79</v>
      </c>
      <c r="R324" s="3">
        <f t="shared" si="1"/>
        <v>10000</v>
      </c>
    </row>
    <row r="325" ht="22.5" customHeight="1">
      <c r="B325" s="7" t="s">
        <v>334</v>
      </c>
      <c r="C325" s="7">
        <v>24975.0</v>
      </c>
      <c r="D325" s="7">
        <v>111780.0</v>
      </c>
      <c r="E325" s="7">
        <v>2.2854961E7</v>
      </c>
      <c r="F325" s="7">
        <v>2.2351651E7</v>
      </c>
      <c r="G325" s="7">
        <v>2.70624619E8</v>
      </c>
      <c r="H325" s="7">
        <v>5.710285933E9</v>
      </c>
      <c r="I325" s="7">
        <v>1218508.0</v>
      </c>
      <c r="J325" s="7">
        <v>1188243.0</v>
      </c>
      <c r="K325" s="7">
        <v>30265.0</v>
      </c>
      <c r="L325" s="7">
        <v>70.69</v>
      </c>
      <c r="M325" s="7">
        <v>-0.14</v>
      </c>
      <c r="N325" s="7">
        <v>47058.0</v>
      </c>
      <c r="O325" s="7">
        <v>1.8953363E7</v>
      </c>
      <c r="P325" s="7" t="s">
        <v>411</v>
      </c>
      <c r="Q325" s="7">
        <v>5003.83</v>
      </c>
      <c r="R325" s="3">
        <f t="shared" si="1"/>
        <v>10000</v>
      </c>
    </row>
    <row r="326" ht="22.5" customHeight="1">
      <c r="B326" s="7" t="s">
        <v>335</v>
      </c>
      <c r="C326" s="7">
        <v>26541.0</v>
      </c>
      <c r="D326" s="7">
        <v>117126.0</v>
      </c>
      <c r="E326" s="7">
        <v>2.2620866E7</v>
      </c>
      <c r="F326" s="7">
        <v>2.2248006E7</v>
      </c>
      <c r="G326" s="7">
        <v>1.95803443E8</v>
      </c>
      <c r="H326" s="7">
        <v>4.335220526E9</v>
      </c>
      <c r="I326" s="7">
        <v>948747.0</v>
      </c>
      <c r="J326" s="7">
        <v>914642.0</v>
      </c>
      <c r="K326" s="7">
        <v>34105.0</v>
      </c>
      <c r="L326" s="7">
        <v>68.26</v>
      </c>
      <c r="M326" s="7">
        <v>-0.12</v>
      </c>
      <c r="N326" s="7">
        <v>50875.0</v>
      </c>
      <c r="O326" s="7">
        <v>1.9853317E7</v>
      </c>
      <c r="P326" s="7" t="s">
        <v>411</v>
      </c>
      <c r="Q326" s="7">
        <v>5003.75</v>
      </c>
      <c r="R326" s="3">
        <f t="shared" si="1"/>
        <v>10000</v>
      </c>
    </row>
    <row r="327" ht="22.5" customHeight="1">
      <c r="B327" s="7" t="s">
        <v>336</v>
      </c>
      <c r="C327" s="7">
        <v>26541.0</v>
      </c>
      <c r="D327" s="7">
        <v>117126.0</v>
      </c>
      <c r="E327" s="7">
        <v>2.5536861E7</v>
      </c>
      <c r="F327" s="7">
        <v>2.5084591E7</v>
      </c>
      <c r="G327" s="7">
        <v>2.48892331E8</v>
      </c>
      <c r="H327" s="7">
        <v>5.096867533E9</v>
      </c>
      <c r="I327" s="7">
        <v>1205108.0</v>
      </c>
      <c r="J327" s="7">
        <v>1171796.0</v>
      </c>
      <c r="K327" s="7">
        <v>33312.0</v>
      </c>
      <c r="L327" s="7">
        <v>63.09</v>
      </c>
      <c r="M327" s="7">
        <v>-0.14</v>
      </c>
      <c r="N327" s="7">
        <v>50089.0</v>
      </c>
      <c r="O327" s="7">
        <v>2.6077767E7</v>
      </c>
      <c r="P327" s="7" t="s">
        <v>411</v>
      </c>
      <c r="Q327" s="7">
        <v>5003.73</v>
      </c>
      <c r="R327" s="3">
        <f t="shared" si="1"/>
        <v>10000</v>
      </c>
    </row>
    <row r="328" ht="22.5" customHeight="1">
      <c r="B328" s="7" t="s">
        <v>337</v>
      </c>
      <c r="C328" s="7">
        <v>26541.0</v>
      </c>
      <c r="D328" s="7">
        <v>117126.0</v>
      </c>
      <c r="E328" s="7">
        <v>2.4696116E7</v>
      </c>
      <c r="F328" s="7">
        <v>2.4265711E7</v>
      </c>
      <c r="G328" s="7">
        <v>2.30969119E8</v>
      </c>
      <c r="H328" s="7">
        <v>4.90929434E9</v>
      </c>
      <c r="I328" s="7">
        <v>1120165.0</v>
      </c>
      <c r="J328" s="7">
        <v>1086377.0</v>
      </c>
      <c r="K328" s="7">
        <v>33788.0</v>
      </c>
      <c r="L328" s="7">
        <v>66.72</v>
      </c>
      <c r="M328" s="7">
        <v>-0.13</v>
      </c>
      <c r="N328" s="7">
        <v>50561.0</v>
      </c>
      <c r="O328" s="7">
        <v>2.386324E7</v>
      </c>
      <c r="P328" s="7" t="s">
        <v>411</v>
      </c>
      <c r="Q328" s="7">
        <v>5003.83</v>
      </c>
      <c r="R328" s="3">
        <f t="shared" si="1"/>
        <v>10000</v>
      </c>
    </row>
    <row r="329" ht="22.5" customHeight="1">
      <c r="B329" s="7" t="s">
        <v>338</v>
      </c>
      <c r="C329" s="7">
        <v>26541.0</v>
      </c>
      <c r="D329" s="7">
        <v>117126.0</v>
      </c>
      <c r="E329" s="7">
        <v>2.6788888E7</v>
      </c>
      <c r="F329" s="7">
        <v>2.6312496E7</v>
      </c>
      <c r="G329" s="7">
        <v>2.57502083E8</v>
      </c>
      <c r="H329" s="7">
        <v>5.267016949E9</v>
      </c>
      <c r="I329" s="7">
        <v>1229493.0</v>
      </c>
      <c r="J329" s="7">
        <v>1195330.0</v>
      </c>
      <c r="K329" s="7">
        <v>34163.0</v>
      </c>
      <c r="L329" s="7">
        <v>64.17</v>
      </c>
      <c r="M329" s="7">
        <v>-0.13</v>
      </c>
      <c r="N329" s="7">
        <v>50933.0</v>
      </c>
      <c r="O329" s="7">
        <v>2.7684867E7</v>
      </c>
      <c r="P329" s="7" t="s">
        <v>411</v>
      </c>
      <c r="Q329" s="7">
        <v>5003.82</v>
      </c>
      <c r="R329" s="3">
        <f t="shared" si="1"/>
        <v>10000</v>
      </c>
    </row>
    <row r="330" ht="22.5" customHeight="1">
      <c r="B330" s="7" t="s">
        <v>339</v>
      </c>
      <c r="C330" s="7">
        <v>26541.0</v>
      </c>
      <c r="D330" s="7">
        <v>117126.0</v>
      </c>
      <c r="E330" s="7">
        <v>2.5118944E7</v>
      </c>
      <c r="F330" s="7">
        <v>2.4682331E7</v>
      </c>
      <c r="G330" s="7">
        <v>2.25759717E8</v>
      </c>
      <c r="H330" s="7">
        <v>4.841902337E9</v>
      </c>
      <c r="I330" s="7">
        <v>1061920.0</v>
      </c>
      <c r="J330" s="7">
        <v>1028212.0</v>
      </c>
      <c r="K330" s="7">
        <v>33708.0</v>
      </c>
      <c r="L330" s="7">
        <v>65.82</v>
      </c>
      <c r="M330" s="7">
        <v>-0.13</v>
      </c>
      <c r="N330" s="7">
        <v>50483.0</v>
      </c>
      <c r="O330" s="7">
        <v>2.5289623E7</v>
      </c>
      <c r="P330" s="7" t="s">
        <v>411</v>
      </c>
      <c r="Q330" s="7">
        <v>5003.83</v>
      </c>
      <c r="R330" s="3">
        <f t="shared" si="1"/>
        <v>10000</v>
      </c>
    </row>
    <row r="331" ht="22.5" customHeight="1">
      <c r="B331" s="7" t="s">
        <v>340</v>
      </c>
      <c r="C331" s="7">
        <v>26541.0</v>
      </c>
      <c r="D331" s="7">
        <v>117126.0</v>
      </c>
      <c r="E331" s="7">
        <v>2.441304E7</v>
      </c>
      <c r="F331" s="7">
        <v>2.3988003E7</v>
      </c>
      <c r="G331" s="7">
        <v>2.21261835E8</v>
      </c>
      <c r="H331" s="7">
        <v>4.721765649E9</v>
      </c>
      <c r="I331" s="7">
        <v>1045821.0</v>
      </c>
      <c r="J331" s="7">
        <v>1012378.0</v>
      </c>
      <c r="K331" s="7">
        <v>33443.0</v>
      </c>
      <c r="L331" s="7">
        <v>66.45</v>
      </c>
      <c r="M331" s="7">
        <v>-0.13</v>
      </c>
      <c r="N331" s="7">
        <v>50219.0</v>
      </c>
      <c r="O331" s="7">
        <v>2.3320397E7</v>
      </c>
      <c r="P331" s="7" t="s">
        <v>411</v>
      </c>
      <c r="Q331" s="7">
        <v>5003.88</v>
      </c>
      <c r="R331" s="3">
        <f t="shared" si="1"/>
        <v>10000</v>
      </c>
    </row>
    <row r="332" ht="22.5" customHeight="1">
      <c r="B332" s="7" t="s">
        <v>341</v>
      </c>
      <c r="C332" s="7">
        <v>26541.0</v>
      </c>
      <c r="D332" s="7">
        <v>117126.0</v>
      </c>
      <c r="E332" s="7">
        <v>2.3034602E7</v>
      </c>
      <c r="F332" s="7">
        <v>2.265813E7</v>
      </c>
      <c r="G332" s="7">
        <v>2.04047243E8</v>
      </c>
      <c r="H332" s="7">
        <v>4.400760235E9</v>
      </c>
      <c r="I332" s="7">
        <v>1018520.0</v>
      </c>
      <c r="J332" s="7">
        <v>984578.0</v>
      </c>
      <c r="K332" s="7">
        <v>33942.0</v>
      </c>
      <c r="L332" s="7">
        <v>66.41</v>
      </c>
      <c r="M332" s="7">
        <v>-0.12</v>
      </c>
      <c r="N332" s="7">
        <v>50714.0</v>
      </c>
      <c r="O332" s="7">
        <v>1.9745222E7</v>
      </c>
      <c r="P332" s="7" t="s">
        <v>411</v>
      </c>
      <c r="Q332" s="7">
        <v>5003.85</v>
      </c>
      <c r="R332" s="3">
        <f t="shared" si="1"/>
        <v>10000</v>
      </c>
    </row>
    <row r="333" ht="22.5" customHeight="1">
      <c r="B333" s="7" t="s">
        <v>342</v>
      </c>
      <c r="C333" s="7">
        <v>26541.0</v>
      </c>
      <c r="D333" s="7">
        <v>117126.0</v>
      </c>
      <c r="E333" s="7">
        <v>2.5954933E7</v>
      </c>
      <c r="F333" s="7">
        <v>2.5505552E7</v>
      </c>
      <c r="G333" s="7">
        <v>2.44262226E8</v>
      </c>
      <c r="H333" s="7">
        <v>5.047758792E9</v>
      </c>
      <c r="I333" s="7">
        <v>1201206.0</v>
      </c>
      <c r="J333" s="7">
        <v>1167040.0</v>
      </c>
      <c r="K333" s="7">
        <v>34166.0</v>
      </c>
      <c r="L333" s="7">
        <v>65.7</v>
      </c>
      <c r="M333" s="7">
        <v>-0.13</v>
      </c>
      <c r="N333" s="7">
        <v>50937.0</v>
      </c>
      <c r="O333" s="7">
        <v>2.5298644E7</v>
      </c>
      <c r="P333" s="7" t="s">
        <v>411</v>
      </c>
      <c r="Q333" s="7">
        <v>5003.74</v>
      </c>
      <c r="R333" s="3">
        <f t="shared" si="1"/>
        <v>10000</v>
      </c>
    </row>
    <row r="334" ht="22.5" customHeight="1">
      <c r="B334" s="7" t="s">
        <v>343</v>
      </c>
      <c r="C334" s="7">
        <v>26541.0</v>
      </c>
      <c r="D334" s="7">
        <v>117126.0</v>
      </c>
      <c r="E334" s="7">
        <v>2.5155527E7</v>
      </c>
      <c r="F334" s="7">
        <v>2.4723228E7</v>
      </c>
      <c r="G334" s="7">
        <v>2.28722722E8</v>
      </c>
      <c r="H334" s="7">
        <v>4.834807914E9</v>
      </c>
      <c r="I334" s="7">
        <v>1109850.0</v>
      </c>
      <c r="J334" s="7">
        <v>1075983.0</v>
      </c>
      <c r="K334" s="7">
        <v>33867.0</v>
      </c>
      <c r="L334" s="7">
        <v>66.16</v>
      </c>
      <c r="M334" s="7">
        <v>-0.13</v>
      </c>
      <c r="N334" s="7">
        <v>50641.0</v>
      </c>
      <c r="O334" s="7">
        <v>2.3678872E7</v>
      </c>
      <c r="P334" s="7" t="s">
        <v>411</v>
      </c>
      <c r="Q334" s="7">
        <v>5003.85</v>
      </c>
      <c r="R334" s="3">
        <f t="shared" si="1"/>
        <v>10000</v>
      </c>
    </row>
    <row r="335" ht="22.5" customHeight="1">
      <c r="B335" s="7" t="s">
        <v>344</v>
      </c>
      <c r="C335" s="7">
        <v>26541.0</v>
      </c>
      <c r="D335" s="7">
        <v>117126.0</v>
      </c>
      <c r="E335" s="7">
        <v>2.3201554E7</v>
      </c>
      <c r="F335" s="7">
        <v>2.2799005E7</v>
      </c>
      <c r="G335" s="7">
        <v>1.96072817E8</v>
      </c>
      <c r="H335" s="7">
        <v>4.467536739E9</v>
      </c>
      <c r="I335" s="7">
        <v>906461.0</v>
      </c>
      <c r="J335" s="7">
        <v>872731.0</v>
      </c>
      <c r="K335" s="7">
        <v>33730.0</v>
      </c>
      <c r="L335" s="7">
        <v>68.51</v>
      </c>
      <c r="M335" s="7">
        <v>-0.12</v>
      </c>
      <c r="N335" s="7">
        <v>50504.0</v>
      </c>
      <c r="O335" s="7">
        <v>2.1661582E7</v>
      </c>
      <c r="P335" s="7" t="s">
        <v>411</v>
      </c>
      <c r="Q335" s="7">
        <v>5003.84</v>
      </c>
      <c r="R335" s="3">
        <f t="shared" si="1"/>
        <v>10000</v>
      </c>
    </row>
    <row r="336" ht="22.5" customHeight="1">
      <c r="B336" s="7" t="s">
        <v>345</v>
      </c>
      <c r="C336" s="7">
        <v>26541.0</v>
      </c>
      <c r="D336" s="7">
        <v>117126.0</v>
      </c>
      <c r="E336" s="7">
        <v>2.2217697E7</v>
      </c>
      <c r="F336" s="7">
        <v>2.183335E7</v>
      </c>
      <c r="G336" s="7">
        <v>1.8519262E8</v>
      </c>
      <c r="H336" s="7">
        <v>4.270024999E9</v>
      </c>
      <c r="I336" s="7">
        <v>864081.0</v>
      </c>
      <c r="J336" s="7">
        <v>829984.0</v>
      </c>
      <c r="K336" s="7">
        <v>34097.0</v>
      </c>
      <c r="L336" s="7">
        <v>72.07</v>
      </c>
      <c r="M336" s="7">
        <v>-0.12</v>
      </c>
      <c r="N336" s="7">
        <v>50867.0</v>
      </c>
      <c r="O336" s="7">
        <v>2.0126677E7</v>
      </c>
      <c r="P336" s="7" t="s">
        <v>411</v>
      </c>
      <c r="Q336" s="7">
        <v>5003.85</v>
      </c>
      <c r="R336" s="3">
        <f t="shared" si="1"/>
        <v>10000</v>
      </c>
    </row>
    <row r="337" ht="22.5" customHeight="1">
      <c r="B337" s="7" t="s">
        <v>346</v>
      </c>
      <c r="C337" s="7">
        <v>26541.0</v>
      </c>
      <c r="D337" s="7">
        <v>117126.0</v>
      </c>
      <c r="E337" s="7">
        <v>2.2218447E7</v>
      </c>
      <c r="F337" s="7">
        <v>2.1838587E7</v>
      </c>
      <c r="G337" s="7">
        <v>1.9569197E8</v>
      </c>
      <c r="H337" s="7">
        <v>4.275996712E9</v>
      </c>
      <c r="I337" s="7">
        <v>944419.0</v>
      </c>
      <c r="J337" s="7">
        <v>909641.0</v>
      </c>
      <c r="K337" s="7">
        <v>34778.0</v>
      </c>
      <c r="L337" s="7">
        <v>71.04</v>
      </c>
      <c r="M337" s="7">
        <v>-0.12</v>
      </c>
      <c r="N337" s="7">
        <v>51543.0</v>
      </c>
      <c r="O337" s="7">
        <v>1.8881593E7</v>
      </c>
      <c r="P337" s="7" t="s">
        <v>411</v>
      </c>
      <c r="Q337" s="7">
        <v>5003.86</v>
      </c>
      <c r="R337" s="3">
        <f t="shared" si="1"/>
        <v>10000</v>
      </c>
    </row>
    <row r="338" ht="22.5" customHeight="1">
      <c r="B338" s="7" t="s">
        <v>347</v>
      </c>
      <c r="C338" s="7">
        <v>26541.0</v>
      </c>
      <c r="D338" s="7">
        <v>117126.0</v>
      </c>
      <c r="E338" s="7">
        <v>2.5553983E7</v>
      </c>
      <c r="F338" s="7">
        <v>2.5095629E7</v>
      </c>
      <c r="G338" s="7">
        <v>2.57235879E8</v>
      </c>
      <c r="H338" s="7">
        <v>5.188146977E9</v>
      </c>
      <c r="I338" s="7">
        <v>1258056.0</v>
      </c>
      <c r="J338" s="7">
        <v>1224108.0</v>
      </c>
      <c r="K338" s="7">
        <v>33948.0</v>
      </c>
      <c r="L338" s="7">
        <v>64.67</v>
      </c>
      <c r="M338" s="7">
        <v>-0.14</v>
      </c>
      <c r="N338" s="7">
        <v>50721.0</v>
      </c>
      <c r="O338" s="7">
        <v>2.4850224E7</v>
      </c>
      <c r="P338" s="7" t="s">
        <v>411</v>
      </c>
      <c r="Q338" s="7">
        <v>5003.83</v>
      </c>
      <c r="R338" s="3">
        <f t="shared" si="1"/>
        <v>10000</v>
      </c>
    </row>
    <row r="339" ht="22.5" customHeight="1">
      <c r="B339" s="7" t="s">
        <v>348</v>
      </c>
      <c r="C339" s="7">
        <v>26541.0</v>
      </c>
      <c r="D339" s="7">
        <v>117126.0</v>
      </c>
      <c r="E339" s="7">
        <v>2.6355237E7</v>
      </c>
      <c r="F339" s="7">
        <v>2.5880348E7</v>
      </c>
      <c r="G339" s="7">
        <v>2.64711654E8</v>
      </c>
      <c r="H339" s="7">
        <v>5.324066269E9</v>
      </c>
      <c r="I339" s="7">
        <v>1299988.0</v>
      </c>
      <c r="J339" s="7">
        <v>1266296.0</v>
      </c>
      <c r="K339" s="7">
        <v>33692.0</v>
      </c>
      <c r="L339" s="7">
        <v>64.93</v>
      </c>
      <c r="M339" s="7">
        <v>-0.14</v>
      </c>
      <c r="N339" s="7">
        <v>50466.0</v>
      </c>
      <c r="O339" s="7">
        <v>2.6185928E7</v>
      </c>
      <c r="P339" s="7" t="s">
        <v>411</v>
      </c>
      <c r="Q339" s="7">
        <v>5003.63</v>
      </c>
      <c r="R339" s="3">
        <f t="shared" si="1"/>
        <v>10000</v>
      </c>
    </row>
    <row r="340" ht="22.5" customHeight="1">
      <c r="B340" s="7" t="s">
        <v>349</v>
      </c>
      <c r="C340" s="7">
        <v>26541.0</v>
      </c>
      <c r="D340" s="7">
        <v>117126.0</v>
      </c>
      <c r="E340" s="7">
        <v>2.5470995E7</v>
      </c>
      <c r="F340" s="7">
        <v>2.5016251E7</v>
      </c>
      <c r="G340" s="7">
        <v>2.33359615E8</v>
      </c>
      <c r="H340" s="7">
        <v>4.987452483E9</v>
      </c>
      <c r="I340" s="7">
        <v>1101717.0</v>
      </c>
      <c r="J340" s="7">
        <v>1067745.0</v>
      </c>
      <c r="K340" s="7">
        <v>33972.0</v>
      </c>
      <c r="L340" s="7">
        <v>66.42</v>
      </c>
      <c r="M340" s="7">
        <v>-0.13</v>
      </c>
      <c r="N340" s="7">
        <v>50742.0</v>
      </c>
      <c r="O340" s="7">
        <v>2.5607502E7</v>
      </c>
      <c r="P340" s="7" t="s">
        <v>411</v>
      </c>
      <c r="Q340" s="7">
        <v>5003.71</v>
      </c>
      <c r="R340" s="3">
        <f t="shared" si="1"/>
        <v>10000</v>
      </c>
    </row>
    <row r="341" ht="22.5" customHeight="1">
      <c r="B341" s="7" t="s">
        <v>350</v>
      </c>
      <c r="C341" s="7">
        <v>26541.0</v>
      </c>
      <c r="D341" s="7">
        <v>117126.0</v>
      </c>
      <c r="E341" s="7">
        <v>2.3484167E7</v>
      </c>
      <c r="F341" s="7">
        <v>2.3078926E7</v>
      </c>
      <c r="G341" s="7">
        <v>2.03074343E8</v>
      </c>
      <c r="H341" s="7">
        <v>4.499787224E9</v>
      </c>
      <c r="I341" s="7">
        <v>949944.0</v>
      </c>
      <c r="J341" s="7">
        <v>915968.0</v>
      </c>
      <c r="K341" s="7">
        <v>33976.0</v>
      </c>
      <c r="L341" s="7">
        <v>69.78</v>
      </c>
      <c r="M341" s="7">
        <v>-0.12</v>
      </c>
      <c r="N341" s="7">
        <v>50748.0</v>
      </c>
      <c r="O341" s="7">
        <v>2.1724989E7</v>
      </c>
      <c r="P341" s="7" t="s">
        <v>411</v>
      </c>
      <c r="Q341" s="7">
        <v>5003.85</v>
      </c>
      <c r="R341" s="3">
        <f t="shared" si="1"/>
        <v>10000</v>
      </c>
    </row>
    <row r="342" ht="22.5" customHeight="1">
      <c r="B342" s="7" t="s">
        <v>351</v>
      </c>
      <c r="C342" s="7">
        <v>26541.0</v>
      </c>
      <c r="D342" s="7">
        <v>117126.0</v>
      </c>
      <c r="E342" s="7">
        <v>2.578282E7</v>
      </c>
      <c r="F342" s="7">
        <v>2.5322241E7</v>
      </c>
      <c r="G342" s="7">
        <v>2.53919999E8</v>
      </c>
      <c r="H342" s="7">
        <v>5.140195325E9</v>
      </c>
      <c r="I342" s="7">
        <v>1232370.0</v>
      </c>
      <c r="J342" s="7">
        <v>1198639.0</v>
      </c>
      <c r="K342" s="7">
        <v>33731.0</v>
      </c>
      <c r="L342" s="7">
        <v>64.42</v>
      </c>
      <c r="M342" s="7">
        <v>-0.13</v>
      </c>
      <c r="N342" s="7">
        <v>50505.0</v>
      </c>
      <c r="O342" s="7">
        <v>2.5681822E7</v>
      </c>
      <c r="P342" s="7" t="s">
        <v>411</v>
      </c>
      <c r="Q342" s="7">
        <v>5003.8</v>
      </c>
      <c r="R342" s="3">
        <f t="shared" si="1"/>
        <v>10000</v>
      </c>
    </row>
    <row r="343" ht="22.5" customHeight="1">
      <c r="B343" s="7" t="s">
        <v>352</v>
      </c>
      <c r="C343" s="7">
        <v>26541.0</v>
      </c>
      <c r="D343" s="7">
        <v>117126.0</v>
      </c>
      <c r="E343" s="7">
        <v>2.1700973E7</v>
      </c>
      <c r="F343" s="7">
        <v>2.1361726E7</v>
      </c>
      <c r="G343" s="7">
        <v>1.66757529E8</v>
      </c>
      <c r="H343" s="7">
        <v>3.937599433E9</v>
      </c>
      <c r="I343" s="7">
        <v>833174.0</v>
      </c>
      <c r="J343" s="7">
        <v>798319.0</v>
      </c>
      <c r="K343" s="7">
        <v>34855.0</v>
      </c>
      <c r="L343" s="7">
        <v>73.0</v>
      </c>
      <c r="M343" s="7">
        <v>-0.11</v>
      </c>
      <c r="N343" s="7">
        <v>51620.0</v>
      </c>
      <c r="O343" s="7">
        <v>1.6588177E7</v>
      </c>
      <c r="P343" s="7" t="s">
        <v>411</v>
      </c>
      <c r="Q343" s="7">
        <v>5003.87</v>
      </c>
      <c r="R343" s="3">
        <f t="shared" si="1"/>
        <v>10000</v>
      </c>
    </row>
    <row r="344" ht="22.5" customHeight="1">
      <c r="B344" s="7" t="s">
        <v>353</v>
      </c>
      <c r="C344" s="7">
        <v>26541.0</v>
      </c>
      <c r="D344" s="7">
        <v>117126.0</v>
      </c>
      <c r="E344" s="7">
        <v>2.4571115E7</v>
      </c>
      <c r="F344" s="7">
        <v>2.413589E7</v>
      </c>
      <c r="G344" s="7">
        <v>2.27308622E8</v>
      </c>
      <c r="H344" s="7">
        <v>4.767247999E9</v>
      </c>
      <c r="I344" s="7">
        <v>1093930.0</v>
      </c>
      <c r="J344" s="7">
        <v>1060504.0</v>
      </c>
      <c r="K344" s="7">
        <v>33426.0</v>
      </c>
      <c r="L344" s="7">
        <v>67.96</v>
      </c>
      <c r="M344" s="7">
        <v>-0.13</v>
      </c>
      <c r="N344" s="7">
        <v>50201.0</v>
      </c>
      <c r="O344" s="7">
        <v>2.2788045E7</v>
      </c>
      <c r="P344" s="7" t="s">
        <v>411</v>
      </c>
      <c r="Q344" s="7">
        <v>5003.85</v>
      </c>
      <c r="R344" s="3">
        <f t="shared" si="1"/>
        <v>10000</v>
      </c>
    </row>
    <row r="345" ht="22.5" customHeight="1">
      <c r="B345" s="7" t="s">
        <v>354</v>
      </c>
      <c r="C345" s="7">
        <v>26541.0</v>
      </c>
      <c r="D345" s="7">
        <v>117126.0</v>
      </c>
      <c r="E345" s="7">
        <v>2.0301424E7</v>
      </c>
      <c r="F345" s="7">
        <v>1.9959124E7</v>
      </c>
      <c r="G345" s="7">
        <v>1.65746929E8</v>
      </c>
      <c r="H345" s="7">
        <v>3.946395975E9</v>
      </c>
      <c r="I345" s="7">
        <v>779659.0</v>
      </c>
      <c r="J345" s="7">
        <v>745571.0</v>
      </c>
      <c r="K345" s="7">
        <v>34088.0</v>
      </c>
      <c r="L345" s="7">
        <v>74.7</v>
      </c>
      <c r="M345" s="7">
        <v>-0.12</v>
      </c>
      <c r="N345" s="7">
        <v>50858.0</v>
      </c>
      <c r="O345" s="7">
        <v>1.5960666E7</v>
      </c>
      <c r="P345" s="7" t="s">
        <v>411</v>
      </c>
      <c r="Q345" s="7">
        <v>5003.82</v>
      </c>
      <c r="R345" s="3">
        <f t="shared" si="1"/>
        <v>10000</v>
      </c>
    </row>
    <row r="346" ht="22.5" customHeight="1">
      <c r="B346" s="7" t="s">
        <v>355</v>
      </c>
      <c r="C346" s="7">
        <v>26541.0</v>
      </c>
      <c r="D346" s="7">
        <v>117153.0</v>
      </c>
      <c r="E346" s="7">
        <v>2.3928184E7</v>
      </c>
      <c r="F346" s="7">
        <v>2.3394289E7</v>
      </c>
      <c r="G346" s="7">
        <v>3.23516326E8</v>
      </c>
      <c r="H346" s="7">
        <v>6.889666972E9</v>
      </c>
      <c r="I346" s="7">
        <v>1403511.0</v>
      </c>
      <c r="J346" s="7">
        <v>1373261.0</v>
      </c>
      <c r="K346" s="7">
        <v>30250.0</v>
      </c>
      <c r="L346" s="7">
        <v>70.8</v>
      </c>
      <c r="M346" s="7">
        <v>-0.15</v>
      </c>
      <c r="N346" s="7">
        <v>47046.0</v>
      </c>
      <c r="O346" s="7">
        <v>1.9825963E7</v>
      </c>
      <c r="P346" s="7" t="s">
        <v>411</v>
      </c>
      <c r="Q346" s="7">
        <v>5003.86</v>
      </c>
      <c r="R346" s="3">
        <f t="shared" si="1"/>
        <v>10000</v>
      </c>
    </row>
    <row r="347" ht="22.5" customHeight="1">
      <c r="B347" s="7" t="s">
        <v>356</v>
      </c>
      <c r="C347" s="7">
        <v>4656.0</v>
      </c>
      <c r="D347" s="7">
        <v>13868.0</v>
      </c>
      <c r="E347" s="7">
        <v>8158420.0</v>
      </c>
      <c r="F347" s="7">
        <v>8031744.0</v>
      </c>
      <c r="G347" s="7">
        <v>1.7355976E7</v>
      </c>
      <c r="H347" s="7">
        <v>1.750850857E9</v>
      </c>
      <c r="I347" s="7">
        <v>452905.0</v>
      </c>
      <c r="J347" s="7">
        <v>445804.0</v>
      </c>
      <c r="K347" s="7">
        <v>7101.0</v>
      </c>
      <c r="L347" s="7">
        <v>40.16</v>
      </c>
      <c r="M347" s="7">
        <v>-0.07</v>
      </c>
      <c r="N347" s="7">
        <v>11306.0</v>
      </c>
      <c r="O347" s="7">
        <v>4336245.0</v>
      </c>
      <c r="P347" s="7" t="s">
        <v>411</v>
      </c>
      <c r="Q347" s="7">
        <v>5003.86</v>
      </c>
      <c r="R347" s="3">
        <f t="shared" si="1"/>
        <v>10000</v>
      </c>
    </row>
    <row r="348" ht="22.5" customHeight="1">
      <c r="B348" s="7" t="s">
        <v>357</v>
      </c>
      <c r="C348" s="7">
        <v>3366.0</v>
      </c>
      <c r="D348" s="7">
        <v>362797.0</v>
      </c>
      <c r="E348" s="7">
        <v>2.944864E7</v>
      </c>
      <c r="F348" s="7">
        <v>2.8953172E7</v>
      </c>
      <c r="G348" s="7">
        <v>3.9613934E7</v>
      </c>
      <c r="H348" s="7">
        <v>2.587990216E9</v>
      </c>
      <c r="I348" s="7">
        <v>947372.0</v>
      </c>
      <c r="J348" s="7">
        <v>913530.0</v>
      </c>
      <c r="K348" s="7">
        <v>33842.0</v>
      </c>
      <c r="L348" s="7">
        <v>71.9</v>
      </c>
      <c r="M348" s="7">
        <v>-0.03</v>
      </c>
      <c r="N348" s="7">
        <v>50568.0</v>
      </c>
      <c r="O348" s="7">
        <v>1.7233803E7</v>
      </c>
      <c r="P348" s="7" t="s">
        <v>411</v>
      </c>
      <c r="Q348" s="7">
        <v>5003.79</v>
      </c>
      <c r="R348" s="3">
        <f t="shared" si="1"/>
        <v>10000</v>
      </c>
    </row>
    <row r="349" ht="22.5" customHeight="1">
      <c r="B349" s="7" t="s">
        <v>358</v>
      </c>
      <c r="C349" s="7">
        <v>302737.0</v>
      </c>
      <c r="D349" s="7">
        <v>1309727.0</v>
      </c>
      <c r="E349" s="7">
        <v>1117831.0</v>
      </c>
      <c r="F349" s="7">
        <v>1096161.0</v>
      </c>
      <c r="G349" s="7">
        <v>1761098.0</v>
      </c>
      <c r="H349" s="7">
        <v>1.5078201266E10</v>
      </c>
      <c r="I349" s="7">
        <v>58894.0</v>
      </c>
      <c r="J349" s="7">
        <v>56940.0</v>
      </c>
      <c r="K349" s="7">
        <v>1954.0</v>
      </c>
      <c r="L349" s="7">
        <v>58.2</v>
      </c>
      <c r="M349" s="7">
        <v>-0.04</v>
      </c>
      <c r="N349" s="7">
        <v>3004.0</v>
      </c>
      <c r="O349" s="7">
        <v>351742.0</v>
      </c>
      <c r="P349" s="7" t="s">
        <v>411</v>
      </c>
      <c r="Q349" s="7">
        <v>5003.87</v>
      </c>
      <c r="R349" s="3">
        <f t="shared" si="1"/>
        <v>10000</v>
      </c>
    </row>
    <row r="350" ht="22.5" customHeight="1">
      <c r="B350" s="7" t="s">
        <v>359</v>
      </c>
      <c r="C350" s="7">
        <v>1315.0</v>
      </c>
      <c r="D350" s="7">
        <v>5254.0</v>
      </c>
      <c r="E350" s="7">
        <v>2.4082782E7</v>
      </c>
      <c r="F350" s="7">
        <v>2.3880181E7</v>
      </c>
      <c r="G350" s="7">
        <v>3.6254791E7</v>
      </c>
      <c r="H350" s="7">
        <v>1.769512068E9</v>
      </c>
      <c r="I350" s="7">
        <v>1033027.0</v>
      </c>
      <c r="J350" s="7">
        <v>1006639.0</v>
      </c>
      <c r="K350" s="7">
        <v>26388.0</v>
      </c>
      <c r="L350" s="7">
        <v>22.74</v>
      </c>
      <c r="M350" s="7">
        <v>-0.05</v>
      </c>
      <c r="N350" s="7">
        <v>43213.0</v>
      </c>
      <c r="O350" s="7">
        <v>1.0330952E7</v>
      </c>
      <c r="P350" s="7" t="s">
        <v>411</v>
      </c>
      <c r="Q350" s="7">
        <v>5003.85</v>
      </c>
      <c r="R350" s="3">
        <f t="shared" si="1"/>
        <v>10000</v>
      </c>
    </row>
    <row r="351" ht="22.5" customHeight="1">
      <c r="B351" s="7" t="s">
        <v>360</v>
      </c>
      <c r="C351" s="7">
        <v>188962.0</v>
      </c>
      <c r="D351" s="7">
        <v>825894.0</v>
      </c>
      <c r="E351" s="7">
        <v>6864954.0</v>
      </c>
      <c r="F351" s="7">
        <v>6498860.0</v>
      </c>
      <c r="G351" s="7">
        <v>5.3755197E7</v>
      </c>
      <c r="H351" s="7">
        <v>8.37489655E9</v>
      </c>
      <c r="I351" s="7">
        <v>252263.0</v>
      </c>
      <c r="J351" s="7">
        <v>243426.0</v>
      </c>
      <c r="K351" s="7">
        <v>8837.0</v>
      </c>
      <c r="L351" s="7">
        <v>300.98</v>
      </c>
      <c r="M351" s="7">
        <v>-0.09</v>
      </c>
      <c r="N351" s="7">
        <v>13006.0</v>
      </c>
      <c r="O351" s="7">
        <v>4549722.0</v>
      </c>
      <c r="P351" s="7" t="s">
        <v>411</v>
      </c>
      <c r="Q351" s="7">
        <v>5003.86</v>
      </c>
      <c r="R351" s="3">
        <f t="shared" si="1"/>
        <v>10000</v>
      </c>
    </row>
    <row r="352" ht="22.5" customHeight="1">
      <c r="B352" s="7" t="s">
        <v>361</v>
      </c>
      <c r="C352" s="7">
        <v>164158.0</v>
      </c>
      <c r="D352" s="7">
        <v>717440.0</v>
      </c>
      <c r="E352" s="7">
        <v>8863499.0</v>
      </c>
      <c r="F352" s="7">
        <v>8454886.0</v>
      </c>
      <c r="G352" s="7">
        <v>6.3061315E7</v>
      </c>
      <c r="H352" s="7">
        <v>6.295438771E9</v>
      </c>
      <c r="I352" s="7">
        <v>355471.0</v>
      </c>
      <c r="J352" s="7">
        <v>344288.0</v>
      </c>
      <c r="K352" s="7">
        <v>11183.0</v>
      </c>
      <c r="L352" s="7">
        <v>183.34</v>
      </c>
      <c r="M352" s="7">
        <v>-0.08</v>
      </c>
      <c r="N352" s="7">
        <v>16376.0</v>
      </c>
      <c r="O352" s="7">
        <v>5093080.0</v>
      </c>
      <c r="P352" s="7" t="s">
        <v>411</v>
      </c>
      <c r="Q352" s="7">
        <v>5003.87</v>
      </c>
      <c r="R352" s="3">
        <f t="shared" si="1"/>
        <v>10000</v>
      </c>
    </row>
    <row r="353" ht="22.5" customHeight="1">
      <c r="B353" s="7" t="s">
        <v>362</v>
      </c>
      <c r="C353" s="7">
        <v>262368.0</v>
      </c>
      <c r="D353" s="7">
        <v>1226585.0</v>
      </c>
      <c r="E353" s="7">
        <v>5430703.0</v>
      </c>
      <c r="F353" s="7">
        <v>5152618.0</v>
      </c>
      <c r="G353" s="7">
        <v>6.4945659E7</v>
      </c>
      <c r="H353" s="7">
        <v>8.721643952E9</v>
      </c>
      <c r="I353" s="7">
        <v>216723.0</v>
      </c>
      <c r="J353" s="7">
        <v>208101.0</v>
      </c>
      <c r="K353" s="7">
        <v>8622.0</v>
      </c>
      <c r="L353" s="7">
        <v>313.72</v>
      </c>
      <c r="M353" s="7">
        <v>-0.1</v>
      </c>
      <c r="N353" s="7">
        <v>12798.0</v>
      </c>
      <c r="O353" s="7">
        <v>3885152.0</v>
      </c>
      <c r="P353" s="7" t="s">
        <v>411</v>
      </c>
      <c r="Q353" s="7">
        <v>5003.79</v>
      </c>
      <c r="R353" s="3">
        <f t="shared" si="1"/>
        <v>10000</v>
      </c>
    </row>
    <row r="354" ht="22.5" customHeight="1">
      <c r="B354" s="7" t="s">
        <v>363</v>
      </c>
      <c r="C354" s="7">
        <v>480.0</v>
      </c>
      <c r="D354" s="7">
        <v>3632.0</v>
      </c>
      <c r="E354" s="7">
        <v>2.5556646E7</v>
      </c>
      <c r="F354" s="7">
        <v>2.537238E7</v>
      </c>
      <c r="G354" s="7">
        <v>2.9277603E7</v>
      </c>
      <c r="H354" s="7">
        <v>4.34663584E8</v>
      </c>
      <c r="I354" s="7">
        <v>887414.0</v>
      </c>
      <c r="J354" s="7">
        <v>850810.0</v>
      </c>
      <c r="K354" s="7">
        <v>36604.0</v>
      </c>
      <c r="L354" s="7">
        <v>67.23</v>
      </c>
      <c r="M354" s="7">
        <v>-0.03</v>
      </c>
      <c r="N354" s="7">
        <v>53311.0</v>
      </c>
      <c r="O354" s="7">
        <v>1.2353504E7</v>
      </c>
      <c r="P354" s="7" t="s">
        <v>411</v>
      </c>
      <c r="Q354" s="7">
        <v>5003.83</v>
      </c>
      <c r="R354" s="3">
        <f t="shared" si="1"/>
        <v>10000</v>
      </c>
    </row>
    <row r="355" ht="22.5" customHeight="1">
      <c r="B355" s="7" t="s">
        <v>364</v>
      </c>
      <c r="C355" s="7">
        <v>840.0</v>
      </c>
      <c r="D355" s="7">
        <v>8442.0</v>
      </c>
      <c r="E355" s="7">
        <v>2.3519457E7</v>
      </c>
      <c r="F355" s="7">
        <v>2.3339327E7</v>
      </c>
      <c r="G355" s="7">
        <v>2.6353029E7</v>
      </c>
      <c r="H355" s="7">
        <v>5.52355581E8</v>
      </c>
      <c r="I355" s="7">
        <v>598205.0</v>
      </c>
      <c r="J355" s="7">
        <v>561220.0</v>
      </c>
      <c r="K355" s="7">
        <v>36985.0</v>
      </c>
      <c r="L355" s="7">
        <v>121.77</v>
      </c>
      <c r="M355" s="7">
        <v>-0.02</v>
      </c>
      <c r="N355" s="7">
        <v>53691.0</v>
      </c>
      <c r="O355" s="7">
        <v>1.1308727E7</v>
      </c>
      <c r="P355" s="7" t="s">
        <v>411</v>
      </c>
      <c r="Q355" s="7">
        <v>5003.88</v>
      </c>
      <c r="R355" s="3">
        <f t="shared" si="1"/>
        <v>10000</v>
      </c>
    </row>
    <row r="356" ht="22.5" customHeight="1">
      <c r="B356" s="7" t="s">
        <v>365</v>
      </c>
      <c r="C356" s="7">
        <v>5000.0</v>
      </c>
      <c r="D356" s="7">
        <v>21250.0</v>
      </c>
      <c r="E356" s="7">
        <v>1.8430457E7</v>
      </c>
      <c r="F356" s="7">
        <v>1.7991339E7</v>
      </c>
      <c r="G356" s="7">
        <v>4.1067691E7</v>
      </c>
      <c r="H356" s="7">
        <v>3.468380329E9</v>
      </c>
      <c r="I356" s="7">
        <v>537677.0</v>
      </c>
      <c r="J356" s="7">
        <v>510226.0</v>
      </c>
      <c r="K356" s="7">
        <v>27451.0</v>
      </c>
      <c r="L356" s="7">
        <v>35.2</v>
      </c>
      <c r="M356" s="7">
        <v>-0.06</v>
      </c>
      <c r="N356" s="7">
        <v>44259.0</v>
      </c>
      <c r="O356" s="7">
        <v>6527743.0</v>
      </c>
      <c r="P356" s="7" t="s">
        <v>411</v>
      </c>
      <c r="Q356" s="7">
        <v>5003.87</v>
      </c>
      <c r="R356" s="3">
        <f t="shared" si="1"/>
        <v>10000</v>
      </c>
    </row>
    <row r="357" ht="22.5" customHeight="1">
      <c r="B357" s="7" t="s">
        <v>366</v>
      </c>
      <c r="C357" s="7">
        <v>3220.0</v>
      </c>
      <c r="D357" s="7">
        <v>59525.0</v>
      </c>
      <c r="E357" s="7">
        <v>8774558.0</v>
      </c>
      <c r="F357" s="7">
        <v>8649327.0</v>
      </c>
      <c r="G357" s="7">
        <v>1.5806338E7</v>
      </c>
      <c r="H357" s="7">
        <v>2.316851193E9</v>
      </c>
      <c r="I357" s="7">
        <v>312705.0</v>
      </c>
      <c r="J357" s="7">
        <v>303482.0</v>
      </c>
      <c r="K357" s="7">
        <v>9223.0</v>
      </c>
      <c r="L357" s="7">
        <v>56.56</v>
      </c>
      <c r="M357" s="7">
        <v>-0.05</v>
      </c>
      <c r="N357" s="7">
        <v>14320.0</v>
      </c>
      <c r="O357" s="7">
        <v>4768407.0</v>
      </c>
      <c r="P357" s="7" t="s">
        <v>411</v>
      </c>
      <c r="Q357" s="7">
        <v>5003.87</v>
      </c>
      <c r="R357" s="3">
        <f t="shared" si="1"/>
        <v>10000</v>
      </c>
    </row>
    <row r="358" ht="22.5" customHeight="1">
      <c r="B358" s="7" t="s">
        <v>367</v>
      </c>
      <c r="C358" s="7">
        <v>1740.0</v>
      </c>
      <c r="D358" s="7">
        <v>104640.0</v>
      </c>
      <c r="E358" s="7">
        <v>1.765324E7</v>
      </c>
      <c r="F358" s="7">
        <v>1.7396377E7</v>
      </c>
      <c r="G358" s="7">
        <v>3.4499475E7</v>
      </c>
      <c r="H358" s="7">
        <v>1.30926562E9</v>
      </c>
      <c r="I358" s="7">
        <v>568863.0</v>
      </c>
      <c r="J358" s="7">
        <v>538877.0</v>
      </c>
      <c r="K358" s="7">
        <v>29986.0</v>
      </c>
      <c r="L358" s="7">
        <v>32.93</v>
      </c>
      <c r="M358" s="7">
        <v>-0.06</v>
      </c>
      <c r="N358" s="7">
        <v>46770.0</v>
      </c>
      <c r="O358" s="7">
        <v>5627992.0</v>
      </c>
      <c r="P358" s="7" t="s">
        <v>411</v>
      </c>
      <c r="Q358" s="7">
        <v>5003.87</v>
      </c>
      <c r="R358" s="3">
        <f t="shared" si="1"/>
        <v>10000</v>
      </c>
    </row>
    <row r="359" ht="22.5" customHeight="1">
      <c r="B359" s="7" t="s">
        <v>368</v>
      </c>
      <c r="C359" s="7">
        <v>2058.0</v>
      </c>
      <c r="D359" s="7">
        <v>133055.0</v>
      </c>
      <c r="E359" s="7">
        <v>2.0056696E7</v>
      </c>
      <c r="F359" s="7">
        <v>1.977718E7</v>
      </c>
      <c r="G359" s="7">
        <v>4.5709186E7</v>
      </c>
      <c r="H359" s="7">
        <v>1.649598215E9</v>
      </c>
      <c r="I359" s="7">
        <v>730194.0</v>
      </c>
      <c r="J359" s="7">
        <v>699898.0</v>
      </c>
      <c r="K359" s="7">
        <v>30296.0</v>
      </c>
      <c r="L359" s="7">
        <v>37.37</v>
      </c>
      <c r="M359" s="7">
        <v>-0.06</v>
      </c>
      <c r="N359" s="7">
        <v>47077.0</v>
      </c>
      <c r="O359" s="7">
        <v>7730988.0</v>
      </c>
      <c r="P359" s="7" t="s">
        <v>411</v>
      </c>
      <c r="Q359" s="7">
        <v>5003.86</v>
      </c>
      <c r="R359" s="3">
        <f t="shared" si="1"/>
        <v>10000</v>
      </c>
    </row>
    <row r="360" ht="22.5" customHeight="1">
      <c r="B360" s="7" t="s">
        <v>369</v>
      </c>
      <c r="C360" s="7">
        <v>2100.0</v>
      </c>
      <c r="D360" s="7">
        <v>215164.0</v>
      </c>
      <c r="E360" s="7">
        <v>1.9069679E7</v>
      </c>
      <c r="F360" s="7">
        <v>1.8597018E7</v>
      </c>
      <c r="G360" s="7">
        <v>3.2963377E7</v>
      </c>
      <c r="H360" s="7">
        <v>2.784648286E9</v>
      </c>
      <c r="I360" s="7">
        <v>416207.0</v>
      </c>
      <c r="J360" s="7">
        <v>386021.0</v>
      </c>
      <c r="K360" s="7">
        <v>30186.0</v>
      </c>
      <c r="L360" s="7">
        <v>97.41</v>
      </c>
      <c r="M360" s="7">
        <v>-0.05</v>
      </c>
      <c r="N360" s="7">
        <v>46951.0</v>
      </c>
      <c r="O360" s="7">
        <v>8468224.0</v>
      </c>
      <c r="P360" s="7" t="s">
        <v>411</v>
      </c>
      <c r="Q360" s="7">
        <v>5003.93</v>
      </c>
      <c r="R360" s="3">
        <f t="shared" si="1"/>
        <v>10000</v>
      </c>
    </row>
    <row r="361" ht="22.5" customHeight="1">
      <c r="B361" s="7" t="s">
        <v>370</v>
      </c>
      <c r="C361" s="7">
        <v>2400.0</v>
      </c>
      <c r="D361" s="7">
        <v>266431.0</v>
      </c>
      <c r="E361" s="7">
        <v>1.8928485E7</v>
      </c>
      <c r="F361" s="7">
        <v>1.8452783E7</v>
      </c>
      <c r="G361" s="7">
        <v>3.2308096E7</v>
      </c>
      <c r="H361" s="7">
        <v>2.552040846E9</v>
      </c>
      <c r="I361" s="7">
        <v>336987.0</v>
      </c>
      <c r="J361" s="7">
        <v>306644.0</v>
      </c>
      <c r="K361" s="7">
        <v>30343.0</v>
      </c>
      <c r="L361" s="7">
        <v>123.54</v>
      </c>
      <c r="M361" s="7">
        <v>-0.05</v>
      </c>
      <c r="N361" s="7">
        <v>47112.0</v>
      </c>
      <c r="O361" s="7">
        <v>8607499.0</v>
      </c>
      <c r="P361" s="7" t="s">
        <v>411</v>
      </c>
      <c r="Q361" s="7">
        <v>5003.85</v>
      </c>
      <c r="R361" s="3">
        <f t="shared" si="1"/>
        <v>10000</v>
      </c>
    </row>
    <row r="362" ht="22.5" customHeight="1">
      <c r="B362" s="7" t="s">
        <v>371</v>
      </c>
      <c r="C362" s="7">
        <v>1000.0</v>
      </c>
      <c r="D362" s="7">
        <v>21405.0</v>
      </c>
      <c r="E362" s="7">
        <v>8.0747582E7</v>
      </c>
      <c r="F362" s="7">
        <v>5.897353E7</v>
      </c>
      <c r="G362" s="7">
        <v>8.42765457E8</v>
      </c>
      <c r="H362" s="7">
        <v>9.758089194E9</v>
      </c>
      <c r="I362" s="7">
        <v>544667.0</v>
      </c>
      <c r="J362" s="7">
        <v>289722.0</v>
      </c>
      <c r="K362" s="7">
        <v>254945.0</v>
      </c>
      <c r="L362" s="7">
        <v>41.3</v>
      </c>
      <c r="M362" s="7">
        <v>-0.04</v>
      </c>
      <c r="N362" s="7">
        <v>316435.0</v>
      </c>
      <c r="O362" s="7">
        <v>1.99856446E8</v>
      </c>
      <c r="P362" s="7" t="s">
        <v>411</v>
      </c>
      <c r="Q362" s="7">
        <v>5003.85</v>
      </c>
      <c r="R362" s="3">
        <f t="shared" si="1"/>
        <v>10000</v>
      </c>
    </row>
    <row r="363" ht="22.5" customHeight="1">
      <c r="B363" s="7" t="s">
        <v>372</v>
      </c>
      <c r="C363" s="7">
        <v>1740.0</v>
      </c>
      <c r="D363" s="7">
        <v>114011.0</v>
      </c>
      <c r="E363" s="7">
        <v>1.7591629E7</v>
      </c>
      <c r="F363" s="7">
        <v>1.736479E7</v>
      </c>
      <c r="G363" s="7">
        <v>3.0283094E7</v>
      </c>
      <c r="H363" s="7">
        <v>1.205567458E9</v>
      </c>
      <c r="I363" s="7">
        <v>540651.0</v>
      </c>
      <c r="J363" s="7">
        <v>510827.0</v>
      </c>
      <c r="K363" s="7">
        <v>29824.0</v>
      </c>
      <c r="L363" s="7">
        <v>30.28</v>
      </c>
      <c r="M363" s="7">
        <v>-0.05</v>
      </c>
      <c r="N363" s="7">
        <v>46612.0</v>
      </c>
      <c r="O363" s="7">
        <v>5572365.0</v>
      </c>
      <c r="P363" s="7" t="s">
        <v>411</v>
      </c>
      <c r="Q363" s="7">
        <v>5003.89</v>
      </c>
      <c r="R363" s="3">
        <f t="shared" si="1"/>
        <v>10000</v>
      </c>
    </row>
    <row r="364" ht="22.5" customHeight="1">
      <c r="B364" s="7" t="s">
        <v>373</v>
      </c>
      <c r="C364" s="7">
        <v>1898.0</v>
      </c>
      <c r="D364" s="7">
        <v>128735.0</v>
      </c>
      <c r="E364" s="7">
        <v>2.0162846E7</v>
      </c>
      <c r="F364" s="7">
        <v>1.9906672E7</v>
      </c>
      <c r="G364" s="7">
        <v>3.7077739E7</v>
      </c>
      <c r="H364" s="7">
        <v>1.393456952E9</v>
      </c>
      <c r="I364" s="7">
        <v>689046.0</v>
      </c>
      <c r="J364" s="7">
        <v>659306.0</v>
      </c>
      <c r="K364" s="7">
        <v>29740.0</v>
      </c>
      <c r="L364" s="7">
        <v>31.82</v>
      </c>
      <c r="M364" s="7">
        <v>-0.06</v>
      </c>
      <c r="N364" s="7">
        <v>46530.0</v>
      </c>
      <c r="O364" s="7">
        <v>7935174.0</v>
      </c>
      <c r="P364" s="7" t="s">
        <v>411</v>
      </c>
      <c r="Q364" s="7">
        <v>5003.88</v>
      </c>
      <c r="R364" s="3">
        <f t="shared" si="1"/>
        <v>10000</v>
      </c>
    </row>
    <row r="365" ht="22.5" customHeight="1">
      <c r="B365" s="7" t="s">
        <v>374</v>
      </c>
      <c r="C365" s="7">
        <v>3090.0</v>
      </c>
      <c r="D365" s="7">
        <v>59825.0</v>
      </c>
      <c r="E365" s="7">
        <v>7916804.0</v>
      </c>
      <c r="F365" s="7">
        <v>7840985.0</v>
      </c>
      <c r="G365" s="7">
        <v>1.6542082E7</v>
      </c>
      <c r="H365" s="7">
        <v>1.187623041E9</v>
      </c>
      <c r="I365" s="7">
        <v>444617.0</v>
      </c>
      <c r="J365" s="7">
        <v>437842.0</v>
      </c>
      <c r="K365" s="7">
        <v>6775.0</v>
      </c>
      <c r="L365" s="7">
        <v>25.58</v>
      </c>
      <c r="M365" s="7">
        <v>-0.08</v>
      </c>
      <c r="N365" s="7">
        <v>10980.0</v>
      </c>
      <c r="O365" s="7">
        <v>3936415.0</v>
      </c>
      <c r="P365" s="7" t="s">
        <v>411</v>
      </c>
      <c r="Q365" s="7">
        <v>5003.86</v>
      </c>
      <c r="R365" s="3">
        <f t="shared" si="1"/>
        <v>10000</v>
      </c>
    </row>
    <row r="366" ht="22.5" customHeight="1">
      <c r="B366" s="7" t="s">
        <v>375</v>
      </c>
      <c r="C366" s="7">
        <v>130928.0</v>
      </c>
      <c r="D366" s="7">
        <v>437704.0</v>
      </c>
      <c r="E366" s="7">
        <v>3.0261698E7</v>
      </c>
      <c r="F366" s="7">
        <v>2.9942688E7</v>
      </c>
      <c r="G366" s="7">
        <v>1.25398512E8</v>
      </c>
      <c r="H366" s="7">
        <v>4.244814139E9</v>
      </c>
      <c r="I366" s="7">
        <v>1680973.0</v>
      </c>
      <c r="J366" s="7">
        <v>1650422.0</v>
      </c>
      <c r="K366" s="7">
        <v>30551.0</v>
      </c>
      <c r="L366" s="7">
        <v>40.99</v>
      </c>
      <c r="M366" s="7">
        <v>-0.09</v>
      </c>
      <c r="N366" s="7">
        <v>47329.0</v>
      </c>
      <c r="O366" s="7">
        <v>1.5800596E7</v>
      </c>
      <c r="P366" s="7" t="s">
        <v>411</v>
      </c>
      <c r="Q366" s="7">
        <v>5003.59</v>
      </c>
      <c r="R366" s="3">
        <f t="shared" si="1"/>
        <v>10000</v>
      </c>
    </row>
    <row r="367" ht="22.5" customHeight="1">
      <c r="B367" s="7" t="s">
        <v>376</v>
      </c>
      <c r="C367" s="7">
        <v>773.0</v>
      </c>
      <c r="D367" s="7">
        <v>29353.0</v>
      </c>
      <c r="E367" s="7">
        <v>2.5386105E7</v>
      </c>
      <c r="F367" s="7">
        <v>2.4817114E7</v>
      </c>
      <c r="G367" s="7">
        <v>4.8281196E7</v>
      </c>
      <c r="H367" s="7">
        <v>1.348285602E9</v>
      </c>
      <c r="I367" s="7">
        <v>916289.0</v>
      </c>
      <c r="J367" s="7">
        <v>887383.0</v>
      </c>
      <c r="K367" s="7">
        <v>28906.0</v>
      </c>
      <c r="L367" s="7">
        <v>41.44</v>
      </c>
      <c r="M367" s="7">
        <v>-0.07</v>
      </c>
      <c r="N367" s="7">
        <v>45697.0</v>
      </c>
      <c r="O367" s="7">
        <v>1.2634262E7</v>
      </c>
      <c r="P367" s="7" t="s">
        <v>411</v>
      </c>
      <c r="Q367" s="7">
        <v>5003.87</v>
      </c>
      <c r="R367" s="3">
        <f t="shared" si="1"/>
        <v>10000</v>
      </c>
    </row>
    <row r="368" ht="22.5" customHeight="1">
      <c r="B368" s="7" t="s">
        <v>377</v>
      </c>
      <c r="C368" s="7">
        <v>109.0</v>
      </c>
      <c r="D368" s="7">
        <v>228.0</v>
      </c>
      <c r="E368" s="7">
        <v>2.9100729E7</v>
      </c>
      <c r="F368" s="7">
        <v>2.8866179E7</v>
      </c>
      <c r="G368" s="7">
        <v>3.8741225E7</v>
      </c>
      <c r="H368" s="7">
        <v>4.39093061E8</v>
      </c>
      <c r="I368" s="7">
        <v>1609875.0</v>
      </c>
      <c r="J368" s="7">
        <v>1582060.0</v>
      </c>
      <c r="K368" s="7">
        <v>27815.0</v>
      </c>
      <c r="L368" s="7">
        <v>20.37</v>
      </c>
      <c r="M368" s="7">
        <v>-0.04</v>
      </c>
      <c r="N368" s="7">
        <v>44630.0</v>
      </c>
      <c r="O368" s="7">
        <v>1.3919779E7</v>
      </c>
      <c r="P368" s="7" t="s">
        <v>411</v>
      </c>
      <c r="Q368" s="7">
        <v>5003.83</v>
      </c>
      <c r="R368" s="3">
        <f t="shared" si="1"/>
        <v>10000</v>
      </c>
    </row>
    <row r="369" ht="22.5" customHeight="1">
      <c r="B369" s="7" t="s">
        <v>233</v>
      </c>
      <c r="C369" s="7">
        <v>840.0</v>
      </c>
      <c r="D369" s="7">
        <v>71206.0</v>
      </c>
      <c r="E369" s="7">
        <v>1.161639E7</v>
      </c>
      <c r="F369" s="7">
        <v>1.1396867E7</v>
      </c>
      <c r="G369" s="7">
        <v>1.5072189E7</v>
      </c>
      <c r="H369" s="7">
        <v>7.1051056E8</v>
      </c>
      <c r="I369" s="7">
        <v>353508.0</v>
      </c>
      <c r="J369" s="7">
        <v>334345.0</v>
      </c>
      <c r="K369" s="7">
        <v>19163.0</v>
      </c>
      <c r="L369" s="7">
        <v>124.58</v>
      </c>
      <c r="M369" s="7">
        <v>-0.03</v>
      </c>
      <c r="N369" s="7">
        <v>28586.0</v>
      </c>
      <c r="O369" s="7">
        <v>5260711.0</v>
      </c>
      <c r="P369" s="7" t="s">
        <v>411</v>
      </c>
      <c r="Q369" s="7">
        <v>5003.85</v>
      </c>
      <c r="R369" s="3">
        <f t="shared" si="1"/>
        <v>10000</v>
      </c>
    </row>
    <row r="370" ht="22.5" customHeight="1">
      <c r="B370" s="7" t="s">
        <v>378</v>
      </c>
      <c r="C370" s="7">
        <v>61377.0</v>
      </c>
      <c r="D370" s="7">
        <v>235249.0</v>
      </c>
      <c r="E370" s="7">
        <v>3686485.0</v>
      </c>
      <c r="F370" s="7">
        <v>3618627.0</v>
      </c>
      <c r="G370" s="7">
        <v>1.4573696E7</v>
      </c>
      <c r="H370" s="7">
        <v>5.419206221E9</v>
      </c>
      <c r="I370" s="7">
        <v>61228.0</v>
      </c>
      <c r="J370" s="7">
        <v>52000.0</v>
      </c>
      <c r="K370" s="7">
        <v>9228.0</v>
      </c>
      <c r="L370" s="7">
        <v>391.77</v>
      </c>
      <c r="M370" s="7">
        <v>-0.05</v>
      </c>
      <c r="N370" s="7">
        <v>12769.0</v>
      </c>
      <c r="O370" s="7">
        <v>2315183.0</v>
      </c>
      <c r="P370" s="7" t="s">
        <v>411</v>
      </c>
      <c r="Q370" s="7">
        <v>5003.82</v>
      </c>
      <c r="R370" s="3">
        <f t="shared" si="1"/>
        <v>10000</v>
      </c>
    </row>
    <row r="371" ht="22.5" customHeight="1">
      <c r="B371" s="7" t="s">
        <v>379</v>
      </c>
      <c r="C371" s="7">
        <v>7916927.0</v>
      </c>
      <c r="D371" s="7">
        <v>3.2591905E7</v>
      </c>
      <c r="E371" s="7">
        <v>1155357.0</v>
      </c>
      <c r="F371" s="7">
        <v>1119768.0</v>
      </c>
      <c r="G371" s="7">
        <v>5596083.0</v>
      </c>
      <c r="H371" s="7">
        <v>1.177254467E9</v>
      </c>
      <c r="I371" s="7">
        <v>39101.0</v>
      </c>
      <c r="J371" s="7">
        <v>37480.0</v>
      </c>
      <c r="K371" s="7">
        <v>1621.0</v>
      </c>
      <c r="L371" s="7">
        <v>25.63</v>
      </c>
      <c r="M371" s="7">
        <v>-0.12</v>
      </c>
      <c r="N371" s="7">
        <v>2675.0</v>
      </c>
      <c r="O371" s="7">
        <v>918492.0</v>
      </c>
      <c r="P371" s="7" t="s">
        <v>411</v>
      </c>
      <c r="Q371" s="7">
        <v>5007.03</v>
      </c>
      <c r="R371" s="3">
        <f t="shared" si="1"/>
        <v>10000</v>
      </c>
    </row>
    <row r="372" ht="22.5" customHeight="1">
      <c r="B372" s="7" t="s">
        <v>228</v>
      </c>
      <c r="C372" s="7">
        <v>3220.0</v>
      </c>
      <c r="D372" s="7">
        <v>12314.0</v>
      </c>
      <c r="E372" s="7">
        <v>2.0862973E7</v>
      </c>
      <c r="F372" s="7">
        <v>2.0565734E7</v>
      </c>
      <c r="G372" s="7">
        <v>5.3279908E7</v>
      </c>
      <c r="H372" s="7">
        <v>1.411856895E9</v>
      </c>
      <c r="I372" s="7">
        <v>879688.0</v>
      </c>
      <c r="J372" s="7">
        <v>850593.0</v>
      </c>
      <c r="K372" s="7">
        <v>29095.0</v>
      </c>
      <c r="L372" s="7">
        <v>36.2</v>
      </c>
      <c r="M372" s="7">
        <v>-0.09</v>
      </c>
      <c r="N372" s="7">
        <v>45901.0</v>
      </c>
      <c r="O372" s="7">
        <v>8739055.0</v>
      </c>
      <c r="P372" s="7" t="s">
        <v>411</v>
      </c>
      <c r="Q372" s="7">
        <v>5003.89</v>
      </c>
      <c r="R372" s="3">
        <f t="shared" si="1"/>
        <v>10000</v>
      </c>
    </row>
    <row r="373" ht="22.5" customHeight="1">
      <c r="B373" s="7" t="s">
        <v>382</v>
      </c>
      <c r="C373" s="7">
        <v>36410.0</v>
      </c>
      <c r="D373" s="7">
        <v>115054.0</v>
      </c>
      <c r="E373" s="7">
        <v>1.808127E7</v>
      </c>
      <c r="F373" s="7">
        <v>1.7735741E7</v>
      </c>
      <c r="G373" s="7">
        <v>4.139813E7</v>
      </c>
      <c r="H373" s="7">
        <v>4.627851355E9</v>
      </c>
      <c r="I373" s="7">
        <v>613048.0</v>
      </c>
      <c r="J373" s="7">
        <v>583144.0</v>
      </c>
      <c r="K373" s="7">
        <v>29904.0</v>
      </c>
      <c r="L373" s="7">
        <v>55.02</v>
      </c>
      <c r="M373" s="7">
        <v>-0.07</v>
      </c>
      <c r="N373" s="7">
        <v>46679.0</v>
      </c>
      <c r="O373" s="7">
        <v>6078343.0</v>
      </c>
      <c r="P373" s="7" t="s">
        <v>411</v>
      </c>
      <c r="Q373" s="7">
        <v>5003.83</v>
      </c>
      <c r="R373" s="3">
        <f t="shared" si="1"/>
        <v>10000</v>
      </c>
    </row>
    <row r="374" ht="22.5" customHeight="1">
      <c r="B374" s="7" t="s">
        <v>383</v>
      </c>
      <c r="C374" s="7">
        <v>53118.0</v>
      </c>
      <c r="D374" s="7">
        <v>168346.0</v>
      </c>
      <c r="E374" s="7">
        <v>1.7391398E7</v>
      </c>
      <c r="F374" s="7">
        <v>1.7043897E7</v>
      </c>
      <c r="G374" s="7">
        <v>5.2054911E7</v>
      </c>
      <c r="H374" s="7">
        <v>6.609424716E9</v>
      </c>
      <c r="I374" s="7">
        <v>580908.0</v>
      </c>
      <c r="J374" s="7">
        <v>550177.0</v>
      </c>
      <c r="K374" s="7">
        <v>30731.0</v>
      </c>
      <c r="L374" s="7">
        <v>70.57</v>
      </c>
      <c r="M374" s="7">
        <v>-0.08</v>
      </c>
      <c r="N374" s="7">
        <v>47504.0</v>
      </c>
      <c r="O374" s="7">
        <v>5765935.0</v>
      </c>
      <c r="P374" s="7" t="s">
        <v>411</v>
      </c>
      <c r="Q374" s="7">
        <v>5003.77</v>
      </c>
      <c r="R374" s="3">
        <f t="shared" si="1"/>
        <v>10000</v>
      </c>
    </row>
    <row r="375" ht="22.5" customHeight="1">
      <c r="B375" s="7" t="s">
        <v>384</v>
      </c>
      <c r="C375" s="7">
        <v>73074.0</v>
      </c>
      <c r="D375" s="7">
        <v>231921.0</v>
      </c>
      <c r="E375" s="7">
        <v>1.8945897E7</v>
      </c>
      <c r="F375" s="7">
        <v>1.8532363E7</v>
      </c>
      <c r="G375" s="7">
        <v>7.4765674E7</v>
      </c>
      <c r="H375" s="7">
        <v>9.042702248E9</v>
      </c>
      <c r="I375" s="7">
        <v>726431.0</v>
      </c>
      <c r="J375" s="7">
        <v>695348.0</v>
      </c>
      <c r="K375" s="7">
        <v>31083.0</v>
      </c>
      <c r="L375" s="7">
        <v>79.44</v>
      </c>
      <c r="M375" s="7">
        <v>-0.09</v>
      </c>
      <c r="N375" s="7">
        <v>47855.0</v>
      </c>
      <c r="O375" s="7">
        <v>7359659.0</v>
      </c>
      <c r="P375" s="7" t="s">
        <v>411</v>
      </c>
      <c r="Q375" s="7">
        <v>5003.84</v>
      </c>
      <c r="R375" s="3">
        <f t="shared" si="1"/>
        <v>10000</v>
      </c>
    </row>
    <row r="376" ht="22.5" customHeight="1">
      <c r="B376" s="7" t="s">
        <v>385</v>
      </c>
      <c r="C376" s="7">
        <v>51138.0</v>
      </c>
      <c r="D376" s="7">
        <v>153348.0</v>
      </c>
      <c r="E376" s="7">
        <v>2.1630581E7</v>
      </c>
      <c r="F376" s="7">
        <v>2.1314429E7</v>
      </c>
      <c r="G376" s="7">
        <v>3.6802015E7</v>
      </c>
      <c r="H376" s="7">
        <v>2.587518646E9</v>
      </c>
      <c r="I376" s="7">
        <v>823325.0</v>
      </c>
      <c r="J376" s="7">
        <v>795410.0</v>
      </c>
      <c r="K376" s="7">
        <v>27915.0</v>
      </c>
      <c r="L376" s="7">
        <v>27.35</v>
      </c>
      <c r="M376" s="7">
        <v>-0.06</v>
      </c>
      <c r="N376" s="7">
        <v>44713.0</v>
      </c>
      <c r="O376" s="7">
        <v>9179917.0</v>
      </c>
      <c r="P376" s="7" t="s">
        <v>411</v>
      </c>
      <c r="Q376" s="7">
        <v>5003.87</v>
      </c>
      <c r="R376" s="3">
        <f t="shared" si="1"/>
        <v>10000</v>
      </c>
    </row>
    <row r="377" ht="22.5" customHeight="1">
      <c r="B377" s="7" t="s">
        <v>388</v>
      </c>
      <c r="C377" s="7">
        <v>9188.0</v>
      </c>
      <c r="D377" s="7">
        <v>81017.0</v>
      </c>
      <c r="E377" s="7">
        <v>1.1436506E7</v>
      </c>
      <c r="F377" s="7">
        <v>1.1288332E7</v>
      </c>
      <c r="G377" s="7">
        <v>2.5591074E7</v>
      </c>
      <c r="H377" s="7">
        <v>2.248824549E9</v>
      </c>
      <c r="I377" s="7">
        <v>397176.0</v>
      </c>
      <c r="J377" s="7">
        <v>381973.0</v>
      </c>
      <c r="K377" s="7">
        <v>15203.0</v>
      </c>
      <c r="L377" s="7">
        <v>31.11</v>
      </c>
      <c r="M377" s="7">
        <v>-0.07</v>
      </c>
      <c r="N377" s="7">
        <v>24405.0</v>
      </c>
      <c r="O377" s="7">
        <v>5151234.0</v>
      </c>
      <c r="P377" s="7" t="s">
        <v>411</v>
      </c>
      <c r="Q377" s="7">
        <v>5003.87</v>
      </c>
      <c r="R377" s="3">
        <f t="shared" si="1"/>
        <v>10000</v>
      </c>
    </row>
    <row r="378" ht="22.5" customHeight="1">
      <c r="B378" s="7" t="s">
        <v>389</v>
      </c>
      <c r="C378" s="7">
        <v>11244.0</v>
      </c>
      <c r="D378" s="7">
        <v>99730.0</v>
      </c>
      <c r="E378" s="7">
        <v>1.2006711E7</v>
      </c>
      <c r="F378" s="7">
        <v>1.1845961E7</v>
      </c>
      <c r="G378" s="7">
        <v>2.6662882E7</v>
      </c>
      <c r="H378" s="7">
        <v>2.330066182E9</v>
      </c>
      <c r="I378" s="7">
        <v>396087.0</v>
      </c>
      <c r="J378" s="7">
        <v>379189.0</v>
      </c>
      <c r="K378" s="7">
        <v>16898.0</v>
      </c>
      <c r="L378" s="7">
        <v>31.14</v>
      </c>
      <c r="M378" s="7">
        <v>-0.07</v>
      </c>
      <c r="N378" s="7">
        <v>26975.0</v>
      </c>
      <c r="O378" s="7">
        <v>5206123.0</v>
      </c>
      <c r="P378" s="7" t="s">
        <v>411</v>
      </c>
      <c r="Q378" s="7">
        <v>5003.87</v>
      </c>
      <c r="R378" s="3">
        <f t="shared" si="1"/>
        <v>10000</v>
      </c>
    </row>
    <row r="379" ht="22.5" customHeight="1">
      <c r="B379" s="7" t="s">
        <v>390</v>
      </c>
      <c r="C379" s="7">
        <v>2929760.0</v>
      </c>
      <c r="D379" s="7">
        <v>6277585.0</v>
      </c>
      <c r="E379" s="7">
        <v>3951666.0</v>
      </c>
      <c r="F379" s="7">
        <v>3589162.0</v>
      </c>
      <c r="G379" s="7">
        <v>3.5453123E7</v>
      </c>
      <c r="H379" s="7">
        <v>4.654899936E9</v>
      </c>
      <c r="I379" s="7">
        <v>60070.0</v>
      </c>
      <c r="J379" s="7">
        <v>50681.0</v>
      </c>
      <c r="K379" s="7">
        <v>9389.0</v>
      </c>
      <c r="L379" s="7">
        <v>625.81</v>
      </c>
      <c r="M379" s="7">
        <v>-0.06</v>
      </c>
      <c r="N379" s="7">
        <v>13308.0</v>
      </c>
      <c r="O379" s="7">
        <v>4067852.0</v>
      </c>
      <c r="P379" s="7" t="s">
        <v>411</v>
      </c>
      <c r="Q379" s="7">
        <v>5003.83</v>
      </c>
      <c r="R379" s="3">
        <f t="shared" si="1"/>
        <v>10000</v>
      </c>
    </row>
    <row r="380" ht="22.5" customHeight="1">
      <c r="B380" s="7" t="s">
        <v>391</v>
      </c>
      <c r="C380" s="7">
        <v>3222736.0</v>
      </c>
      <c r="D380" s="7">
        <v>6910393.0</v>
      </c>
      <c r="E380" s="7">
        <v>3968353.0</v>
      </c>
      <c r="F380" s="7">
        <v>3575556.0</v>
      </c>
      <c r="G380" s="7">
        <v>4.1850212E7</v>
      </c>
      <c r="H380" s="7">
        <v>5.067781976E9</v>
      </c>
      <c r="I380" s="7">
        <v>62980.0</v>
      </c>
      <c r="J380" s="7">
        <v>53360.0</v>
      </c>
      <c r="K380" s="7">
        <v>9620.0</v>
      </c>
      <c r="L380" s="7">
        <v>659.93</v>
      </c>
      <c r="M380" s="7">
        <v>-0.07</v>
      </c>
      <c r="N380" s="7">
        <v>13562.0</v>
      </c>
      <c r="O380" s="7">
        <v>4460888.0</v>
      </c>
      <c r="P380" s="7" t="s">
        <v>411</v>
      </c>
      <c r="Q380" s="7">
        <v>5004.18</v>
      </c>
      <c r="R380" s="3">
        <f t="shared" si="1"/>
        <v>10000</v>
      </c>
    </row>
    <row r="381" ht="22.5" customHeight="1">
      <c r="B381" s="7" t="s">
        <v>392</v>
      </c>
      <c r="C381" s="7">
        <v>3515712.0</v>
      </c>
      <c r="D381" s="7">
        <v>7543854.0</v>
      </c>
      <c r="E381" s="7">
        <v>3998632.0</v>
      </c>
      <c r="F381" s="7">
        <v>3584570.0</v>
      </c>
      <c r="G381" s="7">
        <v>4.6452086E7</v>
      </c>
      <c r="H381" s="7">
        <v>5.365109056E9</v>
      </c>
      <c r="I381" s="7">
        <v>63428.0</v>
      </c>
      <c r="J381" s="7">
        <v>53708.0</v>
      </c>
      <c r="K381" s="7">
        <v>9720.0</v>
      </c>
      <c r="L381" s="7">
        <v>685.45</v>
      </c>
      <c r="M381" s="7">
        <v>-0.07</v>
      </c>
      <c r="N381" s="7">
        <v>13701.0</v>
      </c>
      <c r="O381" s="7">
        <v>5123151.0</v>
      </c>
      <c r="P381" s="7" t="s">
        <v>411</v>
      </c>
      <c r="Q381" s="7">
        <v>5004.28</v>
      </c>
      <c r="R381" s="3">
        <f t="shared" si="1"/>
        <v>10000</v>
      </c>
    </row>
    <row r="382" ht="22.5" customHeight="1">
      <c r="B382" s="7" t="s">
        <v>393</v>
      </c>
      <c r="C382" s="7">
        <v>172512.0</v>
      </c>
      <c r="D382" s="7">
        <v>1477968.0</v>
      </c>
      <c r="E382" s="7">
        <v>5535769.0</v>
      </c>
      <c r="F382" s="7">
        <v>4868228.0</v>
      </c>
      <c r="G382" s="7">
        <v>5.8983183E7</v>
      </c>
      <c r="H382" s="7">
        <v>1.482382095E10</v>
      </c>
      <c r="I382" s="7">
        <v>106935.0</v>
      </c>
      <c r="J382" s="7">
        <v>97347.0</v>
      </c>
      <c r="K382" s="7">
        <v>9588.0</v>
      </c>
      <c r="L382" s="7">
        <v>656.87</v>
      </c>
      <c r="M382" s="7">
        <v>-0.08</v>
      </c>
      <c r="N382" s="7">
        <v>13722.0</v>
      </c>
      <c r="O382" s="7">
        <v>6801891.0</v>
      </c>
      <c r="P382" s="7" t="s">
        <v>411</v>
      </c>
      <c r="Q382" s="7">
        <v>5003.82</v>
      </c>
      <c r="R382" s="3">
        <f t="shared" si="1"/>
        <v>10000</v>
      </c>
    </row>
    <row r="383" ht="22.5" customHeight="1">
      <c r="B383" s="7" t="s">
        <v>394</v>
      </c>
      <c r="C383" s="7">
        <v>2430976.0</v>
      </c>
      <c r="D383" s="7">
        <v>5169846.0</v>
      </c>
      <c r="E383" s="7">
        <v>5248890.0</v>
      </c>
      <c r="F383" s="7">
        <v>4741434.0</v>
      </c>
      <c r="G383" s="7">
        <v>5.707551E7</v>
      </c>
      <c r="H383" s="7">
        <v>6.205640702E9</v>
      </c>
      <c r="I383" s="7">
        <v>106086.0</v>
      </c>
      <c r="J383" s="7">
        <v>95994.0</v>
      </c>
      <c r="K383" s="7">
        <v>10092.0</v>
      </c>
      <c r="L383" s="7">
        <v>589.86</v>
      </c>
      <c r="M383" s="7">
        <v>-0.07</v>
      </c>
      <c r="N383" s="7">
        <v>14226.0</v>
      </c>
      <c r="O383" s="7">
        <v>6645886.0</v>
      </c>
      <c r="P383" s="7" t="s">
        <v>411</v>
      </c>
      <c r="Q383" s="7">
        <v>5003.82</v>
      </c>
      <c r="R383" s="3">
        <f t="shared" si="1"/>
        <v>10000</v>
      </c>
    </row>
    <row r="384" ht="22.5" customHeight="1">
      <c r="B384" s="7" t="s">
        <v>395</v>
      </c>
      <c r="C384" s="7">
        <v>2734848.0</v>
      </c>
      <c r="D384" s="7">
        <v>5821656.0</v>
      </c>
      <c r="E384" s="7">
        <v>4027731.0</v>
      </c>
      <c r="F384" s="7">
        <v>3615687.0</v>
      </c>
      <c r="G384" s="7">
        <v>4.7129669E7</v>
      </c>
      <c r="H384" s="7">
        <v>4.923064036E9</v>
      </c>
      <c r="I384" s="7">
        <v>65708.0</v>
      </c>
      <c r="J384" s="7">
        <v>55615.0</v>
      </c>
      <c r="K384" s="7">
        <v>10093.0</v>
      </c>
      <c r="L384" s="7">
        <v>673.35</v>
      </c>
      <c r="M384" s="7">
        <v>-0.07</v>
      </c>
      <c r="N384" s="7">
        <v>14112.0</v>
      </c>
      <c r="O384" s="7">
        <v>4862056.0</v>
      </c>
      <c r="P384" s="7" t="s">
        <v>411</v>
      </c>
      <c r="Q384" s="7">
        <v>5004.18</v>
      </c>
      <c r="R384" s="3">
        <f t="shared" si="1"/>
        <v>10000</v>
      </c>
    </row>
    <row r="385" ht="22.5" customHeight="1">
      <c r="B385" s="7" t="s">
        <v>396</v>
      </c>
      <c r="C385" s="7">
        <v>3646464.0</v>
      </c>
      <c r="D385" s="7">
        <v>7777501.0</v>
      </c>
      <c r="E385" s="7">
        <v>5425472.0</v>
      </c>
      <c r="F385" s="7">
        <v>4779857.0</v>
      </c>
      <c r="G385" s="7">
        <v>9.0192881E7</v>
      </c>
      <c r="H385" s="7">
        <v>6.508073848E9</v>
      </c>
      <c r="I385" s="7">
        <v>114218.0</v>
      </c>
      <c r="J385" s="7">
        <v>104267.0</v>
      </c>
      <c r="K385" s="7">
        <v>9951.0</v>
      </c>
      <c r="L385" s="7">
        <v>548.25</v>
      </c>
      <c r="M385" s="7">
        <v>-0.09</v>
      </c>
      <c r="N385" s="7">
        <v>14067.0</v>
      </c>
      <c r="O385" s="7">
        <v>1.158642E7</v>
      </c>
      <c r="P385" s="7" t="s">
        <v>411</v>
      </c>
      <c r="Q385" s="7">
        <v>5003.84</v>
      </c>
      <c r="R385" s="3">
        <f t="shared" si="1"/>
        <v>10000</v>
      </c>
    </row>
    <row r="386" ht="22.5" customHeight="1">
      <c r="B386" s="7" t="s">
        <v>397</v>
      </c>
      <c r="C386" s="7">
        <v>3651.0</v>
      </c>
      <c r="D386" s="7">
        <v>926696.0</v>
      </c>
      <c r="E386" s="7">
        <v>1.7391438E7</v>
      </c>
      <c r="F386" s="7">
        <v>1.709776E7</v>
      </c>
      <c r="G386" s="7">
        <v>2.0917453E7</v>
      </c>
      <c r="H386" s="7">
        <v>2.195281687E9</v>
      </c>
      <c r="I386" s="7">
        <v>349155.0</v>
      </c>
      <c r="J386" s="7">
        <v>312859.0</v>
      </c>
      <c r="K386" s="7">
        <v>36296.0</v>
      </c>
      <c r="L386" s="7">
        <v>211.45</v>
      </c>
      <c r="M386" s="7">
        <v>-0.02</v>
      </c>
      <c r="N386" s="7">
        <v>52987.0</v>
      </c>
      <c r="O386" s="7">
        <v>6290808.0</v>
      </c>
      <c r="P386" s="7" t="s">
        <v>411</v>
      </c>
      <c r="Q386" s="7">
        <v>5003.74</v>
      </c>
      <c r="R386" s="3">
        <f t="shared" si="1"/>
        <v>10000</v>
      </c>
    </row>
    <row r="387" ht="22.5" customHeight="1">
      <c r="B387" s="7" t="s">
        <v>245</v>
      </c>
      <c r="C387" s="7">
        <v>400.0</v>
      </c>
      <c r="D387" s="7">
        <v>30664.0</v>
      </c>
      <c r="E387" s="7">
        <v>2.1534485E7</v>
      </c>
      <c r="F387" s="7">
        <v>2.0954879E7</v>
      </c>
      <c r="G387" s="7">
        <v>2.723361E7</v>
      </c>
      <c r="H387" s="7">
        <v>5.67522735E8</v>
      </c>
      <c r="I387" s="7">
        <v>518910.0</v>
      </c>
      <c r="J387" s="7">
        <v>486308.0</v>
      </c>
      <c r="K387" s="7">
        <v>32602.0</v>
      </c>
      <c r="L387" s="7">
        <v>77.96</v>
      </c>
      <c r="M387" s="7">
        <v>-0.04</v>
      </c>
      <c r="N387" s="7">
        <v>49319.0</v>
      </c>
      <c r="O387" s="7">
        <v>1.0468376E7</v>
      </c>
      <c r="P387" s="7" t="s">
        <v>411</v>
      </c>
      <c r="Q387" s="7">
        <v>5003.9</v>
      </c>
      <c r="R387" s="3">
        <f t="shared" si="1"/>
        <v>10000</v>
      </c>
    </row>
    <row r="388" ht="22.5" customHeight="1">
      <c r="B388" s="7" t="s">
        <v>398</v>
      </c>
      <c r="C388" s="7">
        <v>13431.0</v>
      </c>
      <c r="D388" s="7">
        <v>335655.0</v>
      </c>
      <c r="E388" s="7">
        <v>1.1169419E7</v>
      </c>
      <c r="F388" s="7">
        <v>1.0861804E7</v>
      </c>
      <c r="G388" s="7">
        <v>3.3788833E7</v>
      </c>
      <c r="H388" s="7">
        <v>4.33949254E9</v>
      </c>
      <c r="I388" s="7">
        <v>430184.0</v>
      </c>
      <c r="J388" s="7">
        <v>414401.0</v>
      </c>
      <c r="K388" s="7">
        <v>15783.0</v>
      </c>
      <c r="L388" s="7">
        <v>57.33</v>
      </c>
      <c r="M388" s="7">
        <v>-0.08</v>
      </c>
      <c r="N388" s="7">
        <v>24553.0</v>
      </c>
      <c r="O388" s="7">
        <v>4806653.0</v>
      </c>
      <c r="P388" s="7" t="s">
        <v>411</v>
      </c>
      <c r="Q388" s="7">
        <v>5003.88</v>
      </c>
      <c r="R388" s="3">
        <f t="shared" si="1"/>
        <v>10000</v>
      </c>
    </row>
    <row r="389" ht="22.5" customHeight="1">
      <c r="B389" s="7" t="s">
        <v>254</v>
      </c>
      <c r="C389" s="7">
        <v>3906.0</v>
      </c>
      <c r="D389" s="7">
        <v>1.3611728E7</v>
      </c>
      <c r="E389" s="7">
        <v>2.0301776E7</v>
      </c>
      <c r="F389" s="7">
        <v>2.003819E7</v>
      </c>
      <c r="G389" s="7">
        <v>2.91658197E8</v>
      </c>
      <c r="H389" s="7">
        <v>6.34328957E8</v>
      </c>
      <c r="I389" s="7">
        <v>375289.0</v>
      </c>
      <c r="J389" s="7">
        <v>316504.0</v>
      </c>
      <c r="K389" s="7">
        <v>58785.0</v>
      </c>
      <c r="L389" s="7">
        <v>62.73</v>
      </c>
      <c r="M389" s="7">
        <v>-0.02</v>
      </c>
      <c r="N389" s="7">
        <v>75106.0</v>
      </c>
      <c r="O389" s="7">
        <v>1.27232418E8</v>
      </c>
      <c r="P389" s="7" t="s">
        <v>411</v>
      </c>
      <c r="Q389" s="7">
        <v>5003.81</v>
      </c>
      <c r="R389" s="3">
        <f t="shared" si="1"/>
        <v>10000</v>
      </c>
    </row>
    <row r="390" ht="22.5" customHeight="1">
      <c r="B390" s="7" t="s">
        <v>399</v>
      </c>
      <c r="C390" s="7">
        <v>314295.0</v>
      </c>
      <c r="D390" s="7">
        <v>1258522.0</v>
      </c>
      <c r="E390" s="7">
        <v>6920383.0</v>
      </c>
      <c r="F390" s="7">
        <v>6715394.0</v>
      </c>
      <c r="G390" s="7">
        <v>2.538372E7</v>
      </c>
      <c r="H390" s="7">
        <v>1.1641962967E10</v>
      </c>
      <c r="I390" s="7">
        <v>370790.0</v>
      </c>
      <c r="J390" s="7">
        <v>363400.0</v>
      </c>
      <c r="K390" s="7">
        <v>7390.0</v>
      </c>
      <c r="L390" s="7">
        <v>56.83</v>
      </c>
      <c r="M390" s="7">
        <v>-0.16</v>
      </c>
      <c r="N390" s="7">
        <v>11589.0</v>
      </c>
      <c r="O390" s="7">
        <v>5326960.0</v>
      </c>
      <c r="P390" s="7" t="s">
        <v>411</v>
      </c>
      <c r="Q390" s="7">
        <v>5003.82</v>
      </c>
      <c r="R390" s="3">
        <f t="shared" si="1"/>
        <v>10000</v>
      </c>
    </row>
    <row r="391" ht="22.5" customHeight="1">
      <c r="B391" s="7" t="s">
        <v>400</v>
      </c>
      <c r="C391" s="7">
        <v>302576.0</v>
      </c>
      <c r="D391" s="7">
        <v>1702428.0</v>
      </c>
      <c r="E391" s="7">
        <v>2.0888415E7</v>
      </c>
      <c r="F391" s="7">
        <v>2.0301115E7</v>
      </c>
      <c r="G391" s="7">
        <v>1.302041634E9</v>
      </c>
      <c r="H391" s="7">
        <v>1.4568413965E10</v>
      </c>
      <c r="I391" s="7">
        <v>443894.0</v>
      </c>
      <c r="J391" s="7">
        <v>413467.0</v>
      </c>
      <c r="K391" s="7">
        <v>30427.0</v>
      </c>
      <c r="L391" s="7">
        <v>106.1</v>
      </c>
      <c r="M391" s="7">
        <v>-0.09</v>
      </c>
      <c r="N391" s="7">
        <v>47178.0</v>
      </c>
      <c r="O391" s="7">
        <v>1.69538663E8</v>
      </c>
      <c r="P391" s="7" t="s">
        <v>411</v>
      </c>
      <c r="Q391" s="7">
        <v>5003.83</v>
      </c>
      <c r="R391" s="3">
        <f t="shared" si="1"/>
        <v>10000</v>
      </c>
    </row>
    <row r="392" ht="22.5" customHeight="1">
      <c r="B392" s="7" t="s">
        <v>401</v>
      </c>
      <c r="C392" s="7">
        <v>269416.0</v>
      </c>
      <c r="D392" s="7">
        <v>1214079.0</v>
      </c>
      <c r="E392" s="7">
        <v>2.2625912E7</v>
      </c>
      <c r="F392" s="7">
        <v>2.219963E7</v>
      </c>
      <c r="G392" s="7">
        <v>4.4101095E7</v>
      </c>
      <c r="H392" s="7">
        <v>6.31169415E9</v>
      </c>
      <c r="I392" s="7">
        <v>791744.0</v>
      </c>
      <c r="J392" s="7">
        <v>760818.0</v>
      </c>
      <c r="K392" s="7">
        <v>30926.0</v>
      </c>
      <c r="L392" s="7">
        <v>50.07</v>
      </c>
      <c r="M392" s="7">
        <v>-0.06</v>
      </c>
      <c r="N392" s="7">
        <v>47687.0</v>
      </c>
      <c r="O392" s="7">
        <v>1.0083252E7</v>
      </c>
      <c r="P392" s="7" t="s">
        <v>411</v>
      </c>
      <c r="Q392" s="7">
        <v>5003.87</v>
      </c>
      <c r="R392" s="3">
        <f t="shared" si="1"/>
        <v>10000</v>
      </c>
    </row>
    <row r="393" ht="22.5" customHeight="1">
      <c r="B393" s="7" t="s">
        <v>62</v>
      </c>
      <c r="C393" s="7">
        <v>1085.0</v>
      </c>
      <c r="D393" s="7">
        <v>25464.0</v>
      </c>
      <c r="E393" s="7">
        <v>9040672.0</v>
      </c>
      <c r="F393" s="7">
        <v>8972264.0</v>
      </c>
      <c r="G393" s="7">
        <v>1.7612241E7</v>
      </c>
      <c r="H393" s="7">
        <v>1.292159307E9</v>
      </c>
      <c r="I393" s="7">
        <v>522045.0</v>
      </c>
      <c r="J393" s="7">
        <v>512112.0</v>
      </c>
      <c r="K393" s="7">
        <v>9933.0</v>
      </c>
      <c r="L393" s="7">
        <v>29.84</v>
      </c>
      <c r="M393" s="7">
        <v>-0.07</v>
      </c>
      <c r="N393" s="7">
        <v>15443.0</v>
      </c>
      <c r="O393" s="7">
        <v>4246680.0</v>
      </c>
      <c r="P393" s="7" t="s">
        <v>411</v>
      </c>
      <c r="Q393" s="7">
        <v>5003.93</v>
      </c>
      <c r="R393" s="3">
        <f t="shared" si="1"/>
        <v>10000</v>
      </c>
    </row>
    <row r="394" ht="22.5" customHeight="1">
      <c r="B394" s="7" t="s">
        <v>402</v>
      </c>
      <c r="C394" s="7">
        <v>1110.0</v>
      </c>
      <c r="D394" s="7">
        <v>27596.0</v>
      </c>
      <c r="E394" s="7">
        <v>1.1165702E7</v>
      </c>
      <c r="F394" s="7">
        <v>1.1087352E7</v>
      </c>
      <c r="G394" s="7">
        <v>2.0515198E7</v>
      </c>
      <c r="H394" s="7">
        <v>1.463795079E9</v>
      </c>
      <c r="I394" s="7">
        <v>509542.0</v>
      </c>
      <c r="J394" s="7">
        <v>492675.0</v>
      </c>
      <c r="K394" s="7">
        <v>16867.0</v>
      </c>
      <c r="L394" s="7">
        <v>33.0</v>
      </c>
      <c r="M394" s="7">
        <v>-0.06</v>
      </c>
      <c r="N394" s="7">
        <v>25638.0</v>
      </c>
      <c r="O394" s="7">
        <v>4314656.0</v>
      </c>
      <c r="P394" s="7" t="s">
        <v>411</v>
      </c>
      <c r="Q394" s="7">
        <v>5003.88</v>
      </c>
      <c r="R394" s="3">
        <f t="shared" si="1"/>
        <v>10000</v>
      </c>
    </row>
    <row r="395" ht="22.5" customHeight="1">
      <c r="B395" s="7" t="s">
        <v>403</v>
      </c>
      <c r="C395" s="7">
        <v>2240.0</v>
      </c>
      <c r="D395" s="7">
        <v>8960.0</v>
      </c>
      <c r="E395" s="7">
        <v>1.02089217E8</v>
      </c>
      <c r="F395" s="7">
        <v>1.0204963E8</v>
      </c>
      <c r="G395" s="7">
        <v>6.72056178E8</v>
      </c>
      <c r="H395" s="7">
        <v>1.503390252E9</v>
      </c>
      <c r="I395" s="7">
        <v>4399682.0</v>
      </c>
      <c r="J395" s="7">
        <v>4242680.0</v>
      </c>
      <c r="K395" s="7">
        <v>157002.0</v>
      </c>
      <c r="L395" s="7">
        <v>21.21</v>
      </c>
      <c r="M395" s="7">
        <v>-0.04</v>
      </c>
      <c r="N395" s="7">
        <v>224019.0</v>
      </c>
      <c r="O395" s="7">
        <v>1.25745154E8</v>
      </c>
      <c r="P395" s="7" t="s">
        <v>411</v>
      </c>
      <c r="Q395" s="7">
        <v>5003.89</v>
      </c>
      <c r="R395" s="3">
        <f t="shared" si="1"/>
        <v>10000</v>
      </c>
    </row>
    <row r="396" ht="22.5" customHeight="1">
      <c r="B396" s="7" t="s">
        <v>34</v>
      </c>
      <c r="C396" s="7">
        <v>17349.0</v>
      </c>
      <c r="D396" s="7">
        <v>51071.0</v>
      </c>
      <c r="E396" s="7">
        <v>2.2326279E7</v>
      </c>
      <c r="F396" s="7">
        <v>2.2146995E7</v>
      </c>
      <c r="G396" s="7">
        <v>5.355535E7</v>
      </c>
      <c r="H396" s="7">
        <v>3.796115881E9</v>
      </c>
      <c r="I396" s="7">
        <v>880864.0</v>
      </c>
      <c r="J396" s="7">
        <v>851774.0</v>
      </c>
      <c r="K396" s="7">
        <v>29090.0</v>
      </c>
      <c r="L396" s="7">
        <v>43.74</v>
      </c>
      <c r="M396" s="7">
        <v>-0.06</v>
      </c>
      <c r="N396" s="7">
        <v>45914.0</v>
      </c>
      <c r="O396" s="7">
        <v>1.0713661E7</v>
      </c>
      <c r="P396" s="7" t="s">
        <v>411</v>
      </c>
      <c r="Q396" s="7">
        <v>5003.89</v>
      </c>
      <c r="R396" s="3">
        <f t="shared" si="1"/>
        <v>10000</v>
      </c>
    </row>
    <row r="397" ht="22.5" customHeight="1">
      <c r="B397" s="7" t="s">
        <v>404</v>
      </c>
      <c r="C397" s="7">
        <v>730.0</v>
      </c>
      <c r="D397" s="7">
        <v>43124.0</v>
      </c>
      <c r="E397" s="7">
        <v>1.03411253E8</v>
      </c>
      <c r="F397" s="7">
        <v>7.9390841E7</v>
      </c>
      <c r="G397" s="7">
        <v>3.23014722E8</v>
      </c>
      <c r="H397" s="7">
        <v>2.840135356E9</v>
      </c>
      <c r="I397" s="7">
        <v>1084960.0</v>
      </c>
      <c r="J397" s="7">
        <v>960368.0</v>
      </c>
      <c r="K397" s="7">
        <v>124592.0</v>
      </c>
      <c r="L397" s="7">
        <v>50.61</v>
      </c>
      <c r="M397" s="7">
        <v>-0.05</v>
      </c>
      <c r="N397" s="7">
        <v>191594.0</v>
      </c>
      <c r="O397" s="7">
        <v>1.96221774E8</v>
      </c>
      <c r="P397" s="7" t="s">
        <v>411</v>
      </c>
      <c r="Q397" s="7">
        <v>5003.86</v>
      </c>
      <c r="R397" s="3">
        <f t="shared" si="1"/>
        <v>10000</v>
      </c>
    </row>
    <row r="398" ht="22.5" customHeight="1">
      <c r="B398" s="7" t="s">
        <v>243</v>
      </c>
      <c r="C398" s="7">
        <v>961.0</v>
      </c>
      <c r="D398" s="7">
        <v>146909.0</v>
      </c>
      <c r="E398" s="7">
        <v>1.4535556E7</v>
      </c>
      <c r="F398" s="7">
        <v>1.4081656E7</v>
      </c>
      <c r="G398" s="7">
        <v>2.7451604E7</v>
      </c>
      <c r="H398" s="7">
        <v>1.78351869E9</v>
      </c>
      <c r="I398" s="7">
        <v>327179.0</v>
      </c>
      <c r="J398" s="7">
        <v>296431.0</v>
      </c>
      <c r="K398" s="7">
        <v>30748.0</v>
      </c>
      <c r="L398" s="7">
        <v>55.8</v>
      </c>
      <c r="M398" s="7">
        <v>-0.05</v>
      </c>
      <c r="N398" s="7">
        <v>44575.0</v>
      </c>
      <c r="O398" s="7">
        <v>8048448.0</v>
      </c>
      <c r="P398" s="7" t="s">
        <v>411</v>
      </c>
      <c r="Q398" s="7">
        <v>5003.92</v>
      </c>
      <c r="R398" s="3">
        <f t="shared" si="1"/>
        <v>10000</v>
      </c>
    </row>
    <row r="399" ht="22.5" customHeight="1">
      <c r="B399" s="7" t="s">
        <v>405</v>
      </c>
      <c r="C399" s="7">
        <v>1156.0</v>
      </c>
      <c r="D399" s="7">
        <v>194072.0</v>
      </c>
      <c r="E399" s="7">
        <v>1.9081871E7</v>
      </c>
      <c r="F399" s="7">
        <v>1.8421716E7</v>
      </c>
      <c r="G399" s="7">
        <v>4.0231199E7</v>
      </c>
      <c r="H399" s="7">
        <v>2.549088675E9</v>
      </c>
      <c r="I399" s="7">
        <v>462193.0</v>
      </c>
      <c r="J399" s="7">
        <v>424592.0</v>
      </c>
      <c r="K399" s="7">
        <v>37601.0</v>
      </c>
      <c r="L399" s="7">
        <v>59.91</v>
      </c>
      <c r="M399" s="7">
        <v>-0.05</v>
      </c>
      <c r="N399" s="7">
        <v>54240.0</v>
      </c>
      <c r="O399" s="7">
        <v>1.2966257E7</v>
      </c>
      <c r="P399" s="7" t="s">
        <v>411</v>
      </c>
      <c r="Q399" s="7">
        <v>5003.9</v>
      </c>
      <c r="R399" s="3">
        <f t="shared" si="1"/>
        <v>10000</v>
      </c>
    </row>
    <row r="400" ht="22.5" customHeight="1">
      <c r="B400" s="7" t="s">
        <v>406</v>
      </c>
      <c r="C400" s="7">
        <v>1296.0</v>
      </c>
      <c r="D400" s="7">
        <v>230544.0</v>
      </c>
      <c r="E400" s="7">
        <v>2.0473096E7</v>
      </c>
      <c r="F400" s="7">
        <v>1.9713404E7</v>
      </c>
      <c r="G400" s="7">
        <v>4.667894E7</v>
      </c>
      <c r="H400" s="7">
        <v>2.8289114E9</v>
      </c>
      <c r="I400" s="7">
        <v>527785.0</v>
      </c>
      <c r="J400" s="7">
        <v>490225.0</v>
      </c>
      <c r="K400" s="7">
        <v>37560.0</v>
      </c>
      <c r="L400" s="7">
        <v>64.74</v>
      </c>
      <c r="M400" s="7">
        <v>-0.06</v>
      </c>
      <c r="N400" s="7">
        <v>54204.0</v>
      </c>
      <c r="O400" s="7">
        <v>1.5882031E7</v>
      </c>
      <c r="P400" s="7" t="s">
        <v>411</v>
      </c>
      <c r="Q400" s="7">
        <v>5003.87</v>
      </c>
      <c r="R400" s="3">
        <f t="shared" si="1"/>
        <v>10000</v>
      </c>
    </row>
    <row r="401" ht="22.5" customHeight="1">
      <c r="B401" s="7" t="s">
        <v>407</v>
      </c>
      <c r="C401" s="7">
        <v>382.0</v>
      </c>
      <c r="D401" s="7">
        <v>1018.0</v>
      </c>
      <c r="E401" s="7">
        <v>8.6408417E7</v>
      </c>
      <c r="F401" s="7">
        <v>8.6391435E7</v>
      </c>
      <c r="G401" s="7">
        <v>1.49821546E8</v>
      </c>
      <c r="H401" s="7">
        <v>7.82821711E8</v>
      </c>
      <c r="I401" s="7">
        <v>2516109.0</v>
      </c>
      <c r="J401" s="7">
        <v>2387826.0</v>
      </c>
      <c r="K401" s="7">
        <v>128283.0</v>
      </c>
      <c r="L401" s="7">
        <v>37.29</v>
      </c>
      <c r="M401" s="7">
        <v>-0.04</v>
      </c>
      <c r="N401" s="7">
        <v>195529.0</v>
      </c>
      <c r="O401" s="7">
        <v>4.9014681E7</v>
      </c>
      <c r="P401" s="7" t="s">
        <v>411</v>
      </c>
      <c r="Q401" s="7">
        <v>5003.88</v>
      </c>
      <c r="R401" s="3">
        <f t="shared" si="1"/>
        <v>10000</v>
      </c>
    </row>
    <row r="403">
      <c r="P403" s="4" t="s">
        <v>408</v>
      </c>
      <c r="Q403" s="4" t="s">
        <v>4</v>
      </c>
    </row>
    <row r="404">
      <c r="P404" s="5">
        <f t="shared" ref="P404:Q404" si="2">SUM(Q2:Q401)/400</f>
        <v>2535.318625</v>
      </c>
      <c r="Q404" s="5">
        <f t="shared" si="2"/>
        <v>4399.672825</v>
      </c>
    </row>
    <row r="405">
      <c r="N405" s="4" t="s">
        <v>409</v>
      </c>
      <c r="O405" s="5">
        <f>COUNTIF(P2:P401,"=SAT")</f>
        <v>156</v>
      </c>
    </row>
    <row r="406">
      <c r="N406" s="4" t="s">
        <v>410</v>
      </c>
      <c r="O406" s="5">
        <f>COUNTIF(P2:P401,"=UNSAT")</f>
        <v>95</v>
      </c>
    </row>
    <row r="407">
      <c r="N407" s="4" t="s">
        <v>411</v>
      </c>
      <c r="O407" s="5">
        <f>COUNTIF(P2:P401,"=IND")</f>
        <v>149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8" max="8" width="8.13"/>
    <col customWidth="1" min="9" max="9" width="7.75"/>
    <col customWidth="1" min="10" max="10" width="6.63"/>
    <col customWidth="1" min="11" max="11" width="10.63"/>
    <col customWidth="1" min="12" max="12" width="10.5"/>
    <col customWidth="1" min="13" max="13" width="11.13"/>
    <col customWidth="1" min="14" max="14" width="10.5"/>
    <col customWidth="1" min="15" max="15" width="9.75"/>
    <col customWidth="1" min="16" max="16" width="10.63"/>
    <col customWidth="1" min="17" max="17" width="12.13"/>
  </cols>
  <sheetData>
    <row r="1" ht="22.5" customHeight="1">
      <c r="A1" s="1" t="s">
        <v>0</v>
      </c>
      <c r="B1" s="2" t="s">
        <v>1</v>
      </c>
      <c r="C1" s="6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419</v>
      </c>
      <c r="K1" s="2" t="s">
        <v>420</v>
      </c>
      <c r="L1" s="2" t="s">
        <v>421</v>
      </c>
      <c r="M1" s="2" t="s">
        <v>422</v>
      </c>
      <c r="N1" s="2" t="s">
        <v>423</v>
      </c>
      <c r="O1" s="2" t="s">
        <v>424</v>
      </c>
      <c r="P1" s="2" t="s">
        <v>2</v>
      </c>
      <c r="Q1" s="2" t="s">
        <v>3</v>
      </c>
      <c r="R1" s="1" t="s">
        <v>4</v>
      </c>
    </row>
    <row r="2" ht="22.5" customHeight="1">
      <c r="B2" s="7" t="s">
        <v>255</v>
      </c>
      <c r="C2" s="7">
        <v>13408.0</v>
      </c>
      <c r="D2" s="7">
        <v>309430.0</v>
      </c>
      <c r="E2" s="7">
        <v>3826183.0</v>
      </c>
      <c r="F2" s="7">
        <v>3737931.0</v>
      </c>
      <c r="G2" s="7">
        <v>6.0336747E7</v>
      </c>
      <c r="H2" s="7">
        <v>6.80874359E8</v>
      </c>
      <c r="I2" s="7">
        <v>138810.0</v>
      </c>
      <c r="J2" s="7">
        <v>132205.0</v>
      </c>
      <c r="K2" s="7">
        <v>6605.0</v>
      </c>
      <c r="L2" s="7">
        <v>65.6</v>
      </c>
      <c r="M2" s="7">
        <v>-0.17</v>
      </c>
      <c r="N2" s="7">
        <v>10392.0</v>
      </c>
      <c r="O2" s="7">
        <v>1.0082832E7</v>
      </c>
      <c r="P2" s="7" t="s">
        <v>409</v>
      </c>
      <c r="Q2" s="7">
        <v>1084.82</v>
      </c>
      <c r="R2" s="3">
        <f t="shared" ref="R2:R401" si="1">IF(P2="IND", 10000, Q2)</f>
        <v>1084.82</v>
      </c>
    </row>
    <row r="3" ht="22.5" customHeight="1">
      <c r="B3" s="7" t="s">
        <v>20</v>
      </c>
      <c r="C3" s="7">
        <v>13408.0</v>
      </c>
      <c r="D3" s="7">
        <v>309437.0</v>
      </c>
      <c r="E3" s="7">
        <v>3365099.0</v>
      </c>
      <c r="F3" s="7">
        <v>3282073.0</v>
      </c>
      <c r="G3" s="7">
        <v>5.2568372E7</v>
      </c>
      <c r="H3" s="7">
        <v>5.93161707E8</v>
      </c>
      <c r="I3" s="7">
        <v>115076.0</v>
      </c>
      <c r="J3" s="7">
        <v>109282.0</v>
      </c>
      <c r="K3" s="7">
        <v>5794.0</v>
      </c>
      <c r="L3" s="7">
        <v>70.76</v>
      </c>
      <c r="M3" s="7">
        <v>-0.18</v>
      </c>
      <c r="N3" s="7">
        <v>8869.0</v>
      </c>
      <c r="O3" s="7">
        <v>1.0175425E7</v>
      </c>
      <c r="P3" s="7" t="s">
        <v>409</v>
      </c>
      <c r="Q3" s="7">
        <v>887.37</v>
      </c>
      <c r="R3" s="3">
        <f t="shared" si="1"/>
        <v>887.37</v>
      </c>
    </row>
    <row r="4" ht="22.5" customHeight="1">
      <c r="B4" s="7" t="s">
        <v>262</v>
      </c>
      <c r="C4" s="7">
        <v>4128.0</v>
      </c>
      <c r="D4" s="7">
        <v>72562.0</v>
      </c>
      <c r="E4" s="7">
        <v>8393189.0</v>
      </c>
      <c r="F4" s="7">
        <v>8117957.0</v>
      </c>
      <c r="G4" s="7">
        <v>1.29053042E8</v>
      </c>
      <c r="H4" s="7">
        <v>1.173744007E9</v>
      </c>
      <c r="I4" s="7">
        <v>427763.0</v>
      </c>
      <c r="J4" s="7">
        <v>418330.0</v>
      </c>
      <c r="K4" s="7">
        <v>9433.0</v>
      </c>
      <c r="L4" s="7">
        <v>67.25</v>
      </c>
      <c r="M4" s="7">
        <v>-0.22</v>
      </c>
      <c r="N4" s="7">
        <v>13934.0</v>
      </c>
      <c r="O4" s="7">
        <v>1.8199426E7</v>
      </c>
      <c r="P4" s="7" t="s">
        <v>411</v>
      </c>
      <c r="Q4" s="7">
        <v>3595.71</v>
      </c>
      <c r="R4" s="3">
        <f t="shared" si="1"/>
        <v>10000</v>
      </c>
    </row>
    <row r="5" ht="22.5" customHeight="1">
      <c r="B5" s="7" t="s">
        <v>264</v>
      </c>
      <c r="C5" s="7">
        <v>4288.0</v>
      </c>
      <c r="D5" s="7">
        <v>76700.0</v>
      </c>
      <c r="E5" s="7">
        <v>8220621.0</v>
      </c>
      <c r="F5" s="7">
        <v>7943061.0</v>
      </c>
      <c r="G5" s="7">
        <v>1.48322873E8</v>
      </c>
      <c r="H5" s="7">
        <v>1.205814353E9</v>
      </c>
      <c r="I5" s="7">
        <v>425291.0</v>
      </c>
      <c r="J5" s="7">
        <v>416432.0</v>
      </c>
      <c r="K5" s="7">
        <v>8859.0</v>
      </c>
      <c r="L5" s="7">
        <v>66.38</v>
      </c>
      <c r="M5" s="7">
        <v>-0.23</v>
      </c>
      <c r="N5" s="7">
        <v>13095.0</v>
      </c>
      <c r="O5" s="7">
        <v>2.2169894E7</v>
      </c>
      <c r="P5" s="7" t="s">
        <v>411</v>
      </c>
      <c r="Q5" s="7">
        <v>3567.58</v>
      </c>
      <c r="R5" s="3">
        <f t="shared" si="1"/>
        <v>10000</v>
      </c>
    </row>
    <row r="6" ht="22.5" customHeight="1">
      <c r="B6" s="7" t="s">
        <v>265</v>
      </c>
      <c r="C6" s="7">
        <v>4128.0</v>
      </c>
      <c r="D6" s="7">
        <v>72564.0</v>
      </c>
      <c r="E6" s="7">
        <v>8172750.0</v>
      </c>
      <c r="F6" s="7">
        <v>7899584.0</v>
      </c>
      <c r="G6" s="7">
        <v>1.2800438E8</v>
      </c>
      <c r="H6" s="7">
        <v>1.142989286E9</v>
      </c>
      <c r="I6" s="7">
        <v>424089.0</v>
      </c>
      <c r="J6" s="7">
        <v>415330.0</v>
      </c>
      <c r="K6" s="7">
        <v>8759.0</v>
      </c>
      <c r="L6" s="7">
        <v>64.78</v>
      </c>
      <c r="M6" s="7">
        <v>-0.22</v>
      </c>
      <c r="N6" s="7">
        <v>12950.0</v>
      </c>
      <c r="O6" s="7">
        <v>1.8222626E7</v>
      </c>
      <c r="P6" s="7" t="s">
        <v>411</v>
      </c>
      <c r="Q6" s="7">
        <v>3625.17</v>
      </c>
      <c r="R6" s="3">
        <f t="shared" si="1"/>
        <v>10000</v>
      </c>
    </row>
    <row r="7" ht="22.5" customHeight="1">
      <c r="B7" s="7" t="s">
        <v>183</v>
      </c>
      <c r="C7" s="7">
        <v>13408.0</v>
      </c>
      <c r="D7" s="7">
        <v>309439.0</v>
      </c>
      <c r="E7" s="7">
        <v>2958361.0</v>
      </c>
      <c r="F7" s="7">
        <v>2881416.0</v>
      </c>
      <c r="G7" s="7">
        <v>4.8291444E7</v>
      </c>
      <c r="H7" s="7">
        <v>6.83891791E8</v>
      </c>
      <c r="I7" s="7">
        <v>109971.0</v>
      </c>
      <c r="J7" s="7">
        <v>105355.0</v>
      </c>
      <c r="K7" s="7">
        <v>4616.0</v>
      </c>
      <c r="L7" s="7">
        <v>81.74</v>
      </c>
      <c r="M7" s="7">
        <v>-0.19</v>
      </c>
      <c r="N7" s="7">
        <v>7066.0</v>
      </c>
      <c r="O7" s="7">
        <v>9394954.0</v>
      </c>
      <c r="P7" s="7" t="s">
        <v>409</v>
      </c>
      <c r="Q7" s="7">
        <v>843.12</v>
      </c>
      <c r="R7" s="3">
        <f t="shared" si="1"/>
        <v>843.12</v>
      </c>
    </row>
    <row r="8" ht="22.5" customHeight="1">
      <c r="B8" s="7" t="s">
        <v>266</v>
      </c>
      <c r="C8" s="7">
        <v>4128.0</v>
      </c>
      <c r="D8" s="7">
        <v>72571.0</v>
      </c>
      <c r="E8" s="7">
        <v>3645209.0</v>
      </c>
      <c r="F8" s="7">
        <v>3555866.0</v>
      </c>
      <c r="G8" s="7">
        <v>4.7724674E7</v>
      </c>
      <c r="H8" s="7">
        <v>4.98932769E8</v>
      </c>
      <c r="I8" s="7">
        <v>151000.0</v>
      </c>
      <c r="J8" s="7">
        <v>143430.0</v>
      </c>
      <c r="K8" s="7">
        <v>7570.0</v>
      </c>
      <c r="L8" s="7">
        <v>95.31</v>
      </c>
      <c r="M8" s="7">
        <v>-0.16</v>
      </c>
      <c r="N8" s="7">
        <v>11069.0</v>
      </c>
      <c r="O8" s="7">
        <v>5075386.0</v>
      </c>
      <c r="P8" s="7" t="s">
        <v>409</v>
      </c>
      <c r="Q8" s="7">
        <v>560.23</v>
      </c>
      <c r="R8" s="3">
        <f t="shared" si="1"/>
        <v>560.23</v>
      </c>
    </row>
    <row r="9" ht="22.5" customHeight="1">
      <c r="B9" s="7" t="s">
        <v>267</v>
      </c>
      <c r="C9" s="7">
        <v>4288.0</v>
      </c>
      <c r="D9" s="7">
        <v>76698.0</v>
      </c>
      <c r="E9" s="7">
        <v>1.8502956E7</v>
      </c>
      <c r="F9" s="7">
        <v>1.8020793E7</v>
      </c>
      <c r="G9" s="7">
        <v>2.17268641E8</v>
      </c>
      <c r="H9" s="7">
        <v>2.472136695E9</v>
      </c>
      <c r="I9" s="7">
        <v>591965.0</v>
      </c>
      <c r="J9" s="7">
        <v>556706.0</v>
      </c>
      <c r="K9" s="7">
        <v>35259.0</v>
      </c>
      <c r="L9" s="7">
        <v>100.52</v>
      </c>
      <c r="M9" s="7">
        <v>-0.16</v>
      </c>
      <c r="N9" s="7">
        <v>52011.0</v>
      </c>
      <c r="O9" s="7">
        <v>3.0740466E7</v>
      </c>
      <c r="P9" s="7" t="s">
        <v>411</v>
      </c>
      <c r="Q9" s="7">
        <v>5003.79</v>
      </c>
      <c r="R9" s="3">
        <f t="shared" si="1"/>
        <v>10000</v>
      </c>
    </row>
    <row r="10" ht="22.5" customHeight="1">
      <c r="B10" s="7" t="s">
        <v>268</v>
      </c>
      <c r="C10" s="7">
        <v>4128.0</v>
      </c>
      <c r="D10" s="7">
        <v>72567.0</v>
      </c>
      <c r="E10" s="7">
        <v>1.8991781E7</v>
      </c>
      <c r="F10" s="7">
        <v>1.8509594E7</v>
      </c>
      <c r="G10" s="7">
        <v>2.09846833E8</v>
      </c>
      <c r="H10" s="7">
        <v>2.538490599E9</v>
      </c>
      <c r="I10" s="7">
        <v>632442.0</v>
      </c>
      <c r="J10" s="7">
        <v>594871.0</v>
      </c>
      <c r="K10" s="7">
        <v>37571.0</v>
      </c>
      <c r="L10" s="7">
        <v>104.54</v>
      </c>
      <c r="M10" s="7">
        <v>-0.15</v>
      </c>
      <c r="N10" s="7">
        <v>54309.0</v>
      </c>
      <c r="O10" s="7">
        <v>2.8294582E7</v>
      </c>
      <c r="P10" s="7" t="s">
        <v>411</v>
      </c>
      <c r="Q10" s="7">
        <v>5003.87</v>
      </c>
      <c r="R10" s="3">
        <f t="shared" si="1"/>
        <v>10000</v>
      </c>
    </row>
    <row r="11" ht="22.5" customHeight="1">
      <c r="B11" s="7" t="s">
        <v>190</v>
      </c>
      <c r="C11" s="7">
        <v>13408.0</v>
      </c>
      <c r="D11" s="7">
        <v>309438.0</v>
      </c>
      <c r="E11" s="7">
        <v>2834918.0</v>
      </c>
      <c r="F11" s="7">
        <v>2754959.0</v>
      </c>
      <c r="G11" s="7">
        <v>5.7854054E7</v>
      </c>
      <c r="H11" s="7">
        <v>5.66461575E8</v>
      </c>
      <c r="I11" s="7">
        <v>135222.0</v>
      </c>
      <c r="J11" s="7">
        <v>130704.0</v>
      </c>
      <c r="K11" s="7">
        <v>4518.0</v>
      </c>
      <c r="L11" s="7">
        <v>78.38</v>
      </c>
      <c r="M11" s="7">
        <v>-0.22</v>
      </c>
      <c r="N11" s="7">
        <v>6774.0</v>
      </c>
      <c r="O11" s="7">
        <v>9525543.0</v>
      </c>
      <c r="P11" s="7" t="s">
        <v>409</v>
      </c>
      <c r="Q11" s="7">
        <v>444.73</v>
      </c>
      <c r="R11" s="3">
        <f t="shared" si="1"/>
        <v>444.73</v>
      </c>
    </row>
    <row r="12" ht="22.5" customHeight="1">
      <c r="B12" s="7" t="s">
        <v>269</v>
      </c>
      <c r="C12" s="7">
        <v>88289.0</v>
      </c>
      <c r="D12" s="7">
        <v>4187682.0</v>
      </c>
      <c r="E12" s="7">
        <v>4561150.0</v>
      </c>
      <c r="F12" s="7">
        <v>4382747.0</v>
      </c>
      <c r="G12" s="7">
        <v>3.8480126E7</v>
      </c>
      <c r="H12" s="7">
        <v>7.262825096E9</v>
      </c>
      <c r="I12" s="7">
        <v>119917.0</v>
      </c>
      <c r="J12" s="7">
        <v>111942.0</v>
      </c>
      <c r="K12" s="7">
        <v>7975.0</v>
      </c>
      <c r="L12" s="7">
        <v>132.76</v>
      </c>
      <c r="M12" s="7">
        <v>-0.09</v>
      </c>
      <c r="N12" s="7">
        <v>12162.0</v>
      </c>
      <c r="O12" s="7">
        <v>1.084671E7</v>
      </c>
      <c r="P12" s="7" t="s">
        <v>410</v>
      </c>
      <c r="Q12" s="7">
        <v>2275.28</v>
      </c>
      <c r="R12" s="3">
        <f t="shared" si="1"/>
        <v>2275.28</v>
      </c>
    </row>
    <row r="13" ht="22.5" customHeight="1">
      <c r="B13" s="7" t="s">
        <v>41</v>
      </c>
      <c r="C13" s="7">
        <v>320.0</v>
      </c>
      <c r="D13" s="7">
        <v>1120.0</v>
      </c>
      <c r="E13" s="7">
        <v>2628139.0</v>
      </c>
      <c r="F13" s="7">
        <v>2566500.0</v>
      </c>
      <c r="G13" s="7">
        <v>5222671.0</v>
      </c>
      <c r="H13" s="7">
        <v>1.14368194E8</v>
      </c>
      <c r="I13" s="7">
        <v>84467.0</v>
      </c>
      <c r="J13" s="7">
        <v>81240.0</v>
      </c>
      <c r="K13" s="7">
        <v>3227.0</v>
      </c>
      <c r="L13" s="7">
        <v>24.81</v>
      </c>
      <c r="M13" s="7">
        <v>-0.06</v>
      </c>
      <c r="N13" s="7">
        <v>5174.0</v>
      </c>
      <c r="O13" s="7">
        <v>1174632.0</v>
      </c>
      <c r="P13" s="7" t="s">
        <v>409</v>
      </c>
      <c r="Q13" s="7">
        <v>565.48</v>
      </c>
      <c r="R13" s="3">
        <f t="shared" si="1"/>
        <v>565.48</v>
      </c>
    </row>
    <row r="14" ht="22.5" customHeight="1">
      <c r="B14" s="7" t="s">
        <v>27</v>
      </c>
      <c r="C14" s="7">
        <v>320.0</v>
      </c>
      <c r="D14" s="7">
        <v>1120.0</v>
      </c>
      <c r="E14" s="7">
        <v>21009.0</v>
      </c>
      <c r="F14" s="7">
        <v>20433.0</v>
      </c>
      <c r="G14" s="7">
        <v>33329.0</v>
      </c>
      <c r="H14" s="7">
        <v>1103777.0</v>
      </c>
      <c r="I14" s="7">
        <v>327.0</v>
      </c>
      <c r="J14" s="7">
        <v>303.0</v>
      </c>
      <c r="K14" s="7">
        <v>24.0</v>
      </c>
      <c r="L14" s="7">
        <v>23.54</v>
      </c>
      <c r="M14" s="7">
        <v>-0.05</v>
      </c>
      <c r="N14" s="7">
        <v>41.0</v>
      </c>
      <c r="O14" s="7">
        <v>10947.0</v>
      </c>
      <c r="P14" s="7" t="s">
        <v>409</v>
      </c>
      <c r="Q14" s="7">
        <v>0.49</v>
      </c>
      <c r="R14" s="3">
        <f t="shared" si="1"/>
        <v>0.49</v>
      </c>
    </row>
    <row r="15" ht="22.5" customHeight="1">
      <c r="B15" s="7" t="s">
        <v>270</v>
      </c>
      <c r="C15" s="7">
        <v>4448.0</v>
      </c>
      <c r="D15" s="7">
        <v>80690.0</v>
      </c>
      <c r="E15" s="7">
        <v>1.9968959E7</v>
      </c>
      <c r="F15" s="7">
        <v>1.9435763E7</v>
      </c>
      <c r="G15" s="7">
        <v>2.14164712E8</v>
      </c>
      <c r="H15" s="7">
        <v>2.544081788E9</v>
      </c>
      <c r="I15" s="7">
        <v>676008.0</v>
      </c>
      <c r="J15" s="7">
        <v>641472.0</v>
      </c>
      <c r="K15" s="7">
        <v>34536.0</v>
      </c>
      <c r="L15" s="7">
        <v>88.48</v>
      </c>
      <c r="M15" s="7">
        <v>-0.16</v>
      </c>
      <c r="N15" s="7">
        <v>51296.0</v>
      </c>
      <c r="O15" s="7">
        <v>2.9997573E7</v>
      </c>
      <c r="P15" s="7" t="s">
        <v>411</v>
      </c>
      <c r="Q15" s="7">
        <v>5003.88</v>
      </c>
      <c r="R15" s="3">
        <f t="shared" si="1"/>
        <v>10000</v>
      </c>
    </row>
    <row r="16" ht="22.5" customHeight="1">
      <c r="B16" s="7" t="s">
        <v>54</v>
      </c>
      <c r="C16" s="7">
        <v>7807714.0</v>
      </c>
      <c r="D16" s="7">
        <v>3.59743E7</v>
      </c>
      <c r="E16" s="7">
        <v>1322.0</v>
      </c>
      <c r="F16" s="7">
        <v>1222.0</v>
      </c>
      <c r="G16" s="7">
        <v>2744543.0</v>
      </c>
      <c r="H16" s="7">
        <v>3.3737143E7</v>
      </c>
      <c r="I16" s="7">
        <v>70.0</v>
      </c>
      <c r="J16" s="7">
        <v>70.0</v>
      </c>
      <c r="K16" s="7">
        <v>0.0</v>
      </c>
      <c r="L16" s="7">
        <v>15.74</v>
      </c>
      <c r="M16" s="7">
        <v>-0.27</v>
      </c>
      <c r="N16" s="7">
        <v>1.0</v>
      </c>
      <c r="O16" s="7">
        <v>13679.0</v>
      </c>
      <c r="P16" s="7" t="s">
        <v>409</v>
      </c>
      <c r="Q16" s="7">
        <v>113.73</v>
      </c>
      <c r="R16" s="3">
        <f t="shared" si="1"/>
        <v>113.73</v>
      </c>
    </row>
    <row r="17" ht="22.5" customHeight="1">
      <c r="B17" s="7" t="s">
        <v>271</v>
      </c>
      <c r="C17" s="7">
        <v>1176.0</v>
      </c>
      <c r="D17" s="7">
        <v>78498.0</v>
      </c>
      <c r="E17" s="7">
        <v>3.7010894E7</v>
      </c>
      <c r="F17" s="7">
        <v>3.5977556E7</v>
      </c>
      <c r="G17" s="7">
        <v>1.8974748E8</v>
      </c>
      <c r="H17" s="7">
        <v>1.117845571E9</v>
      </c>
      <c r="I17" s="7">
        <v>956741.0</v>
      </c>
      <c r="J17" s="7">
        <v>916070.0</v>
      </c>
      <c r="K17" s="7">
        <v>40671.0</v>
      </c>
      <c r="L17" s="7">
        <v>59.61</v>
      </c>
      <c r="M17" s="7">
        <v>-0.09</v>
      </c>
      <c r="N17" s="7">
        <v>63992.0</v>
      </c>
      <c r="O17" s="7">
        <v>2.4842149E7</v>
      </c>
      <c r="P17" s="7" t="s">
        <v>411</v>
      </c>
      <c r="Q17" s="7">
        <v>5003.81</v>
      </c>
      <c r="R17" s="3">
        <f t="shared" si="1"/>
        <v>10000</v>
      </c>
    </row>
    <row r="18" ht="22.5" customHeight="1">
      <c r="B18" s="7" t="s">
        <v>272</v>
      </c>
      <c r="C18" s="7">
        <v>1097.0</v>
      </c>
      <c r="D18" s="7">
        <v>23771.0</v>
      </c>
      <c r="E18" s="7">
        <v>9277970.0</v>
      </c>
      <c r="F18" s="7">
        <v>9198965.0</v>
      </c>
      <c r="G18" s="7">
        <v>1.9244583E7</v>
      </c>
      <c r="H18" s="7">
        <v>1.162659008E9</v>
      </c>
      <c r="I18" s="7">
        <v>489810.0</v>
      </c>
      <c r="J18" s="7">
        <v>478545.0</v>
      </c>
      <c r="K18" s="7">
        <v>11265.0</v>
      </c>
      <c r="L18" s="7">
        <v>34.28</v>
      </c>
      <c r="M18" s="7">
        <v>-0.07</v>
      </c>
      <c r="N18" s="7">
        <v>17137.0</v>
      </c>
      <c r="O18" s="7">
        <v>4357343.0</v>
      </c>
      <c r="P18" s="7" t="s">
        <v>411</v>
      </c>
      <c r="Q18" s="7">
        <v>5003.83</v>
      </c>
      <c r="R18" s="3">
        <f t="shared" si="1"/>
        <v>10000</v>
      </c>
    </row>
    <row r="19" ht="22.5" customHeight="1">
      <c r="B19" s="7" t="s">
        <v>273</v>
      </c>
      <c r="C19" s="7">
        <v>1164.0</v>
      </c>
      <c r="D19" s="7">
        <v>28980.0</v>
      </c>
      <c r="E19" s="7">
        <v>1.1115118E7</v>
      </c>
      <c r="F19" s="7">
        <v>1.1030969E7</v>
      </c>
      <c r="G19" s="7">
        <v>1.9753807E7</v>
      </c>
      <c r="H19" s="7">
        <v>1.466073478E9</v>
      </c>
      <c r="I19" s="7">
        <v>509537.0</v>
      </c>
      <c r="J19" s="7">
        <v>493257.0</v>
      </c>
      <c r="K19" s="7">
        <v>16280.0</v>
      </c>
      <c r="L19" s="7">
        <v>34.69</v>
      </c>
      <c r="M19" s="7">
        <v>-0.06</v>
      </c>
      <c r="N19" s="7">
        <v>24977.0</v>
      </c>
      <c r="O19" s="7">
        <v>4333521.0</v>
      </c>
      <c r="P19" s="7" t="s">
        <v>411</v>
      </c>
      <c r="Q19" s="7">
        <v>5003.87</v>
      </c>
      <c r="R19" s="3">
        <f t="shared" si="1"/>
        <v>10000</v>
      </c>
    </row>
    <row r="20" ht="22.5" customHeight="1">
      <c r="B20" s="7" t="s">
        <v>237</v>
      </c>
      <c r="C20" s="7">
        <v>15320.0</v>
      </c>
      <c r="D20" s="7">
        <v>245163.0</v>
      </c>
      <c r="E20" s="7">
        <v>1.0546135E7</v>
      </c>
      <c r="F20" s="7">
        <v>1.0368962E7</v>
      </c>
      <c r="G20" s="7">
        <v>3.4484001E7</v>
      </c>
      <c r="H20" s="7">
        <v>3.827338364E9</v>
      </c>
      <c r="I20" s="7">
        <v>492675.0</v>
      </c>
      <c r="J20" s="7">
        <v>478226.0</v>
      </c>
      <c r="K20" s="7">
        <v>14449.0</v>
      </c>
      <c r="L20" s="7">
        <v>60.78</v>
      </c>
      <c r="M20" s="7">
        <v>-0.1</v>
      </c>
      <c r="N20" s="7">
        <v>22262.0</v>
      </c>
      <c r="O20" s="7">
        <v>5150823.0</v>
      </c>
      <c r="P20" s="7" t="s">
        <v>409</v>
      </c>
      <c r="Q20" s="7">
        <v>3810.26</v>
      </c>
      <c r="R20" s="3">
        <f t="shared" si="1"/>
        <v>3810.26</v>
      </c>
    </row>
    <row r="21" ht="22.5" customHeight="1">
      <c r="B21" s="7" t="s">
        <v>133</v>
      </c>
      <c r="C21" s="7">
        <v>578891.0</v>
      </c>
      <c r="D21" s="7">
        <v>1735495.0</v>
      </c>
      <c r="E21" s="7">
        <v>1.0174145E7</v>
      </c>
      <c r="F21" s="7">
        <v>9800311.0</v>
      </c>
      <c r="G21" s="7">
        <v>7.7112219E7</v>
      </c>
      <c r="H21" s="7">
        <v>3.588536506E9</v>
      </c>
      <c r="I21" s="7">
        <v>289844.0</v>
      </c>
      <c r="J21" s="7">
        <v>278357.0</v>
      </c>
      <c r="K21" s="7">
        <v>11487.0</v>
      </c>
      <c r="L21" s="7">
        <v>68.53</v>
      </c>
      <c r="M21" s="7">
        <v>-0.14</v>
      </c>
      <c r="N21" s="7">
        <v>18752.0</v>
      </c>
      <c r="O21" s="7">
        <v>2.335313E7</v>
      </c>
      <c r="P21" s="7" t="s">
        <v>410</v>
      </c>
      <c r="Q21" s="7">
        <v>1732.66</v>
      </c>
      <c r="R21" s="3">
        <f t="shared" si="1"/>
        <v>1732.66</v>
      </c>
    </row>
    <row r="22" ht="22.5" customHeight="1">
      <c r="B22" s="7" t="s">
        <v>19</v>
      </c>
      <c r="C22" s="7">
        <v>48258.0</v>
      </c>
      <c r="D22" s="7">
        <v>140967.0</v>
      </c>
      <c r="E22" s="7">
        <v>2625486.0</v>
      </c>
      <c r="F22" s="7">
        <v>2589224.0</v>
      </c>
      <c r="G22" s="7">
        <v>1.1925057E7</v>
      </c>
      <c r="H22" s="7">
        <v>4.50193623E8</v>
      </c>
      <c r="I22" s="7">
        <v>143779.0</v>
      </c>
      <c r="J22" s="7">
        <v>140351.0</v>
      </c>
      <c r="K22" s="7">
        <v>3428.0</v>
      </c>
      <c r="L22" s="7">
        <v>21.94</v>
      </c>
      <c r="M22" s="7">
        <v>-0.11</v>
      </c>
      <c r="N22" s="7">
        <v>5370.0</v>
      </c>
      <c r="O22" s="7">
        <v>1930334.0</v>
      </c>
      <c r="P22" s="7" t="s">
        <v>410</v>
      </c>
      <c r="Q22" s="7">
        <v>407.38</v>
      </c>
      <c r="R22" s="3">
        <f t="shared" si="1"/>
        <v>407.38</v>
      </c>
    </row>
    <row r="23" ht="22.5" customHeight="1">
      <c r="B23" s="7" t="s">
        <v>226</v>
      </c>
      <c r="C23" s="7">
        <v>508510.0</v>
      </c>
      <c r="D23" s="7">
        <v>1464738.0</v>
      </c>
      <c r="E23" s="7">
        <v>1675998.0</v>
      </c>
      <c r="F23" s="7">
        <v>1655553.0</v>
      </c>
      <c r="G23" s="7">
        <v>4.10612746E8</v>
      </c>
      <c r="H23" s="7">
        <v>3.976334989E9</v>
      </c>
      <c r="I23" s="7">
        <v>68795.0</v>
      </c>
      <c r="J23" s="7">
        <v>67395.0</v>
      </c>
      <c r="K23" s="7">
        <v>1400.0</v>
      </c>
      <c r="L23" s="7">
        <v>25.94</v>
      </c>
      <c r="M23" s="7">
        <v>-0.15</v>
      </c>
      <c r="N23" s="7">
        <v>2455.0</v>
      </c>
      <c r="O23" s="7">
        <v>2.2775438E8</v>
      </c>
      <c r="P23" s="7" t="s">
        <v>410</v>
      </c>
      <c r="Q23" s="7">
        <v>1631.29</v>
      </c>
      <c r="R23" s="3">
        <f t="shared" si="1"/>
        <v>1631.29</v>
      </c>
    </row>
    <row r="24" ht="22.5" customHeight="1">
      <c r="B24" s="7" t="s">
        <v>18</v>
      </c>
      <c r="C24" s="7">
        <v>5448.0</v>
      </c>
      <c r="D24" s="7">
        <v>15992.0</v>
      </c>
      <c r="E24" s="7">
        <v>513106.0</v>
      </c>
      <c r="F24" s="7">
        <v>505527.0</v>
      </c>
      <c r="G24" s="7">
        <v>1291653.0</v>
      </c>
      <c r="H24" s="7">
        <v>5.2503713E7</v>
      </c>
      <c r="I24" s="7">
        <v>26055.0</v>
      </c>
      <c r="J24" s="7">
        <v>25528.0</v>
      </c>
      <c r="K24" s="7">
        <v>527.0</v>
      </c>
      <c r="L24" s="7">
        <v>23.89</v>
      </c>
      <c r="M24" s="7">
        <v>-0.09</v>
      </c>
      <c r="N24" s="7">
        <v>795.0</v>
      </c>
      <c r="O24" s="7">
        <v>301500.0</v>
      </c>
      <c r="P24" s="7" t="s">
        <v>410</v>
      </c>
      <c r="Q24" s="7">
        <v>47.36</v>
      </c>
      <c r="R24" s="3">
        <f t="shared" si="1"/>
        <v>47.36</v>
      </c>
    </row>
    <row r="25" ht="22.5" customHeight="1">
      <c r="B25" s="7" t="s">
        <v>8</v>
      </c>
      <c r="C25" s="7">
        <v>6061.0</v>
      </c>
      <c r="D25" s="7">
        <v>17574.0</v>
      </c>
      <c r="E25" s="7">
        <v>289438.0</v>
      </c>
      <c r="F25" s="7">
        <v>285814.0</v>
      </c>
      <c r="G25" s="7">
        <v>688985.0</v>
      </c>
      <c r="H25" s="7">
        <v>2.3500909E7</v>
      </c>
      <c r="I25" s="7">
        <v>12068.0</v>
      </c>
      <c r="J25" s="7">
        <v>11586.0</v>
      </c>
      <c r="K25" s="7">
        <v>482.0</v>
      </c>
      <c r="L25" s="7">
        <v>18.83</v>
      </c>
      <c r="M25" s="7">
        <v>-0.09</v>
      </c>
      <c r="N25" s="7">
        <v>746.0</v>
      </c>
      <c r="O25" s="7">
        <v>112451.0</v>
      </c>
      <c r="P25" s="7" t="s">
        <v>410</v>
      </c>
      <c r="Q25" s="7">
        <v>15.5</v>
      </c>
      <c r="R25" s="3">
        <f t="shared" si="1"/>
        <v>15.5</v>
      </c>
    </row>
    <row r="26" ht="22.5" customHeight="1">
      <c r="B26" s="7" t="s">
        <v>166</v>
      </c>
      <c r="C26" s="7">
        <v>58614.0</v>
      </c>
      <c r="D26" s="7">
        <v>175092.0</v>
      </c>
      <c r="E26" s="7">
        <v>2520186.0</v>
      </c>
      <c r="F26" s="7">
        <v>2463525.0</v>
      </c>
      <c r="G26" s="7">
        <v>7268926.0</v>
      </c>
      <c r="H26" s="7">
        <v>1.491584898E9</v>
      </c>
      <c r="I26" s="7">
        <v>122198.0</v>
      </c>
      <c r="J26" s="7">
        <v>119048.0</v>
      </c>
      <c r="K26" s="7">
        <v>3150.0</v>
      </c>
      <c r="L26" s="7">
        <v>33.02</v>
      </c>
      <c r="M26" s="7">
        <v>-0.11</v>
      </c>
      <c r="N26" s="7">
        <v>4929.0</v>
      </c>
      <c r="O26" s="7">
        <v>1483070.0</v>
      </c>
      <c r="P26" s="7" t="s">
        <v>410</v>
      </c>
      <c r="Q26" s="7">
        <v>671.62</v>
      </c>
      <c r="R26" s="3">
        <f t="shared" si="1"/>
        <v>671.62</v>
      </c>
    </row>
    <row r="27" ht="22.5" customHeight="1">
      <c r="B27" s="7" t="s">
        <v>50</v>
      </c>
      <c r="C27" s="7">
        <v>1458.0</v>
      </c>
      <c r="D27" s="7">
        <v>30499.0</v>
      </c>
      <c r="E27" s="7">
        <v>4332262.0</v>
      </c>
      <c r="F27" s="7">
        <v>4259943.0</v>
      </c>
      <c r="G27" s="7">
        <v>8315011.0</v>
      </c>
      <c r="H27" s="7">
        <v>2.43835974E8</v>
      </c>
      <c r="I27" s="7">
        <v>131365.0</v>
      </c>
      <c r="J27" s="7">
        <v>124054.0</v>
      </c>
      <c r="K27" s="7">
        <v>7311.0</v>
      </c>
      <c r="L27" s="7">
        <v>43.47</v>
      </c>
      <c r="M27" s="7">
        <v>-0.06</v>
      </c>
      <c r="N27" s="7">
        <v>11509.0</v>
      </c>
      <c r="O27" s="7">
        <v>1394836.0</v>
      </c>
      <c r="P27" s="7" t="s">
        <v>409</v>
      </c>
      <c r="Q27" s="7">
        <v>676.94</v>
      </c>
      <c r="R27" s="3">
        <f t="shared" si="1"/>
        <v>676.94</v>
      </c>
    </row>
    <row r="28" ht="22.5" customHeight="1">
      <c r="B28" s="7" t="s">
        <v>232</v>
      </c>
      <c r="C28" s="7">
        <v>371419.0</v>
      </c>
      <c r="D28" s="7">
        <v>7170905.0</v>
      </c>
      <c r="E28" s="7">
        <v>1069843.0</v>
      </c>
      <c r="F28" s="7">
        <v>1041269.0</v>
      </c>
      <c r="G28" s="7">
        <v>2.3874884E7</v>
      </c>
      <c r="H28" s="7">
        <v>2.320417003E9</v>
      </c>
      <c r="I28" s="7">
        <v>34793.0</v>
      </c>
      <c r="J28" s="7">
        <v>32780.0</v>
      </c>
      <c r="K28" s="7">
        <v>2013.0</v>
      </c>
      <c r="L28" s="7">
        <v>77.75</v>
      </c>
      <c r="M28" s="7">
        <v>-0.09</v>
      </c>
      <c r="N28" s="7">
        <v>3062.0</v>
      </c>
      <c r="O28" s="7">
        <v>3827789.0</v>
      </c>
      <c r="P28" s="7" t="s">
        <v>410</v>
      </c>
      <c r="Q28" s="7">
        <v>1313.4</v>
      </c>
      <c r="R28" s="3">
        <f t="shared" si="1"/>
        <v>1313.4</v>
      </c>
    </row>
    <row r="29" ht="22.5" customHeight="1">
      <c r="B29" s="7" t="s">
        <v>177</v>
      </c>
      <c r="C29" s="7">
        <v>49112.0</v>
      </c>
      <c r="D29" s="7">
        <v>2317836.0</v>
      </c>
      <c r="E29" s="7">
        <v>286416.0</v>
      </c>
      <c r="F29" s="7">
        <v>278540.0</v>
      </c>
      <c r="G29" s="7">
        <v>2209112.0</v>
      </c>
      <c r="H29" s="7">
        <v>3.11713742E8</v>
      </c>
      <c r="I29" s="7">
        <v>7626.0</v>
      </c>
      <c r="J29" s="7">
        <v>7146.0</v>
      </c>
      <c r="K29" s="7">
        <v>480.0</v>
      </c>
      <c r="L29" s="7">
        <v>273.57</v>
      </c>
      <c r="M29" s="7">
        <v>-0.08</v>
      </c>
      <c r="N29" s="7">
        <v>744.0</v>
      </c>
      <c r="O29" s="7">
        <v>578609.0</v>
      </c>
      <c r="P29" s="7" t="s">
        <v>410</v>
      </c>
      <c r="Q29" s="7">
        <v>237.97</v>
      </c>
      <c r="R29" s="3">
        <f t="shared" si="1"/>
        <v>237.97</v>
      </c>
    </row>
    <row r="30" ht="22.5" customHeight="1">
      <c r="B30" s="7" t="s">
        <v>23</v>
      </c>
      <c r="C30" s="7">
        <v>53919.0</v>
      </c>
      <c r="D30" s="7">
        <v>307816.0</v>
      </c>
      <c r="E30" s="7">
        <v>609220.0</v>
      </c>
      <c r="F30" s="7">
        <v>589099.0</v>
      </c>
      <c r="G30" s="7">
        <v>2271452.0</v>
      </c>
      <c r="H30" s="7">
        <v>6.71086865E8</v>
      </c>
      <c r="I30" s="7">
        <v>21569.0</v>
      </c>
      <c r="J30" s="7">
        <v>20812.0</v>
      </c>
      <c r="K30" s="7">
        <v>757.0</v>
      </c>
      <c r="L30" s="7">
        <v>115.42</v>
      </c>
      <c r="M30" s="7">
        <v>-0.08</v>
      </c>
      <c r="N30" s="7">
        <v>1172.0</v>
      </c>
      <c r="O30" s="7">
        <v>349845.0</v>
      </c>
      <c r="P30" s="7" t="s">
        <v>409</v>
      </c>
      <c r="Q30" s="7">
        <v>304.85</v>
      </c>
      <c r="R30" s="3">
        <f t="shared" si="1"/>
        <v>304.85</v>
      </c>
    </row>
    <row r="31" ht="22.5" customHeight="1">
      <c r="B31" s="7" t="s">
        <v>154</v>
      </c>
      <c r="C31" s="7">
        <v>99736.0</v>
      </c>
      <c r="D31" s="7">
        <v>783852.0</v>
      </c>
      <c r="E31" s="7">
        <v>568757.0</v>
      </c>
      <c r="F31" s="7">
        <v>538443.0</v>
      </c>
      <c r="G31" s="7">
        <v>1791948.0</v>
      </c>
      <c r="H31" s="7">
        <v>1.999320068E9</v>
      </c>
      <c r="I31" s="7">
        <v>18638.0</v>
      </c>
      <c r="J31" s="7">
        <v>17999.0</v>
      </c>
      <c r="K31" s="7">
        <v>639.0</v>
      </c>
      <c r="L31" s="7">
        <v>106.78</v>
      </c>
      <c r="M31" s="7">
        <v>-0.08</v>
      </c>
      <c r="N31" s="7">
        <v>991.0</v>
      </c>
      <c r="O31" s="7">
        <v>409629.0</v>
      </c>
      <c r="P31" s="7" t="s">
        <v>410</v>
      </c>
      <c r="Q31" s="7">
        <v>702.67</v>
      </c>
      <c r="R31" s="3">
        <f t="shared" si="1"/>
        <v>702.67</v>
      </c>
    </row>
    <row r="32" ht="22.5" customHeight="1">
      <c r="B32" s="7" t="s">
        <v>84</v>
      </c>
      <c r="C32" s="7">
        <v>2958.0</v>
      </c>
      <c r="D32" s="7">
        <v>8708.0</v>
      </c>
      <c r="E32" s="7">
        <v>1021645.0</v>
      </c>
      <c r="F32" s="7">
        <v>1019550.0</v>
      </c>
      <c r="G32" s="7">
        <v>1078361.0</v>
      </c>
      <c r="H32" s="7">
        <v>2.0448103E8</v>
      </c>
      <c r="I32" s="7">
        <v>19534.0</v>
      </c>
      <c r="J32" s="7">
        <v>17723.0</v>
      </c>
      <c r="K32" s="7">
        <v>1811.0</v>
      </c>
      <c r="L32" s="7">
        <v>49.55</v>
      </c>
      <c r="M32" s="7">
        <v>-0.01</v>
      </c>
      <c r="N32" s="7">
        <v>2863.0</v>
      </c>
      <c r="O32" s="7">
        <v>293088.0</v>
      </c>
      <c r="P32" s="7" t="s">
        <v>410</v>
      </c>
      <c r="Q32" s="7">
        <v>111.39</v>
      </c>
      <c r="R32" s="3">
        <f t="shared" si="1"/>
        <v>111.39</v>
      </c>
    </row>
    <row r="33" ht="22.5" customHeight="1">
      <c r="B33" s="7" t="s">
        <v>130</v>
      </c>
      <c r="C33" s="7">
        <v>5241.0</v>
      </c>
      <c r="D33" s="7">
        <v>15431.0</v>
      </c>
      <c r="E33" s="7">
        <v>3408272.0</v>
      </c>
      <c r="F33" s="7">
        <v>3336655.0</v>
      </c>
      <c r="G33" s="7">
        <v>6762149.0</v>
      </c>
      <c r="H33" s="7">
        <v>2.50469224E8</v>
      </c>
      <c r="I33" s="7">
        <v>102664.0</v>
      </c>
      <c r="J33" s="7">
        <v>97342.0</v>
      </c>
      <c r="K33" s="7">
        <v>5322.0</v>
      </c>
      <c r="L33" s="7">
        <v>24.3</v>
      </c>
      <c r="M33" s="7">
        <v>-0.07</v>
      </c>
      <c r="N33" s="7">
        <v>8470.0</v>
      </c>
      <c r="O33" s="7">
        <v>1431164.0</v>
      </c>
      <c r="P33" s="7" t="s">
        <v>410</v>
      </c>
      <c r="Q33" s="7">
        <v>291.51</v>
      </c>
      <c r="R33" s="3">
        <f t="shared" si="1"/>
        <v>291.51</v>
      </c>
    </row>
    <row r="34" ht="22.5" customHeight="1">
      <c r="B34" s="7" t="s">
        <v>179</v>
      </c>
      <c r="C34" s="7">
        <v>381708.0</v>
      </c>
      <c r="D34" s="7">
        <v>1619095.0</v>
      </c>
      <c r="E34" s="7">
        <v>526631.0</v>
      </c>
      <c r="F34" s="7">
        <v>428375.0</v>
      </c>
      <c r="G34" s="7">
        <v>5153970.0</v>
      </c>
      <c r="H34" s="7">
        <v>4.455811922E9</v>
      </c>
      <c r="I34" s="7">
        <v>22266.0</v>
      </c>
      <c r="J34" s="7">
        <v>21698.0</v>
      </c>
      <c r="K34" s="7">
        <v>568.0</v>
      </c>
      <c r="L34" s="7">
        <v>268.69</v>
      </c>
      <c r="M34" s="7">
        <v>-0.13</v>
      </c>
      <c r="N34" s="7">
        <v>851.0</v>
      </c>
      <c r="O34" s="7">
        <v>584933.0</v>
      </c>
      <c r="P34" s="7" t="s">
        <v>409</v>
      </c>
      <c r="Q34" s="7">
        <v>1351.74</v>
      </c>
      <c r="R34" s="3">
        <f t="shared" si="1"/>
        <v>1351.74</v>
      </c>
    </row>
    <row r="35" ht="22.5" customHeight="1">
      <c r="B35" s="7" t="s">
        <v>238</v>
      </c>
      <c r="C35" s="7">
        <v>14665.0</v>
      </c>
      <c r="D35" s="7">
        <v>34976.0</v>
      </c>
      <c r="E35" s="7">
        <v>5.6918606E7</v>
      </c>
      <c r="F35" s="7">
        <v>5.0178516E7</v>
      </c>
      <c r="G35" s="7">
        <v>3.9125029E8</v>
      </c>
      <c r="H35" s="7">
        <v>3.096143839E9</v>
      </c>
      <c r="I35" s="7">
        <v>616833.0</v>
      </c>
      <c r="J35" s="7">
        <v>443636.0</v>
      </c>
      <c r="K35" s="7">
        <v>173197.0</v>
      </c>
      <c r="L35" s="7">
        <v>40.32</v>
      </c>
      <c r="M35" s="7">
        <v>-0.04</v>
      </c>
      <c r="N35" s="7">
        <v>225738.0</v>
      </c>
      <c r="O35" s="7">
        <v>4.234009E7</v>
      </c>
      <c r="P35" s="7" t="s">
        <v>410</v>
      </c>
      <c r="Q35" s="7">
        <v>4452.21</v>
      </c>
      <c r="R35" s="3">
        <f t="shared" si="1"/>
        <v>4452.21</v>
      </c>
    </row>
    <row r="36" ht="22.5" customHeight="1">
      <c r="B36" s="7" t="s">
        <v>146</v>
      </c>
      <c r="C36" s="7">
        <v>520.0</v>
      </c>
      <c r="D36" s="7">
        <v>5763.0</v>
      </c>
      <c r="E36" s="7">
        <v>3028018.0</v>
      </c>
      <c r="F36" s="7">
        <v>3020706.0</v>
      </c>
      <c r="G36" s="7">
        <v>3861169.0</v>
      </c>
      <c r="H36" s="7">
        <v>1.46297105E8</v>
      </c>
      <c r="I36" s="7">
        <v>135627.0</v>
      </c>
      <c r="J36" s="7">
        <v>131100.0</v>
      </c>
      <c r="K36" s="7">
        <v>4527.0</v>
      </c>
      <c r="L36" s="7">
        <v>26.19</v>
      </c>
      <c r="M36" s="7">
        <v>-0.02</v>
      </c>
      <c r="N36" s="7">
        <v>7091.0</v>
      </c>
      <c r="O36" s="7">
        <v>1007994.0</v>
      </c>
      <c r="P36" s="7" t="s">
        <v>409</v>
      </c>
      <c r="Q36" s="7">
        <v>695.6</v>
      </c>
      <c r="R36" s="3">
        <f t="shared" si="1"/>
        <v>695.6</v>
      </c>
    </row>
    <row r="37" ht="22.5" customHeight="1">
      <c r="B37" s="7" t="s">
        <v>274</v>
      </c>
      <c r="C37" s="7">
        <v>520.0</v>
      </c>
      <c r="D37" s="7">
        <v>5761.0</v>
      </c>
      <c r="E37" s="7">
        <v>1.1620172E7</v>
      </c>
      <c r="F37" s="7">
        <v>1.1596906E7</v>
      </c>
      <c r="G37" s="7">
        <v>1.4686891E7</v>
      </c>
      <c r="H37" s="7">
        <v>3.69825831E8</v>
      </c>
      <c r="I37" s="7">
        <v>480671.0</v>
      </c>
      <c r="J37" s="7">
        <v>464105.0</v>
      </c>
      <c r="K37" s="7">
        <v>16566.0</v>
      </c>
      <c r="L37" s="7">
        <v>25.84</v>
      </c>
      <c r="M37" s="7">
        <v>-0.02</v>
      </c>
      <c r="N37" s="7">
        <v>26048.0</v>
      </c>
      <c r="O37" s="7">
        <v>4228733.0</v>
      </c>
      <c r="P37" s="7" t="s">
        <v>411</v>
      </c>
      <c r="Q37" s="7">
        <v>5003.79</v>
      </c>
      <c r="R37" s="3">
        <f t="shared" si="1"/>
        <v>10000</v>
      </c>
    </row>
    <row r="38" ht="22.5" customHeight="1">
      <c r="B38" s="7" t="s">
        <v>85</v>
      </c>
      <c r="C38" s="7">
        <v>708.0</v>
      </c>
      <c r="D38" s="7">
        <v>2539.0</v>
      </c>
      <c r="E38" s="7">
        <v>9022877.0</v>
      </c>
      <c r="F38" s="7">
        <v>8990631.0</v>
      </c>
      <c r="G38" s="7">
        <v>1.3238631E7</v>
      </c>
      <c r="H38" s="7">
        <v>4.22006896E8</v>
      </c>
      <c r="I38" s="7">
        <v>467804.0</v>
      </c>
      <c r="J38" s="7">
        <v>458869.0</v>
      </c>
      <c r="K38" s="7">
        <v>8935.0</v>
      </c>
      <c r="L38" s="7">
        <v>22.75</v>
      </c>
      <c r="M38" s="7">
        <v>-0.05</v>
      </c>
      <c r="N38" s="7">
        <v>14425.0</v>
      </c>
      <c r="O38" s="7">
        <v>4272591.0</v>
      </c>
      <c r="P38" s="7" t="s">
        <v>409</v>
      </c>
      <c r="Q38" s="7">
        <v>1768.06</v>
      </c>
      <c r="R38" s="3">
        <f t="shared" si="1"/>
        <v>1768.06</v>
      </c>
    </row>
    <row r="39" ht="22.5" customHeight="1">
      <c r="B39" s="7" t="s">
        <v>152</v>
      </c>
      <c r="C39" s="7">
        <v>501284.0</v>
      </c>
      <c r="D39" s="7">
        <v>2745938.0</v>
      </c>
      <c r="E39" s="7">
        <v>2381156.0</v>
      </c>
      <c r="F39" s="7">
        <v>2370533.0</v>
      </c>
      <c r="G39" s="7">
        <v>1.8249453E7</v>
      </c>
      <c r="H39" s="7">
        <v>1.59443714E8</v>
      </c>
      <c r="I39" s="7">
        <v>110424.0</v>
      </c>
      <c r="J39" s="7">
        <v>106428.0</v>
      </c>
      <c r="K39" s="7">
        <v>3996.0</v>
      </c>
      <c r="L39" s="7">
        <v>15.35</v>
      </c>
      <c r="M39" s="7">
        <v>-0.07</v>
      </c>
      <c r="N39" s="7">
        <v>5554.0</v>
      </c>
      <c r="O39" s="7">
        <v>2355248.0</v>
      </c>
      <c r="P39" s="7" t="s">
        <v>410</v>
      </c>
      <c r="Q39" s="7">
        <v>327.18</v>
      </c>
      <c r="R39" s="3">
        <f t="shared" si="1"/>
        <v>327.18</v>
      </c>
    </row>
    <row r="40" ht="22.5" customHeight="1">
      <c r="B40" s="7" t="s">
        <v>275</v>
      </c>
      <c r="C40" s="7">
        <v>422649.0</v>
      </c>
      <c r="D40" s="7">
        <v>1265651.0</v>
      </c>
      <c r="E40" s="7">
        <v>5610375.0</v>
      </c>
      <c r="F40" s="7">
        <v>5428807.0</v>
      </c>
      <c r="G40" s="7">
        <v>3.2654081E7</v>
      </c>
      <c r="H40" s="7">
        <v>1.2441099068E10</v>
      </c>
      <c r="I40" s="7">
        <v>221460.0</v>
      </c>
      <c r="J40" s="7">
        <v>212558.0</v>
      </c>
      <c r="K40" s="7">
        <v>8902.0</v>
      </c>
      <c r="L40" s="7">
        <v>86.83</v>
      </c>
      <c r="M40" s="7">
        <v>-0.15</v>
      </c>
      <c r="N40" s="7">
        <v>13085.0</v>
      </c>
      <c r="O40" s="7">
        <v>7901364.0</v>
      </c>
      <c r="P40" s="7" t="s">
        <v>411</v>
      </c>
      <c r="Q40" s="7">
        <v>5003.7</v>
      </c>
      <c r="R40" s="3">
        <f t="shared" si="1"/>
        <v>10000</v>
      </c>
    </row>
    <row r="41" ht="22.5" customHeight="1">
      <c r="B41" s="7" t="s">
        <v>276</v>
      </c>
      <c r="C41" s="7">
        <v>293123.0</v>
      </c>
      <c r="D41" s="7">
        <v>943087.0</v>
      </c>
      <c r="E41" s="7">
        <v>5061009.0</v>
      </c>
      <c r="F41" s="7">
        <v>4911765.0</v>
      </c>
      <c r="G41" s="7">
        <v>2.7667456E7</v>
      </c>
      <c r="H41" s="7">
        <v>1.442663602E10</v>
      </c>
      <c r="I41" s="7">
        <v>174216.0</v>
      </c>
      <c r="J41" s="7">
        <v>165279.0</v>
      </c>
      <c r="K41" s="7">
        <v>8937.0</v>
      </c>
      <c r="L41" s="7">
        <v>101.8</v>
      </c>
      <c r="M41" s="7">
        <v>-0.14</v>
      </c>
      <c r="N41" s="7">
        <v>13119.0</v>
      </c>
      <c r="O41" s="7">
        <v>6499100.0</v>
      </c>
      <c r="P41" s="7" t="s">
        <v>411</v>
      </c>
      <c r="Q41" s="7">
        <v>5003.83</v>
      </c>
      <c r="R41" s="3">
        <f t="shared" si="1"/>
        <v>10000</v>
      </c>
    </row>
    <row r="42" ht="22.5" customHeight="1">
      <c r="B42" s="7" t="s">
        <v>191</v>
      </c>
      <c r="C42" s="7">
        <v>137472.0</v>
      </c>
      <c r="D42" s="7">
        <v>810768.0</v>
      </c>
      <c r="E42" s="7">
        <v>5533542.0</v>
      </c>
      <c r="F42" s="7">
        <v>5496861.0</v>
      </c>
      <c r="G42" s="7">
        <v>8217779.0</v>
      </c>
      <c r="H42" s="7">
        <v>2.76696634E8</v>
      </c>
      <c r="I42" s="7">
        <v>128898.0</v>
      </c>
      <c r="J42" s="7">
        <v>122466.0</v>
      </c>
      <c r="K42" s="7">
        <v>6432.0</v>
      </c>
      <c r="L42" s="7">
        <v>22.26</v>
      </c>
      <c r="M42" s="7">
        <v>-0.06</v>
      </c>
      <c r="N42" s="7">
        <v>10642.0</v>
      </c>
      <c r="O42" s="7">
        <v>2858662.0</v>
      </c>
      <c r="P42" s="7" t="s">
        <v>409</v>
      </c>
      <c r="Q42" s="7">
        <v>852.88</v>
      </c>
      <c r="R42" s="3">
        <f t="shared" si="1"/>
        <v>852.88</v>
      </c>
    </row>
    <row r="43" ht="22.5" customHeight="1">
      <c r="B43" s="7" t="s">
        <v>277</v>
      </c>
      <c r="C43" s="7">
        <v>21734.0</v>
      </c>
      <c r="D43" s="7">
        <v>78990.0</v>
      </c>
      <c r="E43" s="7">
        <v>1.9635539E7</v>
      </c>
      <c r="F43" s="7">
        <v>1.9356617E7</v>
      </c>
      <c r="G43" s="7">
        <v>7.049604E7</v>
      </c>
      <c r="H43" s="7">
        <v>3.520919825E9</v>
      </c>
      <c r="I43" s="7">
        <v>753501.0</v>
      </c>
      <c r="J43" s="7">
        <v>719573.0</v>
      </c>
      <c r="K43" s="7">
        <v>33928.0</v>
      </c>
      <c r="L43" s="7">
        <v>56.14</v>
      </c>
      <c r="M43" s="7">
        <v>-0.09</v>
      </c>
      <c r="N43" s="7">
        <v>50689.0</v>
      </c>
      <c r="O43" s="7">
        <v>9779192.0</v>
      </c>
      <c r="P43" s="7" t="s">
        <v>411</v>
      </c>
      <c r="Q43" s="7">
        <v>5003.84</v>
      </c>
      <c r="R43" s="3">
        <f t="shared" si="1"/>
        <v>10000</v>
      </c>
    </row>
    <row r="44" ht="22.5" customHeight="1">
      <c r="B44" s="7" t="s">
        <v>185</v>
      </c>
      <c r="C44" s="7">
        <v>3426.0</v>
      </c>
      <c r="D44" s="7">
        <v>15230.0</v>
      </c>
      <c r="E44" s="7">
        <v>2506031.0</v>
      </c>
      <c r="F44" s="7">
        <v>2505965.0</v>
      </c>
      <c r="G44" s="7">
        <v>2514335.0</v>
      </c>
      <c r="H44" s="7">
        <v>1.016094726E9</v>
      </c>
      <c r="I44" s="7">
        <v>93046.0</v>
      </c>
      <c r="J44" s="7">
        <v>90196.0</v>
      </c>
      <c r="K44" s="7">
        <v>2850.0</v>
      </c>
      <c r="L44" s="7">
        <v>19.46</v>
      </c>
      <c r="M44" s="7">
        <v>0.0</v>
      </c>
      <c r="N44" s="7">
        <v>4613.0</v>
      </c>
      <c r="O44" s="7">
        <v>1119914.0</v>
      </c>
      <c r="P44" s="7" t="s">
        <v>409</v>
      </c>
      <c r="Q44" s="7">
        <v>321.5</v>
      </c>
      <c r="R44" s="3">
        <f t="shared" si="1"/>
        <v>321.5</v>
      </c>
    </row>
    <row r="45" ht="22.5" customHeight="1">
      <c r="B45" s="7" t="s">
        <v>81</v>
      </c>
      <c r="C45" s="7">
        <v>3426.0</v>
      </c>
      <c r="D45" s="7">
        <v>15230.0</v>
      </c>
      <c r="E45" s="7">
        <v>9089600.0</v>
      </c>
      <c r="F45" s="7">
        <v>9089412.0</v>
      </c>
      <c r="G45" s="7">
        <v>9106447.0</v>
      </c>
      <c r="H45" s="7">
        <v>2.910332136E9</v>
      </c>
      <c r="I45" s="7">
        <v>330486.0</v>
      </c>
      <c r="J45" s="7">
        <v>321491.0</v>
      </c>
      <c r="K45" s="7">
        <v>8995.0</v>
      </c>
      <c r="L45" s="7">
        <v>18.4</v>
      </c>
      <c r="M45" s="7">
        <v>0.0</v>
      </c>
      <c r="N45" s="7">
        <v>14595.0</v>
      </c>
      <c r="O45" s="7">
        <v>4599596.0</v>
      </c>
      <c r="P45" s="7" t="s">
        <v>409</v>
      </c>
      <c r="Q45" s="7">
        <v>1119.06</v>
      </c>
      <c r="R45" s="3">
        <f t="shared" si="1"/>
        <v>1119.06</v>
      </c>
    </row>
    <row r="46" ht="22.5" customHeight="1">
      <c r="B46" s="7" t="s">
        <v>149</v>
      </c>
      <c r="C46" s="7">
        <v>6658.0</v>
      </c>
      <c r="D46" s="7">
        <v>31911.0</v>
      </c>
      <c r="E46" s="7">
        <v>895095.0</v>
      </c>
      <c r="F46" s="7">
        <v>894680.0</v>
      </c>
      <c r="G46" s="7">
        <v>902561.0</v>
      </c>
      <c r="H46" s="7">
        <v>7.41206533E8</v>
      </c>
      <c r="I46" s="7">
        <v>19309.0</v>
      </c>
      <c r="J46" s="7">
        <v>17895.0</v>
      </c>
      <c r="K46" s="7">
        <v>1414.0</v>
      </c>
      <c r="L46" s="7">
        <v>20.25</v>
      </c>
      <c r="M46" s="7">
        <v>0.0</v>
      </c>
      <c r="N46" s="7">
        <v>2272.0</v>
      </c>
      <c r="O46" s="7">
        <v>290592.0</v>
      </c>
      <c r="P46" s="7" t="s">
        <v>409</v>
      </c>
      <c r="Q46" s="7">
        <v>224.67</v>
      </c>
      <c r="R46" s="3">
        <f t="shared" si="1"/>
        <v>224.67</v>
      </c>
    </row>
    <row r="47" ht="22.5" customHeight="1">
      <c r="B47" s="7" t="s">
        <v>171</v>
      </c>
      <c r="C47" s="7">
        <v>6658.0</v>
      </c>
      <c r="D47" s="7">
        <v>31911.0</v>
      </c>
      <c r="E47" s="7">
        <v>895095.0</v>
      </c>
      <c r="F47" s="7">
        <v>894680.0</v>
      </c>
      <c r="G47" s="7">
        <v>902561.0</v>
      </c>
      <c r="H47" s="7">
        <v>7.41206533E8</v>
      </c>
      <c r="I47" s="7">
        <v>19309.0</v>
      </c>
      <c r="J47" s="7">
        <v>17895.0</v>
      </c>
      <c r="K47" s="7">
        <v>1414.0</v>
      </c>
      <c r="L47" s="7">
        <v>20.25</v>
      </c>
      <c r="M47" s="7">
        <v>0.0</v>
      </c>
      <c r="N47" s="7">
        <v>2272.0</v>
      </c>
      <c r="O47" s="7">
        <v>290592.0</v>
      </c>
      <c r="P47" s="7" t="s">
        <v>409</v>
      </c>
      <c r="Q47" s="7">
        <v>318.15</v>
      </c>
      <c r="R47" s="3">
        <f t="shared" si="1"/>
        <v>318.15</v>
      </c>
    </row>
    <row r="48" ht="22.5" customHeight="1">
      <c r="B48" s="7" t="s">
        <v>195</v>
      </c>
      <c r="C48" s="7">
        <v>6658.0</v>
      </c>
      <c r="D48" s="7">
        <v>31909.0</v>
      </c>
      <c r="E48" s="7">
        <v>670937.0</v>
      </c>
      <c r="F48" s="7">
        <v>670592.0</v>
      </c>
      <c r="G48" s="7">
        <v>677127.0</v>
      </c>
      <c r="H48" s="7">
        <v>6.94510406E8</v>
      </c>
      <c r="I48" s="7">
        <v>18252.0</v>
      </c>
      <c r="J48" s="7">
        <v>17419.0</v>
      </c>
      <c r="K48" s="7">
        <v>833.0</v>
      </c>
      <c r="L48" s="7">
        <v>19.67</v>
      </c>
      <c r="M48" s="7">
        <v>0.0</v>
      </c>
      <c r="N48" s="7">
        <v>1345.0</v>
      </c>
      <c r="O48" s="7">
        <v>291803.0</v>
      </c>
      <c r="P48" s="7" t="s">
        <v>409</v>
      </c>
      <c r="Q48" s="7">
        <v>216.56</v>
      </c>
      <c r="R48" s="3">
        <f t="shared" si="1"/>
        <v>216.56</v>
      </c>
    </row>
    <row r="49" ht="22.5" customHeight="1">
      <c r="B49" s="7" t="s">
        <v>167</v>
      </c>
      <c r="C49" s="7">
        <v>6658.0</v>
      </c>
      <c r="D49" s="7">
        <v>31909.0</v>
      </c>
      <c r="E49" s="7">
        <v>1758790.0</v>
      </c>
      <c r="F49" s="7">
        <v>1758265.0</v>
      </c>
      <c r="G49" s="7">
        <v>1772903.0</v>
      </c>
      <c r="H49" s="7">
        <v>1.556902682E9</v>
      </c>
      <c r="I49" s="7">
        <v>62757.0</v>
      </c>
      <c r="J49" s="7">
        <v>60976.0</v>
      </c>
      <c r="K49" s="7">
        <v>1781.0</v>
      </c>
      <c r="L49" s="7">
        <v>17.32</v>
      </c>
      <c r="M49" s="7">
        <v>0.0</v>
      </c>
      <c r="N49" s="7">
        <v>2835.0</v>
      </c>
      <c r="O49" s="7">
        <v>917578.0</v>
      </c>
      <c r="P49" s="7" t="s">
        <v>410</v>
      </c>
      <c r="Q49" s="7">
        <v>606.44</v>
      </c>
      <c r="R49" s="3">
        <f t="shared" si="1"/>
        <v>606.44</v>
      </c>
    </row>
    <row r="50" ht="22.5" customHeight="1">
      <c r="B50" s="7" t="s">
        <v>61</v>
      </c>
      <c r="C50" s="7">
        <v>57220.0</v>
      </c>
      <c r="D50" s="7">
        <v>568572.0</v>
      </c>
      <c r="E50" s="7">
        <v>220107.0</v>
      </c>
      <c r="F50" s="7">
        <v>214249.0</v>
      </c>
      <c r="G50" s="7">
        <v>1453336.0</v>
      </c>
      <c r="H50" s="7">
        <v>2.37916568E8</v>
      </c>
      <c r="I50" s="7">
        <v>16423.0</v>
      </c>
      <c r="J50" s="7">
        <v>16066.0</v>
      </c>
      <c r="K50" s="7">
        <v>357.0</v>
      </c>
      <c r="L50" s="7">
        <v>28.09</v>
      </c>
      <c r="M50" s="7">
        <v>-0.17</v>
      </c>
      <c r="N50" s="7">
        <v>568.0</v>
      </c>
      <c r="O50" s="7">
        <v>108785.0</v>
      </c>
      <c r="P50" s="7" t="s">
        <v>409</v>
      </c>
      <c r="Q50" s="7">
        <v>147.23</v>
      </c>
      <c r="R50" s="3">
        <f t="shared" si="1"/>
        <v>147.23</v>
      </c>
    </row>
    <row r="51" ht="22.5" customHeight="1">
      <c r="B51" s="7" t="s">
        <v>132</v>
      </c>
      <c r="C51" s="7">
        <v>9643.0</v>
      </c>
      <c r="D51" s="7">
        <v>145203.0</v>
      </c>
      <c r="E51" s="7">
        <v>980860.0</v>
      </c>
      <c r="F51" s="7">
        <v>965643.0</v>
      </c>
      <c r="G51" s="7">
        <v>1617323.0</v>
      </c>
      <c r="H51" s="7">
        <v>1.63563998E8</v>
      </c>
      <c r="I51" s="7">
        <v>30299.0</v>
      </c>
      <c r="J51" s="7">
        <v>28548.0</v>
      </c>
      <c r="K51" s="7">
        <v>1751.0</v>
      </c>
      <c r="L51" s="7">
        <v>23.97</v>
      </c>
      <c r="M51" s="7">
        <v>-0.06</v>
      </c>
      <c r="N51" s="7">
        <v>2738.0</v>
      </c>
      <c r="O51" s="7">
        <v>280748.0</v>
      </c>
      <c r="P51" s="7" t="s">
        <v>409</v>
      </c>
      <c r="Q51" s="7">
        <v>113.94</v>
      </c>
      <c r="R51" s="3">
        <f t="shared" si="1"/>
        <v>113.94</v>
      </c>
    </row>
    <row r="52" ht="22.5" customHeight="1">
      <c r="B52" s="7" t="s">
        <v>220</v>
      </c>
      <c r="C52" s="7">
        <v>171148.0</v>
      </c>
      <c r="D52" s="7">
        <v>6591010.0</v>
      </c>
      <c r="E52" s="7">
        <v>3299081.0</v>
      </c>
      <c r="F52" s="7">
        <v>3265304.0</v>
      </c>
      <c r="G52" s="7">
        <v>5361426.0</v>
      </c>
      <c r="H52" s="7">
        <v>1.87818237E9</v>
      </c>
      <c r="I52" s="7">
        <v>115371.0</v>
      </c>
      <c r="J52" s="7">
        <v>109915.0</v>
      </c>
      <c r="K52" s="7">
        <v>5456.0</v>
      </c>
      <c r="L52" s="7">
        <v>26.04</v>
      </c>
      <c r="M52" s="7">
        <v>-0.05</v>
      </c>
      <c r="N52" s="7">
        <v>8432.0</v>
      </c>
      <c r="O52" s="7">
        <v>1099504.0</v>
      </c>
      <c r="P52" s="7" t="s">
        <v>410</v>
      </c>
      <c r="Q52" s="7">
        <v>2219.3</v>
      </c>
      <c r="R52" s="3">
        <f t="shared" si="1"/>
        <v>2219.3</v>
      </c>
    </row>
    <row r="53" ht="22.5" customHeight="1">
      <c r="B53" s="7" t="s">
        <v>110</v>
      </c>
      <c r="C53" s="7">
        <v>14912.0</v>
      </c>
      <c r="D53" s="7">
        <v>381544.0</v>
      </c>
      <c r="E53" s="7">
        <v>760962.0</v>
      </c>
      <c r="F53" s="7">
        <v>741642.0</v>
      </c>
      <c r="G53" s="7">
        <v>2730047.0</v>
      </c>
      <c r="H53" s="7">
        <v>2.65079782E8</v>
      </c>
      <c r="I53" s="7">
        <v>36916.0</v>
      </c>
      <c r="J53" s="7">
        <v>35718.0</v>
      </c>
      <c r="K53" s="7">
        <v>1198.0</v>
      </c>
      <c r="L53" s="7">
        <v>39.03</v>
      </c>
      <c r="M53" s="7">
        <v>-0.13</v>
      </c>
      <c r="N53" s="7">
        <v>1846.0</v>
      </c>
      <c r="O53" s="7">
        <v>421402.0</v>
      </c>
      <c r="P53" s="7" t="s">
        <v>409</v>
      </c>
      <c r="Q53" s="7">
        <v>172.55</v>
      </c>
      <c r="R53" s="3">
        <f t="shared" si="1"/>
        <v>172.55</v>
      </c>
    </row>
    <row r="54" ht="22.5" customHeight="1">
      <c r="B54" s="7" t="s">
        <v>30</v>
      </c>
      <c r="C54" s="7">
        <v>9824.0</v>
      </c>
      <c r="D54" s="7">
        <v>153979.0</v>
      </c>
      <c r="E54" s="7">
        <v>209417.0</v>
      </c>
      <c r="F54" s="7">
        <v>205823.0</v>
      </c>
      <c r="G54" s="7">
        <v>450821.0</v>
      </c>
      <c r="H54" s="7">
        <v>3.2702299E7</v>
      </c>
      <c r="I54" s="7">
        <v>7652.0</v>
      </c>
      <c r="J54" s="7">
        <v>7319.0</v>
      </c>
      <c r="K54" s="7">
        <v>333.0</v>
      </c>
      <c r="L54" s="7">
        <v>20.88</v>
      </c>
      <c r="M54" s="7">
        <v>-0.08</v>
      </c>
      <c r="N54" s="7">
        <v>527.0</v>
      </c>
      <c r="O54" s="7">
        <v>81898.0</v>
      </c>
      <c r="P54" s="7" t="s">
        <v>409</v>
      </c>
      <c r="Q54" s="7">
        <v>15.83</v>
      </c>
      <c r="R54" s="3">
        <f t="shared" si="1"/>
        <v>15.83</v>
      </c>
    </row>
    <row r="55" ht="22.5" customHeight="1">
      <c r="B55" s="7" t="s">
        <v>214</v>
      </c>
      <c r="C55" s="7">
        <v>1236271.0</v>
      </c>
      <c r="D55" s="7">
        <v>4906536.0</v>
      </c>
      <c r="E55" s="7">
        <v>224058.0</v>
      </c>
      <c r="F55" s="7">
        <v>218586.0</v>
      </c>
      <c r="G55" s="7">
        <v>486021.0</v>
      </c>
      <c r="H55" s="7">
        <v>3.7418419E9</v>
      </c>
      <c r="I55" s="7">
        <v>5897.0</v>
      </c>
      <c r="J55" s="7">
        <v>5544.0</v>
      </c>
      <c r="K55" s="7">
        <v>353.0</v>
      </c>
      <c r="L55" s="7">
        <v>24.43</v>
      </c>
      <c r="M55" s="7">
        <v>-0.07</v>
      </c>
      <c r="N55" s="7">
        <v>569.0</v>
      </c>
      <c r="O55" s="7">
        <v>84345.0</v>
      </c>
      <c r="P55" s="7" t="s">
        <v>410</v>
      </c>
      <c r="Q55" s="7">
        <v>1490.77</v>
      </c>
      <c r="R55" s="3">
        <f t="shared" si="1"/>
        <v>1490.77</v>
      </c>
    </row>
    <row r="56" ht="22.5" customHeight="1">
      <c r="B56" s="7" t="s">
        <v>260</v>
      </c>
      <c r="C56" s="7">
        <v>123133.0</v>
      </c>
      <c r="D56" s="7">
        <v>796517.0</v>
      </c>
      <c r="E56" s="7">
        <v>3243643.0</v>
      </c>
      <c r="F56" s="7">
        <v>3135052.0</v>
      </c>
      <c r="G56" s="7">
        <v>1.0305761E7</v>
      </c>
      <c r="H56" s="7">
        <v>7.334088563E9</v>
      </c>
      <c r="I56" s="7">
        <v>99981.0</v>
      </c>
      <c r="J56" s="7">
        <v>94457.0</v>
      </c>
      <c r="K56" s="7">
        <v>5524.0</v>
      </c>
      <c r="L56" s="7">
        <v>103.3</v>
      </c>
      <c r="M56" s="7">
        <v>-0.11</v>
      </c>
      <c r="N56" s="7">
        <v>8409.0</v>
      </c>
      <c r="O56" s="7">
        <v>1828988.0</v>
      </c>
      <c r="P56" s="7" t="s">
        <v>409</v>
      </c>
      <c r="Q56" s="7">
        <v>4079.4</v>
      </c>
      <c r="R56" s="3">
        <f t="shared" si="1"/>
        <v>4079.4</v>
      </c>
    </row>
    <row r="57" ht="22.5" customHeight="1">
      <c r="B57" s="7" t="s">
        <v>142</v>
      </c>
      <c r="C57" s="7">
        <v>290693.0</v>
      </c>
      <c r="D57" s="7">
        <v>1262210.0</v>
      </c>
      <c r="E57" s="7">
        <v>151058.0</v>
      </c>
      <c r="F57" s="7">
        <v>143850.0</v>
      </c>
      <c r="G57" s="7">
        <v>1186360.0</v>
      </c>
      <c r="H57" s="7">
        <v>3.80254929E8</v>
      </c>
      <c r="I57" s="7">
        <v>8858.0</v>
      </c>
      <c r="J57" s="7">
        <v>8735.0</v>
      </c>
      <c r="K57" s="7">
        <v>123.0</v>
      </c>
      <c r="L57" s="7">
        <v>35.61</v>
      </c>
      <c r="M57" s="7">
        <v>-0.23</v>
      </c>
      <c r="N57" s="7">
        <v>228.0</v>
      </c>
      <c r="O57" s="7">
        <v>233746.0</v>
      </c>
      <c r="P57" s="7" t="s">
        <v>409</v>
      </c>
      <c r="Q57" s="7">
        <v>173.27</v>
      </c>
      <c r="R57" s="3">
        <f t="shared" si="1"/>
        <v>173.27</v>
      </c>
    </row>
    <row r="58" ht="22.5" customHeight="1">
      <c r="B58" s="7" t="s">
        <v>278</v>
      </c>
      <c r="C58" s="7">
        <v>63268.0</v>
      </c>
      <c r="D58" s="7">
        <v>396114.0</v>
      </c>
      <c r="E58" s="7">
        <v>1.5378199E7</v>
      </c>
      <c r="F58" s="7">
        <v>1.5063411E7</v>
      </c>
      <c r="G58" s="7">
        <v>5.2178056E7</v>
      </c>
      <c r="H58" s="7">
        <v>3.968288873E9</v>
      </c>
      <c r="I58" s="7">
        <v>567994.0</v>
      </c>
      <c r="J58" s="7">
        <v>536559.0</v>
      </c>
      <c r="K58" s="7">
        <v>31435.0</v>
      </c>
      <c r="L58" s="7">
        <v>65.75</v>
      </c>
      <c r="M58" s="7">
        <v>-0.1</v>
      </c>
      <c r="N58" s="7">
        <v>46631.0</v>
      </c>
      <c r="O58" s="7">
        <v>6310778.0</v>
      </c>
      <c r="P58" s="7" t="s">
        <v>411</v>
      </c>
      <c r="Q58" s="7">
        <v>5003.88</v>
      </c>
      <c r="R58" s="3">
        <f t="shared" si="1"/>
        <v>10000</v>
      </c>
    </row>
    <row r="59" ht="22.5" customHeight="1">
      <c r="B59" s="7" t="s">
        <v>256</v>
      </c>
      <c r="C59" s="7">
        <v>63268.0</v>
      </c>
      <c r="D59" s="7">
        <v>374457.0</v>
      </c>
      <c r="E59" s="7">
        <v>2805333.0</v>
      </c>
      <c r="F59" s="7">
        <v>2735359.0</v>
      </c>
      <c r="G59" s="7">
        <v>1.0395752E7</v>
      </c>
      <c r="H59" s="7">
        <v>1.170753115E9</v>
      </c>
      <c r="I59" s="7">
        <v>143598.0</v>
      </c>
      <c r="J59" s="7">
        <v>139101.0</v>
      </c>
      <c r="K59" s="7">
        <v>4497.0</v>
      </c>
      <c r="L59" s="7">
        <v>60.56</v>
      </c>
      <c r="M59" s="7">
        <v>-0.12</v>
      </c>
      <c r="N59" s="7">
        <v>6708.0</v>
      </c>
      <c r="O59" s="7">
        <v>1485012.0</v>
      </c>
      <c r="P59" s="7" t="s">
        <v>409</v>
      </c>
      <c r="Q59" s="7">
        <v>695.3</v>
      </c>
      <c r="R59" s="3">
        <f t="shared" si="1"/>
        <v>695.3</v>
      </c>
    </row>
    <row r="60" ht="22.5" customHeight="1">
      <c r="B60" s="7" t="s">
        <v>279</v>
      </c>
      <c r="C60" s="7">
        <v>68940.0</v>
      </c>
      <c r="D60" s="7">
        <v>327952.0</v>
      </c>
      <c r="E60" s="7">
        <v>1.4894556E7</v>
      </c>
      <c r="F60" s="7">
        <v>1.4585848E7</v>
      </c>
      <c r="G60" s="7">
        <v>3.5602327E7</v>
      </c>
      <c r="H60" s="7">
        <v>4.414652668E9</v>
      </c>
      <c r="I60" s="7">
        <v>466411.0</v>
      </c>
      <c r="J60" s="7">
        <v>436627.0</v>
      </c>
      <c r="K60" s="7">
        <v>29784.0</v>
      </c>
      <c r="L60" s="7">
        <v>63.17</v>
      </c>
      <c r="M60" s="7">
        <v>-0.08</v>
      </c>
      <c r="N60" s="7">
        <v>44239.0</v>
      </c>
      <c r="O60" s="7">
        <v>5943450.0</v>
      </c>
      <c r="P60" s="7" t="s">
        <v>411</v>
      </c>
      <c r="Q60" s="7">
        <v>5003.62</v>
      </c>
      <c r="R60" s="3">
        <f t="shared" si="1"/>
        <v>10000</v>
      </c>
    </row>
    <row r="61" ht="22.5" customHeight="1">
      <c r="B61" s="7" t="s">
        <v>247</v>
      </c>
      <c r="C61" s="7">
        <v>68940.0</v>
      </c>
      <c r="D61" s="7">
        <v>310541.0</v>
      </c>
      <c r="E61" s="7">
        <v>1.4741891E7</v>
      </c>
      <c r="F61" s="7">
        <v>1.4448189E7</v>
      </c>
      <c r="G61" s="7">
        <v>3.1353224E7</v>
      </c>
      <c r="H61" s="7">
        <v>5.102272334E9</v>
      </c>
      <c r="I61" s="7">
        <v>436774.0</v>
      </c>
      <c r="J61" s="7">
        <v>410887.0</v>
      </c>
      <c r="K61" s="7">
        <v>25887.0</v>
      </c>
      <c r="L61" s="7">
        <v>57.6</v>
      </c>
      <c r="M61" s="7">
        <v>-0.07</v>
      </c>
      <c r="N61" s="7">
        <v>40139.0</v>
      </c>
      <c r="O61" s="7">
        <v>5499467.0</v>
      </c>
      <c r="P61" s="7" t="s">
        <v>411</v>
      </c>
      <c r="Q61" s="7">
        <v>5003.9</v>
      </c>
      <c r="R61" s="3">
        <f t="shared" si="1"/>
        <v>10000</v>
      </c>
    </row>
    <row r="62" ht="22.5" customHeight="1">
      <c r="B62" s="7" t="s">
        <v>280</v>
      </c>
      <c r="C62" s="7">
        <v>69644.0</v>
      </c>
      <c r="D62" s="7">
        <v>368587.0</v>
      </c>
      <c r="E62" s="7">
        <v>1.2985508E7</v>
      </c>
      <c r="F62" s="7">
        <v>1.2692983E7</v>
      </c>
      <c r="G62" s="7">
        <v>3.1974111E7</v>
      </c>
      <c r="H62" s="7">
        <v>4.113502358E9</v>
      </c>
      <c r="I62" s="7">
        <v>417221.0</v>
      </c>
      <c r="J62" s="7">
        <v>393297.0</v>
      </c>
      <c r="K62" s="7">
        <v>23924.0</v>
      </c>
      <c r="L62" s="7">
        <v>89.28</v>
      </c>
      <c r="M62" s="7">
        <v>-0.09</v>
      </c>
      <c r="N62" s="7">
        <v>35453.0</v>
      </c>
      <c r="O62" s="7">
        <v>6303787.0</v>
      </c>
      <c r="P62" s="7" t="s">
        <v>411</v>
      </c>
      <c r="Q62" s="7">
        <v>5003.88</v>
      </c>
      <c r="R62" s="3">
        <f t="shared" si="1"/>
        <v>10000</v>
      </c>
    </row>
    <row r="63" ht="22.5" customHeight="1">
      <c r="B63" s="7" t="s">
        <v>155</v>
      </c>
      <c r="C63" s="7">
        <v>69644.0</v>
      </c>
      <c r="D63" s="7">
        <v>305432.0</v>
      </c>
      <c r="E63" s="7">
        <v>8245054.0</v>
      </c>
      <c r="F63" s="7">
        <v>8051671.0</v>
      </c>
      <c r="G63" s="7">
        <v>2.0044595E7</v>
      </c>
      <c r="H63" s="7">
        <v>2.572408331E9</v>
      </c>
      <c r="I63" s="7">
        <v>395021.0</v>
      </c>
      <c r="J63" s="7">
        <v>386806.0</v>
      </c>
      <c r="K63" s="7">
        <v>8215.0</v>
      </c>
      <c r="L63" s="7">
        <v>50.16</v>
      </c>
      <c r="M63" s="7">
        <v>-0.1</v>
      </c>
      <c r="N63" s="7">
        <v>12488.0</v>
      </c>
      <c r="O63" s="7">
        <v>5351056.0</v>
      </c>
      <c r="P63" s="7" t="s">
        <v>409</v>
      </c>
      <c r="Q63" s="7">
        <v>3140.71</v>
      </c>
      <c r="R63" s="3">
        <f t="shared" si="1"/>
        <v>3140.71</v>
      </c>
    </row>
    <row r="64" ht="22.5" customHeight="1">
      <c r="B64" s="7" t="s">
        <v>161</v>
      </c>
      <c r="C64" s="7">
        <v>69644.0</v>
      </c>
      <c r="D64" s="7">
        <v>306029.0</v>
      </c>
      <c r="E64" s="7">
        <v>1871385.0</v>
      </c>
      <c r="F64" s="7">
        <v>1824550.0</v>
      </c>
      <c r="G64" s="7">
        <v>4615354.0</v>
      </c>
      <c r="H64" s="7">
        <v>8.79428772E8</v>
      </c>
      <c r="I64" s="7">
        <v>91986.0</v>
      </c>
      <c r="J64" s="7">
        <v>89985.0</v>
      </c>
      <c r="K64" s="7">
        <v>2001.0</v>
      </c>
      <c r="L64" s="7">
        <v>49.37</v>
      </c>
      <c r="M64" s="7">
        <v>-0.1</v>
      </c>
      <c r="N64" s="7">
        <v>3050.0</v>
      </c>
      <c r="O64" s="7">
        <v>1146889.0</v>
      </c>
      <c r="P64" s="7" t="s">
        <v>410</v>
      </c>
      <c r="Q64" s="7">
        <v>522.99</v>
      </c>
      <c r="R64" s="3">
        <f t="shared" si="1"/>
        <v>522.99</v>
      </c>
    </row>
    <row r="65" ht="22.5" customHeight="1">
      <c r="B65" s="7" t="s">
        <v>10</v>
      </c>
      <c r="C65" s="7">
        <v>32852.0</v>
      </c>
      <c r="D65" s="7">
        <v>170331.0</v>
      </c>
      <c r="E65" s="7">
        <v>9581.0</v>
      </c>
      <c r="F65" s="7">
        <v>9164.0</v>
      </c>
      <c r="G65" s="7">
        <v>68090.0</v>
      </c>
      <c r="H65" s="7">
        <v>4194081.0</v>
      </c>
      <c r="I65" s="7">
        <v>784.0</v>
      </c>
      <c r="J65" s="7">
        <v>776.0</v>
      </c>
      <c r="K65" s="7">
        <v>8.0</v>
      </c>
      <c r="L65" s="7">
        <v>15.24</v>
      </c>
      <c r="M65" s="7">
        <v>-0.23</v>
      </c>
      <c r="N65" s="7">
        <v>16.0</v>
      </c>
      <c r="O65" s="7">
        <v>21648.0</v>
      </c>
      <c r="P65" s="7" t="s">
        <v>409</v>
      </c>
      <c r="Q65" s="7">
        <v>2.27</v>
      </c>
      <c r="R65" s="3">
        <f t="shared" si="1"/>
        <v>2.27</v>
      </c>
    </row>
    <row r="66" ht="22.5" customHeight="1">
      <c r="B66" s="7" t="s">
        <v>209</v>
      </c>
      <c r="C66" s="7">
        <v>2750.0</v>
      </c>
      <c r="D66" s="7">
        <v>286160.0</v>
      </c>
      <c r="E66" s="7">
        <v>8178812.0</v>
      </c>
      <c r="F66" s="7">
        <v>7973858.0</v>
      </c>
      <c r="G66" s="7">
        <v>1.8236165E7</v>
      </c>
      <c r="H66" s="7">
        <v>3.57865107E8</v>
      </c>
      <c r="I66" s="7">
        <v>386500.0</v>
      </c>
      <c r="J66" s="7">
        <v>377085.0</v>
      </c>
      <c r="K66" s="7">
        <v>9415.0</v>
      </c>
      <c r="L66" s="7">
        <v>101.42</v>
      </c>
      <c r="M66" s="7">
        <v>-0.05</v>
      </c>
      <c r="N66" s="7">
        <v>13581.0</v>
      </c>
      <c r="O66" s="7">
        <v>6873810.0</v>
      </c>
      <c r="P66" s="7" t="s">
        <v>410</v>
      </c>
      <c r="Q66" s="7">
        <v>1257.92</v>
      </c>
      <c r="R66" s="3">
        <f t="shared" si="1"/>
        <v>1257.92</v>
      </c>
    </row>
    <row r="67" ht="22.5" customHeight="1">
      <c r="B67" s="7" t="s">
        <v>219</v>
      </c>
      <c r="C67" s="7">
        <v>489685.0</v>
      </c>
      <c r="D67" s="7">
        <v>8702447.0</v>
      </c>
      <c r="E67" s="7">
        <v>1826770.0</v>
      </c>
      <c r="F67" s="7">
        <v>1459021.0</v>
      </c>
      <c r="G67" s="7">
        <v>2.0212223E7</v>
      </c>
      <c r="H67" s="7">
        <v>1.0693234933E10</v>
      </c>
      <c r="I67" s="7">
        <v>38182.0</v>
      </c>
      <c r="J67" s="7">
        <v>35938.0</v>
      </c>
      <c r="K67" s="7">
        <v>2244.0</v>
      </c>
      <c r="L67" s="7">
        <v>1234.62</v>
      </c>
      <c r="M67" s="7">
        <v>-0.08</v>
      </c>
      <c r="N67" s="7">
        <v>3267.0</v>
      </c>
      <c r="O67" s="7">
        <v>3412343.0</v>
      </c>
      <c r="P67" s="7" t="s">
        <v>411</v>
      </c>
      <c r="Q67" s="7">
        <v>5003.52</v>
      </c>
      <c r="R67" s="3">
        <f t="shared" si="1"/>
        <v>10000</v>
      </c>
    </row>
    <row r="68" ht="22.5" customHeight="1">
      <c r="B68" s="7" t="s">
        <v>188</v>
      </c>
      <c r="C68" s="7">
        <v>559571.0</v>
      </c>
      <c r="D68" s="7">
        <v>1.0144966E7</v>
      </c>
      <c r="E68" s="7">
        <v>550985.0</v>
      </c>
      <c r="F68" s="7">
        <v>412675.0</v>
      </c>
      <c r="G68" s="7">
        <v>5841585.0</v>
      </c>
      <c r="H68" s="7">
        <v>3.561603208E9</v>
      </c>
      <c r="I68" s="7">
        <v>7616.0</v>
      </c>
      <c r="J68" s="7">
        <v>6902.0</v>
      </c>
      <c r="K68" s="7">
        <v>714.0</v>
      </c>
      <c r="L68" s="7">
        <v>1695.35</v>
      </c>
      <c r="M68" s="7">
        <v>-0.06</v>
      </c>
      <c r="N68" s="7">
        <v>1027.0</v>
      </c>
      <c r="O68" s="7">
        <v>1179989.0</v>
      </c>
      <c r="P68" s="7" t="s">
        <v>410</v>
      </c>
      <c r="Q68" s="7">
        <v>1476.12</v>
      </c>
      <c r="R68" s="3">
        <f t="shared" si="1"/>
        <v>1476.12</v>
      </c>
    </row>
    <row r="69" ht="22.5" customHeight="1">
      <c r="B69" s="7" t="s">
        <v>212</v>
      </c>
      <c r="C69" s="7">
        <v>482548.0</v>
      </c>
      <c r="D69" s="7">
        <v>1368963.0</v>
      </c>
      <c r="E69" s="7">
        <v>4851857.0</v>
      </c>
      <c r="F69" s="7">
        <v>4804216.0</v>
      </c>
      <c r="G69" s="7">
        <v>1.93787109E8</v>
      </c>
      <c r="H69" s="7">
        <v>4.319038365E9</v>
      </c>
      <c r="I69" s="7">
        <v>223337.0</v>
      </c>
      <c r="J69" s="7">
        <v>215415.0</v>
      </c>
      <c r="K69" s="7">
        <v>7922.0</v>
      </c>
      <c r="L69" s="7">
        <v>26.26</v>
      </c>
      <c r="M69" s="7">
        <v>-0.08</v>
      </c>
      <c r="N69" s="7">
        <v>12121.0</v>
      </c>
      <c r="O69" s="7">
        <v>6.5927814E7</v>
      </c>
      <c r="P69" s="7" t="s">
        <v>410</v>
      </c>
      <c r="Q69" s="7">
        <v>1685.63</v>
      </c>
      <c r="R69" s="3">
        <f t="shared" si="1"/>
        <v>1685.63</v>
      </c>
    </row>
    <row r="70" ht="22.5" customHeight="1">
      <c r="B70" s="7" t="s">
        <v>182</v>
      </c>
      <c r="C70" s="7">
        <v>113407.0</v>
      </c>
      <c r="D70" s="7">
        <v>1010625.0</v>
      </c>
      <c r="E70" s="7">
        <v>1415778.0</v>
      </c>
      <c r="F70" s="7">
        <v>1396269.0</v>
      </c>
      <c r="G70" s="7">
        <v>2324366.0</v>
      </c>
      <c r="H70" s="7">
        <v>2.680196186E9</v>
      </c>
      <c r="I70" s="7">
        <v>59620.0</v>
      </c>
      <c r="J70" s="7">
        <v>57676.0</v>
      </c>
      <c r="K70" s="7">
        <v>1944.0</v>
      </c>
      <c r="L70" s="7">
        <v>54.93</v>
      </c>
      <c r="M70" s="7">
        <v>-0.07</v>
      </c>
      <c r="N70" s="7">
        <v>2994.0</v>
      </c>
      <c r="O70" s="7">
        <v>601688.0</v>
      </c>
      <c r="P70" s="7" t="s">
        <v>410</v>
      </c>
      <c r="Q70" s="7">
        <v>1468.86</v>
      </c>
      <c r="R70" s="3">
        <f t="shared" si="1"/>
        <v>1468.86</v>
      </c>
    </row>
    <row r="71" ht="22.5" customHeight="1">
      <c r="B71" s="7" t="s">
        <v>21</v>
      </c>
      <c r="C71" s="7">
        <v>9540.0</v>
      </c>
      <c r="D71" s="7">
        <v>61421.0</v>
      </c>
      <c r="E71" s="7">
        <v>5053518.0</v>
      </c>
      <c r="F71" s="7">
        <v>4968066.0</v>
      </c>
      <c r="G71" s="7">
        <v>1.7461109E7</v>
      </c>
      <c r="H71" s="7">
        <v>1.134811107E9</v>
      </c>
      <c r="I71" s="7">
        <v>230805.0</v>
      </c>
      <c r="J71" s="7">
        <v>223516.0</v>
      </c>
      <c r="K71" s="7">
        <v>7289.0</v>
      </c>
      <c r="L71" s="7">
        <v>42.09</v>
      </c>
      <c r="M71" s="7">
        <v>-0.11</v>
      </c>
      <c r="N71" s="7">
        <v>11492.0</v>
      </c>
      <c r="O71" s="7">
        <v>2312198.0</v>
      </c>
      <c r="P71" s="7" t="s">
        <v>410</v>
      </c>
      <c r="Q71" s="7">
        <v>1095.14</v>
      </c>
      <c r="R71" s="3">
        <f t="shared" si="1"/>
        <v>1095.14</v>
      </c>
    </row>
    <row r="72" ht="22.5" customHeight="1">
      <c r="B72" s="7" t="s">
        <v>51</v>
      </c>
      <c r="C72" s="7">
        <v>66201.0</v>
      </c>
      <c r="D72" s="7">
        <v>915628.0</v>
      </c>
      <c r="E72" s="7">
        <v>151760.0</v>
      </c>
      <c r="F72" s="7">
        <v>146702.0</v>
      </c>
      <c r="G72" s="7">
        <v>2272615.0</v>
      </c>
      <c r="H72" s="7">
        <v>6.2010536E7</v>
      </c>
      <c r="I72" s="7">
        <v>7537.0</v>
      </c>
      <c r="J72" s="7">
        <v>7396.0</v>
      </c>
      <c r="K72" s="7">
        <v>141.0</v>
      </c>
      <c r="L72" s="7">
        <v>14.22</v>
      </c>
      <c r="M72" s="7">
        <v>-0.23</v>
      </c>
      <c r="N72" s="7">
        <v>247.0</v>
      </c>
      <c r="O72" s="7">
        <v>702853.0</v>
      </c>
      <c r="P72" s="7" t="s">
        <v>409</v>
      </c>
      <c r="Q72" s="7">
        <v>59.47</v>
      </c>
      <c r="R72" s="3">
        <f t="shared" si="1"/>
        <v>59.47</v>
      </c>
    </row>
    <row r="73" ht="22.5" customHeight="1">
      <c r="B73" s="7" t="s">
        <v>32</v>
      </c>
      <c r="C73" s="7">
        <v>48941.0</v>
      </c>
      <c r="D73" s="7">
        <v>552747.0</v>
      </c>
      <c r="E73" s="7">
        <v>144018.0</v>
      </c>
      <c r="F73" s="7">
        <v>139035.0</v>
      </c>
      <c r="G73" s="7">
        <v>3974893.0</v>
      </c>
      <c r="H73" s="7">
        <v>9.6786285E7</v>
      </c>
      <c r="I73" s="7">
        <v>10578.0</v>
      </c>
      <c r="J73" s="7">
        <v>10468.0</v>
      </c>
      <c r="K73" s="7">
        <v>110.0</v>
      </c>
      <c r="L73" s="7">
        <v>11.98</v>
      </c>
      <c r="M73" s="7">
        <v>-0.28</v>
      </c>
      <c r="N73" s="7">
        <v>204.0</v>
      </c>
      <c r="O73" s="7">
        <v>674031.0</v>
      </c>
      <c r="P73" s="7" t="s">
        <v>409</v>
      </c>
      <c r="Q73" s="7">
        <v>35.11</v>
      </c>
      <c r="R73" s="3">
        <f t="shared" si="1"/>
        <v>35.11</v>
      </c>
    </row>
    <row r="74" ht="22.5" customHeight="1">
      <c r="B74" s="7" t="s">
        <v>187</v>
      </c>
      <c r="C74" s="7">
        <v>39547.0</v>
      </c>
      <c r="D74" s="7">
        <v>130954.0</v>
      </c>
      <c r="E74" s="7">
        <v>1.4236945E7</v>
      </c>
      <c r="F74" s="7">
        <v>1.3979963E7</v>
      </c>
      <c r="G74" s="7">
        <v>1.66515046E8</v>
      </c>
      <c r="H74" s="7">
        <v>1.56840665E9</v>
      </c>
      <c r="I74" s="7">
        <v>410535.0</v>
      </c>
      <c r="J74" s="7">
        <v>386506.0</v>
      </c>
      <c r="K74" s="7">
        <v>24029.0</v>
      </c>
      <c r="L74" s="7">
        <v>31.81</v>
      </c>
      <c r="M74" s="7">
        <v>-0.14</v>
      </c>
      <c r="N74" s="7">
        <v>37529.0</v>
      </c>
      <c r="O74" s="7">
        <v>2.6919287E7</v>
      </c>
      <c r="P74" s="7" t="s">
        <v>409</v>
      </c>
      <c r="Q74" s="7">
        <v>2299.13</v>
      </c>
      <c r="R74" s="3">
        <f t="shared" si="1"/>
        <v>2299.13</v>
      </c>
    </row>
    <row r="75" ht="22.5" customHeight="1">
      <c r="B75" s="7" t="s">
        <v>251</v>
      </c>
      <c r="C75" s="7">
        <v>772.0</v>
      </c>
      <c r="D75" s="7">
        <v>9601.0</v>
      </c>
      <c r="E75" s="7">
        <v>1.3322395E7</v>
      </c>
      <c r="F75" s="7">
        <v>1.3284543E7</v>
      </c>
      <c r="G75" s="7">
        <v>1.5227253E7</v>
      </c>
      <c r="H75" s="7">
        <v>1.459097674E9</v>
      </c>
      <c r="I75" s="7">
        <v>351275.0</v>
      </c>
      <c r="J75" s="7">
        <v>329928.0</v>
      </c>
      <c r="K75" s="7">
        <v>21347.0</v>
      </c>
      <c r="L75" s="7">
        <v>25.43</v>
      </c>
      <c r="M75" s="7">
        <v>-0.02</v>
      </c>
      <c r="N75" s="7">
        <v>33442.0</v>
      </c>
      <c r="O75" s="7">
        <v>4584490.0</v>
      </c>
      <c r="P75" s="7" t="s">
        <v>410</v>
      </c>
      <c r="Q75" s="7">
        <v>4774.35</v>
      </c>
      <c r="R75" s="3">
        <f t="shared" si="1"/>
        <v>4774.35</v>
      </c>
    </row>
    <row r="76" ht="22.5" customHeight="1">
      <c r="B76" s="7" t="s">
        <v>281</v>
      </c>
      <c r="C76" s="7">
        <v>8527.0</v>
      </c>
      <c r="D76" s="7">
        <v>25482.0</v>
      </c>
      <c r="E76" s="7">
        <v>1.6479667E7</v>
      </c>
      <c r="F76" s="7">
        <v>1.6479642E7</v>
      </c>
      <c r="G76" s="7">
        <v>1.648696E7</v>
      </c>
      <c r="H76" s="7">
        <v>1.5162002168E10</v>
      </c>
      <c r="I76" s="7">
        <v>170376.0</v>
      </c>
      <c r="J76" s="7">
        <v>145044.0</v>
      </c>
      <c r="K76" s="7">
        <v>25332.0</v>
      </c>
      <c r="L76" s="7">
        <v>22.46</v>
      </c>
      <c r="M76" s="7">
        <v>0.0</v>
      </c>
      <c r="N76" s="7">
        <v>42191.0</v>
      </c>
      <c r="O76" s="7">
        <v>5138256.0</v>
      </c>
      <c r="P76" s="7" t="s">
        <v>411</v>
      </c>
      <c r="Q76" s="7">
        <v>5003.94</v>
      </c>
      <c r="R76" s="3">
        <f t="shared" si="1"/>
        <v>10000</v>
      </c>
    </row>
    <row r="77" ht="22.5" customHeight="1">
      <c r="B77" s="7" t="s">
        <v>79</v>
      </c>
      <c r="C77" s="7">
        <v>18607.0</v>
      </c>
      <c r="D77" s="7">
        <v>55720.0</v>
      </c>
      <c r="E77" s="7">
        <v>319166.0</v>
      </c>
      <c r="F77" s="7">
        <v>313990.0</v>
      </c>
      <c r="G77" s="7">
        <v>723954.0</v>
      </c>
      <c r="H77" s="7">
        <v>1.51781196E8</v>
      </c>
      <c r="I77" s="7">
        <v>15285.0</v>
      </c>
      <c r="J77" s="7">
        <v>14811.0</v>
      </c>
      <c r="K77" s="7">
        <v>474.0</v>
      </c>
      <c r="L77" s="7">
        <v>32.9</v>
      </c>
      <c r="M77" s="7">
        <v>-0.09</v>
      </c>
      <c r="N77" s="7">
        <v>738.0</v>
      </c>
      <c r="O77" s="7">
        <v>126841.0</v>
      </c>
      <c r="P77" s="7" t="s">
        <v>410</v>
      </c>
      <c r="Q77" s="7">
        <v>59.08</v>
      </c>
      <c r="R77" s="3">
        <f t="shared" si="1"/>
        <v>59.08</v>
      </c>
    </row>
    <row r="78" ht="22.5" customHeight="1">
      <c r="B78" s="7" t="s">
        <v>282</v>
      </c>
      <c r="C78" s="7">
        <v>98048.0</v>
      </c>
      <c r="D78" s="7">
        <v>293756.0</v>
      </c>
      <c r="E78" s="7">
        <v>5461658.0</v>
      </c>
      <c r="F78" s="7">
        <v>5355589.0</v>
      </c>
      <c r="G78" s="7">
        <v>1.4860867E7</v>
      </c>
      <c r="H78" s="7">
        <v>2.189307413E9</v>
      </c>
      <c r="I78" s="7">
        <v>229563.0</v>
      </c>
      <c r="J78" s="7">
        <v>222041.0</v>
      </c>
      <c r="K78" s="7">
        <v>7522.0</v>
      </c>
      <c r="L78" s="7">
        <v>72.83</v>
      </c>
      <c r="M78" s="7">
        <v>-0.1</v>
      </c>
      <c r="N78" s="7">
        <v>11721.0</v>
      </c>
      <c r="O78" s="7">
        <v>2740080.0</v>
      </c>
      <c r="P78" s="7" t="s">
        <v>410</v>
      </c>
      <c r="Q78" s="7">
        <v>1158.72</v>
      </c>
      <c r="R78" s="3">
        <f t="shared" si="1"/>
        <v>1158.72</v>
      </c>
    </row>
    <row r="79" ht="22.5" customHeight="1">
      <c r="B79" s="7" t="s">
        <v>139</v>
      </c>
      <c r="C79" s="7">
        <v>1314940.0</v>
      </c>
      <c r="D79" s="7">
        <v>2548425.0</v>
      </c>
      <c r="E79" s="7">
        <v>599616.0</v>
      </c>
      <c r="F79" s="7">
        <v>579658.0</v>
      </c>
      <c r="G79" s="7">
        <v>5983743.0</v>
      </c>
      <c r="H79" s="7">
        <v>2.172739454E9</v>
      </c>
      <c r="I79" s="7">
        <v>33240.0</v>
      </c>
      <c r="J79" s="7">
        <v>32609.0</v>
      </c>
      <c r="K79" s="7">
        <v>631.0</v>
      </c>
      <c r="L79" s="7">
        <v>25.39</v>
      </c>
      <c r="M79" s="7">
        <v>-0.19</v>
      </c>
      <c r="N79" s="7">
        <v>1033.0</v>
      </c>
      <c r="O79" s="7">
        <v>674350.0</v>
      </c>
      <c r="P79" s="7" t="s">
        <v>409</v>
      </c>
      <c r="Q79" s="7">
        <v>920.52</v>
      </c>
      <c r="R79" s="3">
        <f t="shared" si="1"/>
        <v>920.52</v>
      </c>
    </row>
    <row r="80" ht="22.5" customHeight="1">
      <c r="B80" s="7" t="s">
        <v>57</v>
      </c>
      <c r="C80" s="7">
        <v>36208.0</v>
      </c>
      <c r="D80" s="7">
        <v>7010872.0</v>
      </c>
      <c r="E80" s="7">
        <v>325953.0</v>
      </c>
      <c r="F80" s="7">
        <v>318341.0</v>
      </c>
      <c r="G80" s="7">
        <v>686216.0</v>
      </c>
      <c r="H80" s="7">
        <v>2.17156339E8</v>
      </c>
      <c r="I80" s="7">
        <v>2507.0</v>
      </c>
      <c r="J80" s="7">
        <v>1963.0</v>
      </c>
      <c r="K80" s="7">
        <v>544.0</v>
      </c>
      <c r="L80" s="7">
        <v>255.17</v>
      </c>
      <c r="M80" s="7">
        <v>-0.05</v>
      </c>
      <c r="N80" s="7">
        <v>808.0</v>
      </c>
      <c r="O80" s="7">
        <v>235056.0</v>
      </c>
      <c r="P80" s="7" t="s">
        <v>410</v>
      </c>
      <c r="Q80" s="7">
        <v>277.5</v>
      </c>
      <c r="R80" s="3">
        <f t="shared" si="1"/>
        <v>277.5</v>
      </c>
    </row>
    <row r="81" ht="22.5" customHeight="1">
      <c r="B81" s="7" t="s">
        <v>97</v>
      </c>
      <c r="C81" s="7">
        <v>506.0</v>
      </c>
      <c r="D81" s="7">
        <v>1406.0</v>
      </c>
      <c r="E81" s="7">
        <v>3985528.0</v>
      </c>
      <c r="F81" s="7">
        <v>3962288.0</v>
      </c>
      <c r="G81" s="7">
        <v>5271371.0</v>
      </c>
      <c r="H81" s="7">
        <v>9.5981623E7</v>
      </c>
      <c r="I81" s="7">
        <v>117367.0</v>
      </c>
      <c r="J81" s="7">
        <v>110633.0</v>
      </c>
      <c r="K81" s="7">
        <v>6734.0</v>
      </c>
      <c r="L81" s="7">
        <v>18.58</v>
      </c>
      <c r="M81" s="7">
        <v>-0.04</v>
      </c>
      <c r="N81" s="7">
        <v>10772.0</v>
      </c>
      <c r="O81" s="7">
        <v>1115148.0</v>
      </c>
      <c r="P81" s="7" t="s">
        <v>410</v>
      </c>
      <c r="Q81" s="7">
        <v>347.05</v>
      </c>
      <c r="R81" s="3">
        <f t="shared" si="1"/>
        <v>347.05</v>
      </c>
    </row>
    <row r="82" ht="22.5" customHeight="1">
      <c r="B82" s="7" t="s">
        <v>196</v>
      </c>
      <c r="C82" s="7">
        <v>511.0</v>
      </c>
      <c r="D82" s="7">
        <v>1418.0</v>
      </c>
      <c r="E82" s="7">
        <v>8577541.0</v>
      </c>
      <c r="F82" s="7">
        <v>8528104.0</v>
      </c>
      <c r="G82" s="7">
        <v>1.2137578E7</v>
      </c>
      <c r="H82" s="7">
        <v>1.7266536E8</v>
      </c>
      <c r="I82" s="7">
        <v>417635.0</v>
      </c>
      <c r="J82" s="7">
        <v>409785.0</v>
      </c>
      <c r="K82" s="7">
        <v>7850.0</v>
      </c>
      <c r="L82" s="7">
        <v>19.62</v>
      </c>
      <c r="M82" s="7">
        <v>-0.05</v>
      </c>
      <c r="N82" s="7">
        <v>12654.0</v>
      </c>
      <c r="O82" s="7">
        <v>4680674.0</v>
      </c>
      <c r="P82" s="7" t="s">
        <v>410</v>
      </c>
      <c r="Q82" s="7">
        <v>819.58</v>
      </c>
      <c r="R82" s="3">
        <f t="shared" si="1"/>
        <v>819.58</v>
      </c>
    </row>
    <row r="83" ht="22.5" customHeight="1">
      <c r="B83" s="7" t="s">
        <v>244</v>
      </c>
      <c r="C83" s="7">
        <v>513.0</v>
      </c>
      <c r="D83" s="7">
        <v>1424.0</v>
      </c>
      <c r="E83" s="7">
        <v>3.0442812E7</v>
      </c>
      <c r="F83" s="7">
        <v>3.0274465E7</v>
      </c>
      <c r="G83" s="7">
        <v>3.5368325E7</v>
      </c>
      <c r="H83" s="7">
        <v>7.65874391E8</v>
      </c>
      <c r="I83" s="7">
        <v>1408273.0</v>
      </c>
      <c r="J83" s="7">
        <v>1380634.0</v>
      </c>
      <c r="K83" s="7">
        <v>27639.0</v>
      </c>
      <c r="L83" s="7">
        <v>20.6</v>
      </c>
      <c r="M83" s="7">
        <v>-0.03</v>
      </c>
      <c r="N83" s="7">
        <v>44460.0</v>
      </c>
      <c r="O83" s="7">
        <v>1.6273877E7</v>
      </c>
      <c r="P83" s="7" t="s">
        <v>411</v>
      </c>
      <c r="Q83" s="7">
        <v>5003.94</v>
      </c>
      <c r="R83" s="3">
        <f t="shared" si="1"/>
        <v>10000</v>
      </c>
    </row>
    <row r="84" ht="22.5" customHeight="1">
      <c r="B84" s="7" t="s">
        <v>283</v>
      </c>
      <c r="C84" s="7">
        <v>621.0</v>
      </c>
      <c r="D84" s="7">
        <v>1733.0</v>
      </c>
      <c r="E84" s="7">
        <v>3.016436E7</v>
      </c>
      <c r="F84" s="7">
        <v>2.9998061E7</v>
      </c>
      <c r="G84" s="7">
        <v>3.9622893E7</v>
      </c>
      <c r="H84" s="7">
        <v>7.23305808E8</v>
      </c>
      <c r="I84" s="7">
        <v>1395401.0</v>
      </c>
      <c r="J84" s="7">
        <v>1368383.0</v>
      </c>
      <c r="K84" s="7">
        <v>27018.0</v>
      </c>
      <c r="L84" s="7">
        <v>24.43</v>
      </c>
      <c r="M84" s="7">
        <v>-0.04</v>
      </c>
      <c r="N84" s="7">
        <v>43843.0</v>
      </c>
      <c r="O84" s="7">
        <v>1.6077975E7</v>
      </c>
      <c r="P84" s="7" t="s">
        <v>411</v>
      </c>
      <c r="Q84" s="7">
        <v>5003.92</v>
      </c>
      <c r="R84" s="3">
        <f t="shared" si="1"/>
        <v>10000</v>
      </c>
    </row>
    <row r="85" ht="22.5" customHeight="1">
      <c r="B85" s="7" t="s">
        <v>215</v>
      </c>
      <c r="C85" s="7">
        <v>15232.0</v>
      </c>
      <c r="D85" s="7">
        <v>147245.0</v>
      </c>
      <c r="E85" s="7">
        <v>8403717.0</v>
      </c>
      <c r="F85" s="7">
        <v>8285465.0</v>
      </c>
      <c r="G85" s="7">
        <v>1.1947571E7</v>
      </c>
      <c r="H85" s="7">
        <v>3.889444708E9</v>
      </c>
      <c r="I85" s="7">
        <v>382032.0</v>
      </c>
      <c r="J85" s="7">
        <v>373858.0</v>
      </c>
      <c r="K85" s="7">
        <v>8174.0</v>
      </c>
      <c r="L85" s="7">
        <v>17.4</v>
      </c>
      <c r="M85" s="7">
        <v>-0.07</v>
      </c>
      <c r="N85" s="7">
        <v>12700.0</v>
      </c>
      <c r="O85" s="7">
        <v>4578599.0</v>
      </c>
      <c r="P85" s="7" t="s">
        <v>410</v>
      </c>
      <c r="Q85" s="7">
        <v>1946.15</v>
      </c>
      <c r="R85" s="3">
        <f t="shared" si="1"/>
        <v>1946.15</v>
      </c>
    </row>
    <row r="86" ht="22.5" customHeight="1">
      <c r="B86" s="7" t="s">
        <v>213</v>
      </c>
      <c r="C86" s="7">
        <v>17850.0</v>
      </c>
      <c r="D86" s="7">
        <v>149132.0</v>
      </c>
      <c r="E86" s="7">
        <v>7984430.0</v>
      </c>
      <c r="F86" s="7">
        <v>7874246.0</v>
      </c>
      <c r="G86" s="7">
        <v>1.1352924E7</v>
      </c>
      <c r="H86" s="7">
        <v>3.809280863E9</v>
      </c>
      <c r="I86" s="7">
        <v>367055.0</v>
      </c>
      <c r="J86" s="7">
        <v>359457.0</v>
      </c>
      <c r="K86" s="7">
        <v>7598.0</v>
      </c>
      <c r="L86" s="7">
        <v>17.36</v>
      </c>
      <c r="M86" s="7">
        <v>-0.07</v>
      </c>
      <c r="N86" s="7">
        <v>11798.0</v>
      </c>
      <c r="O86" s="7">
        <v>4409126.0</v>
      </c>
      <c r="P86" s="7" t="s">
        <v>410</v>
      </c>
      <c r="Q86" s="7">
        <v>1661.47</v>
      </c>
      <c r="R86" s="3">
        <f t="shared" si="1"/>
        <v>1661.47</v>
      </c>
    </row>
    <row r="87" ht="22.5" customHeight="1">
      <c r="B87" s="7" t="s">
        <v>284</v>
      </c>
      <c r="C87" s="7">
        <v>15232.0</v>
      </c>
      <c r="D87" s="7">
        <v>134756.0</v>
      </c>
      <c r="E87" s="7">
        <v>1.5854431E7</v>
      </c>
      <c r="F87" s="7">
        <v>1.5684904E7</v>
      </c>
      <c r="G87" s="7">
        <v>2.0031511E7</v>
      </c>
      <c r="H87" s="7">
        <v>8.290596112E9</v>
      </c>
      <c r="I87" s="7">
        <v>424308.0</v>
      </c>
      <c r="J87" s="7">
        <v>394263.0</v>
      </c>
      <c r="K87" s="7">
        <v>30045.0</v>
      </c>
      <c r="L87" s="7">
        <v>17.31</v>
      </c>
      <c r="M87" s="7">
        <v>-0.04</v>
      </c>
      <c r="N87" s="7">
        <v>46023.0</v>
      </c>
      <c r="O87" s="7">
        <v>4480760.0</v>
      </c>
      <c r="P87" s="7" t="s">
        <v>411</v>
      </c>
      <c r="Q87" s="7">
        <v>5003.93</v>
      </c>
      <c r="R87" s="3">
        <f t="shared" si="1"/>
        <v>10000</v>
      </c>
    </row>
    <row r="88" ht="22.5" customHeight="1">
      <c r="B88" s="7" t="s">
        <v>285</v>
      </c>
      <c r="C88" s="7">
        <v>4660.0</v>
      </c>
      <c r="D88" s="7">
        <v>13676.0</v>
      </c>
      <c r="E88" s="7">
        <v>2.289138E7</v>
      </c>
      <c r="F88" s="7">
        <v>2.2890795E7</v>
      </c>
      <c r="G88" s="7">
        <v>2.2930765E7</v>
      </c>
      <c r="H88" s="7">
        <v>4.346516827E9</v>
      </c>
      <c r="I88" s="7">
        <v>311023.0</v>
      </c>
      <c r="J88" s="7">
        <v>284158.0</v>
      </c>
      <c r="K88" s="7">
        <v>26865.0</v>
      </c>
      <c r="L88" s="7">
        <v>61.73</v>
      </c>
      <c r="M88" s="7">
        <v>0.0</v>
      </c>
      <c r="N88" s="7">
        <v>43714.0</v>
      </c>
      <c r="O88" s="7">
        <v>1.1150973E7</v>
      </c>
      <c r="P88" s="7" t="s">
        <v>411</v>
      </c>
      <c r="Q88" s="7">
        <v>5003.92</v>
      </c>
      <c r="R88" s="3">
        <f t="shared" si="1"/>
        <v>10000</v>
      </c>
    </row>
    <row r="89" ht="22.5" customHeight="1">
      <c r="B89" s="7" t="s">
        <v>286</v>
      </c>
      <c r="C89" s="7">
        <v>3633.0</v>
      </c>
      <c r="D89" s="7">
        <v>10625.0</v>
      </c>
      <c r="E89" s="7">
        <v>1.8565523E7</v>
      </c>
      <c r="F89" s="7">
        <v>1.8324675E7</v>
      </c>
      <c r="G89" s="7">
        <v>2.534795E7</v>
      </c>
      <c r="H89" s="7">
        <v>3.782900599E9</v>
      </c>
      <c r="I89" s="7">
        <v>688743.0</v>
      </c>
      <c r="J89" s="7">
        <v>659981.0</v>
      </c>
      <c r="K89" s="7">
        <v>28762.0</v>
      </c>
      <c r="L89" s="7">
        <v>46.89</v>
      </c>
      <c r="M89" s="7">
        <v>-0.02</v>
      </c>
      <c r="N89" s="7">
        <v>45572.0</v>
      </c>
      <c r="O89" s="7">
        <v>5950269.0</v>
      </c>
      <c r="P89" s="7" t="s">
        <v>411</v>
      </c>
      <c r="Q89" s="7">
        <v>5003.93</v>
      </c>
      <c r="R89" s="3">
        <f t="shared" si="1"/>
        <v>10000</v>
      </c>
    </row>
    <row r="90" ht="22.5" customHeight="1">
      <c r="B90" s="7" t="s">
        <v>53</v>
      </c>
      <c r="C90" s="7">
        <v>15254.0</v>
      </c>
      <c r="D90" s="7">
        <v>68087.0</v>
      </c>
      <c r="E90" s="7">
        <v>789226.0</v>
      </c>
      <c r="F90" s="7">
        <v>781933.0</v>
      </c>
      <c r="G90" s="7">
        <v>1089515.0</v>
      </c>
      <c r="H90" s="7">
        <v>1.29527641E8</v>
      </c>
      <c r="I90" s="7">
        <v>26506.0</v>
      </c>
      <c r="J90" s="7">
        <v>25291.0</v>
      </c>
      <c r="K90" s="7">
        <v>1215.0</v>
      </c>
      <c r="L90" s="7">
        <v>26.83</v>
      </c>
      <c r="M90" s="7">
        <v>-0.04</v>
      </c>
      <c r="N90" s="7">
        <v>1908.0</v>
      </c>
      <c r="O90" s="7">
        <v>279106.0</v>
      </c>
      <c r="P90" s="7" t="s">
        <v>410</v>
      </c>
      <c r="Q90" s="7">
        <v>71.56</v>
      </c>
      <c r="R90" s="3">
        <f t="shared" si="1"/>
        <v>71.56</v>
      </c>
    </row>
    <row r="91" ht="22.5" customHeight="1">
      <c r="B91" s="7" t="s">
        <v>64</v>
      </c>
      <c r="C91" s="7">
        <v>11137.0</v>
      </c>
      <c r="D91" s="7">
        <v>29956.0</v>
      </c>
      <c r="E91" s="7">
        <v>1811077.0</v>
      </c>
      <c r="F91" s="7">
        <v>1784634.0</v>
      </c>
      <c r="G91" s="7">
        <v>2874467.0</v>
      </c>
      <c r="H91" s="7">
        <v>1.93137946E8</v>
      </c>
      <c r="I91" s="7">
        <v>76669.0</v>
      </c>
      <c r="J91" s="7">
        <v>74931.0</v>
      </c>
      <c r="K91" s="7">
        <v>1738.0</v>
      </c>
      <c r="L91" s="7">
        <v>19.42</v>
      </c>
      <c r="M91" s="7">
        <v>-0.06</v>
      </c>
      <c r="N91" s="7">
        <v>2790.0</v>
      </c>
      <c r="O91" s="7">
        <v>970231.0</v>
      </c>
      <c r="P91" s="7" t="s">
        <v>410</v>
      </c>
      <c r="Q91" s="7">
        <v>140.68</v>
      </c>
      <c r="R91" s="3">
        <f t="shared" si="1"/>
        <v>140.68</v>
      </c>
    </row>
    <row r="92" ht="22.5" customHeight="1">
      <c r="B92" s="7" t="s">
        <v>172</v>
      </c>
      <c r="C92" s="7">
        <v>42271.0</v>
      </c>
      <c r="D92" s="7">
        <v>247381.0</v>
      </c>
      <c r="E92" s="7">
        <v>3123863.0</v>
      </c>
      <c r="F92" s="7">
        <v>3056179.0</v>
      </c>
      <c r="G92" s="7">
        <v>7040723.0</v>
      </c>
      <c r="H92" s="7">
        <v>3.04076011E8</v>
      </c>
      <c r="I92" s="7">
        <v>125542.0</v>
      </c>
      <c r="J92" s="7">
        <v>119688.0</v>
      </c>
      <c r="K92" s="7">
        <v>5854.0</v>
      </c>
      <c r="L92" s="7">
        <v>21.28</v>
      </c>
      <c r="M92" s="7">
        <v>-0.12</v>
      </c>
      <c r="N92" s="7">
        <v>8553.0</v>
      </c>
      <c r="O92" s="7">
        <v>1816526.0</v>
      </c>
      <c r="P92" s="7" t="s">
        <v>409</v>
      </c>
      <c r="Q92" s="7">
        <v>431.15</v>
      </c>
      <c r="R92" s="3">
        <f t="shared" si="1"/>
        <v>431.15</v>
      </c>
    </row>
    <row r="93" ht="22.5" customHeight="1">
      <c r="B93" s="7" t="s">
        <v>287</v>
      </c>
      <c r="C93" s="7">
        <v>97.0</v>
      </c>
      <c r="D93" s="7">
        <v>204.0</v>
      </c>
      <c r="E93" s="7">
        <v>3.1142697E7</v>
      </c>
      <c r="F93" s="7">
        <v>3.0920475E7</v>
      </c>
      <c r="G93" s="7">
        <v>3.6863528E7</v>
      </c>
      <c r="H93" s="7">
        <v>4.42799546E8</v>
      </c>
      <c r="I93" s="7">
        <v>1740225.0</v>
      </c>
      <c r="J93" s="7">
        <v>1712859.0</v>
      </c>
      <c r="K93" s="7">
        <v>27366.0</v>
      </c>
      <c r="L93" s="7">
        <v>18.44</v>
      </c>
      <c r="M93" s="7">
        <v>-0.03</v>
      </c>
      <c r="N93" s="7">
        <v>44187.0</v>
      </c>
      <c r="O93" s="7">
        <v>1.5685697E7</v>
      </c>
      <c r="P93" s="7" t="s">
        <v>411</v>
      </c>
      <c r="Q93" s="7">
        <v>5003.9</v>
      </c>
      <c r="R93" s="3">
        <f t="shared" si="1"/>
        <v>10000</v>
      </c>
    </row>
    <row r="94" ht="22.5" customHeight="1">
      <c r="B94" s="7" t="s">
        <v>288</v>
      </c>
      <c r="C94" s="7">
        <v>708290.0</v>
      </c>
      <c r="D94" s="7">
        <v>5425469.0</v>
      </c>
      <c r="E94" s="7">
        <v>4323629.0</v>
      </c>
      <c r="F94" s="7">
        <v>4138549.0</v>
      </c>
      <c r="G94" s="7">
        <v>5.2300442E7</v>
      </c>
      <c r="H94" s="7">
        <v>6.688253195E9</v>
      </c>
      <c r="I94" s="7">
        <v>114530.0</v>
      </c>
      <c r="J94" s="7">
        <v>106847.0</v>
      </c>
      <c r="K94" s="7">
        <v>7683.0</v>
      </c>
      <c r="L94" s="7">
        <v>277.02</v>
      </c>
      <c r="M94" s="7">
        <v>-0.16</v>
      </c>
      <c r="N94" s="7">
        <v>11876.0</v>
      </c>
      <c r="O94" s="7">
        <v>7713975.0</v>
      </c>
      <c r="P94" s="7" t="s">
        <v>411</v>
      </c>
      <c r="Q94" s="7">
        <v>5003.81</v>
      </c>
      <c r="R94" s="3">
        <f t="shared" si="1"/>
        <v>10000</v>
      </c>
    </row>
    <row r="95" ht="22.5" customHeight="1">
      <c r="B95" s="7" t="s">
        <v>289</v>
      </c>
      <c r="C95" s="7">
        <v>6154.0</v>
      </c>
      <c r="D95" s="7">
        <v>18364.0</v>
      </c>
      <c r="E95" s="7">
        <v>1.6109834E7</v>
      </c>
      <c r="F95" s="7">
        <v>1.5943835E7</v>
      </c>
      <c r="G95" s="7">
        <v>2.0682255E7</v>
      </c>
      <c r="H95" s="7">
        <v>3.17664676E9</v>
      </c>
      <c r="I95" s="7">
        <v>529107.0</v>
      </c>
      <c r="J95" s="7">
        <v>499965.0</v>
      </c>
      <c r="K95" s="7">
        <v>29142.0</v>
      </c>
      <c r="L95" s="7">
        <v>51.97</v>
      </c>
      <c r="M95" s="7">
        <v>-0.02</v>
      </c>
      <c r="N95" s="7">
        <v>45518.0</v>
      </c>
      <c r="O95" s="7">
        <v>4109363.0</v>
      </c>
      <c r="P95" s="7" t="s">
        <v>411</v>
      </c>
      <c r="Q95" s="7">
        <v>5003.91</v>
      </c>
      <c r="R95" s="3">
        <f t="shared" si="1"/>
        <v>10000</v>
      </c>
    </row>
    <row r="96" ht="22.5" customHeight="1">
      <c r="B96" s="7" t="s">
        <v>290</v>
      </c>
      <c r="C96" s="7">
        <v>3018.0</v>
      </c>
      <c r="D96" s="7">
        <v>8982.0</v>
      </c>
      <c r="E96" s="7">
        <v>1.8067122E7</v>
      </c>
      <c r="F96" s="7">
        <v>1.7930449E7</v>
      </c>
      <c r="G96" s="7">
        <v>2.1838194E7</v>
      </c>
      <c r="H96" s="7">
        <v>2.107414661E9</v>
      </c>
      <c r="I96" s="7">
        <v>640012.0</v>
      </c>
      <c r="J96" s="7">
        <v>611292.0</v>
      </c>
      <c r="K96" s="7">
        <v>28720.0</v>
      </c>
      <c r="L96" s="7">
        <v>33.41</v>
      </c>
      <c r="M96" s="7">
        <v>-0.02</v>
      </c>
      <c r="N96" s="7">
        <v>45534.0</v>
      </c>
      <c r="O96" s="7">
        <v>5500143.0</v>
      </c>
      <c r="P96" s="7" t="s">
        <v>411</v>
      </c>
      <c r="Q96" s="7">
        <v>5003.91</v>
      </c>
      <c r="R96" s="3">
        <f t="shared" si="1"/>
        <v>10000</v>
      </c>
    </row>
    <row r="97" ht="22.5" customHeight="1">
      <c r="B97" s="7" t="s">
        <v>291</v>
      </c>
      <c r="C97" s="7">
        <v>4838.0</v>
      </c>
      <c r="D97" s="7">
        <v>14428.0</v>
      </c>
      <c r="E97" s="7">
        <v>1.3212996E7</v>
      </c>
      <c r="F97" s="7">
        <v>1.3101483E7</v>
      </c>
      <c r="G97" s="7">
        <v>1.7557166E7</v>
      </c>
      <c r="H97" s="7">
        <v>1.888142262E9</v>
      </c>
      <c r="I97" s="7">
        <v>525177.0</v>
      </c>
      <c r="J97" s="7">
        <v>503671.0</v>
      </c>
      <c r="K97" s="7">
        <v>21506.0</v>
      </c>
      <c r="L97" s="7">
        <v>48.36</v>
      </c>
      <c r="M97" s="7">
        <v>-0.03</v>
      </c>
      <c r="N97" s="7">
        <v>33430.0</v>
      </c>
      <c r="O97" s="7">
        <v>4085638.0</v>
      </c>
      <c r="P97" s="7" t="s">
        <v>411</v>
      </c>
      <c r="Q97" s="7">
        <v>5003.93</v>
      </c>
      <c r="R97" s="3">
        <f t="shared" si="1"/>
        <v>10000</v>
      </c>
    </row>
    <row r="98" ht="22.5" customHeight="1">
      <c r="B98" s="7" t="s">
        <v>292</v>
      </c>
      <c r="C98" s="7">
        <v>7193.0</v>
      </c>
      <c r="D98" s="7">
        <v>21469.0</v>
      </c>
      <c r="E98" s="7">
        <v>1.3514974E7</v>
      </c>
      <c r="F98" s="7">
        <v>1.3374967E7</v>
      </c>
      <c r="G98" s="7">
        <v>1.8215752E7</v>
      </c>
      <c r="H98" s="7">
        <v>2.288259238E9</v>
      </c>
      <c r="I98" s="7">
        <v>523709.0</v>
      </c>
      <c r="J98" s="7">
        <v>500408.0</v>
      </c>
      <c r="K98" s="7">
        <v>23301.0</v>
      </c>
      <c r="L98" s="7">
        <v>66.95</v>
      </c>
      <c r="M98" s="7">
        <v>-0.03</v>
      </c>
      <c r="N98" s="7">
        <v>35677.0</v>
      </c>
      <c r="O98" s="7">
        <v>4107533.0</v>
      </c>
      <c r="P98" s="7" t="s">
        <v>411</v>
      </c>
      <c r="Q98" s="7">
        <v>5003.74</v>
      </c>
      <c r="R98" s="3">
        <f t="shared" si="1"/>
        <v>10000</v>
      </c>
    </row>
    <row r="99" ht="22.5" customHeight="1">
      <c r="B99" s="7" t="s">
        <v>137</v>
      </c>
      <c r="C99" s="7">
        <v>3105.0</v>
      </c>
      <c r="D99" s="7">
        <v>9242.0</v>
      </c>
      <c r="E99" s="7">
        <v>8427169.0</v>
      </c>
      <c r="F99" s="7">
        <v>8343875.0</v>
      </c>
      <c r="G99" s="7">
        <v>1.2288445E7</v>
      </c>
      <c r="H99" s="7">
        <v>7.93391994E8</v>
      </c>
      <c r="I99" s="7">
        <v>475634.0</v>
      </c>
      <c r="J99" s="7">
        <v>467498.0</v>
      </c>
      <c r="K99" s="7">
        <v>8136.0</v>
      </c>
      <c r="L99" s="7">
        <v>32.38</v>
      </c>
      <c r="M99" s="7">
        <v>-0.05</v>
      </c>
      <c r="N99" s="7">
        <v>12701.0</v>
      </c>
      <c r="O99" s="7">
        <v>4264050.0</v>
      </c>
      <c r="P99" s="7" t="s">
        <v>410</v>
      </c>
      <c r="Q99" s="7">
        <v>2263.99</v>
      </c>
      <c r="R99" s="3">
        <f t="shared" si="1"/>
        <v>2263.99</v>
      </c>
    </row>
    <row r="100" ht="22.5" customHeight="1">
      <c r="B100" s="7" t="s">
        <v>77</v>
      </c>
      <c r="C100" s="7">
        <v>4719.0</v>
      </c>
      <c r="D100" s="7">
        <v>14071.0</v>
      </c>
      <c r="E100" s="7">
        <v>7685643.0</v>
      </c>
      <c r="F100" s="7">
        <v>7602470.0</v>
      </c>
      <c r="G100" s="7">
        <v>1.2302034E7</v>
      </c>
      <c r="H100" s="7">
        <v>8.8350211E8</v>
      </c>
      <c r="I100" s="7">
        <v>414222.0</v>
      </c>
      <c r="J100" s="7">
        <v>406382.0</v>
      </c>
      <c r="K100" s="7">
        <v>7840.0</v>
      </c>
      <c r="L100" s="7">
        <v>37.91</v>
      </c>
      <c r="M100" s="7">
        <v>-0.05</v>
      </c>
      <c r="N100" s="7">
        <v>12039.0</v>
      </c>
      <c r="O100" s="7">
        <v>3940201.0</v>
      </c>
      <c r="P100" s="7" t="s">
        <v>410</v>
      </c>
      <c r="Q100" s="7">
        <v>1846.41</v>
      </c>
      <c r="R100" s="3">
        <f t="shared" si="1"/>
        <v>1846.41</v>
      </c>
    </row>
    <row r="101" ht="22.5" customHeight="1">
      <c r="B101" s="7" t="s">
        <v>293</v>
      </c>
      <c r="C101" s="7">
        <v>4000.0</v>
      </c>
      <c r="D101" s="7">
        <v>11914.0</v>
      </c>
      <c r="E101" s="7">
        <v>1.7226292E7</v>
      </c>
      <c r="F101" s="7">
        <v>1.7070916E7</v>
      </c>
      <c r="G101" s="7">
        <v>2.2119287E7</v>
      </c>
      <c r="H101" s="7">
        <v>2.088134878E9</v>
      </c>
      <c r="I101" s="7">
        <v>588745.0</v>
      </c>
      <c r="J101" s="7">
        <v>559096.0</v>
      </c>
      <c r="K101" s="7">
        <v>29649.0</v>
      </c>
      <c r="L101" s="7">
        <v>43.74</v>
      </c>
      <c r="M101" s="7">
        <v>-0.03</v>
      </c>
      <c r="N101" s="7">
        <v>46448.0</v>
      </c>
      <c r="O101" s="7">
        <v>4780243.0</v>
      </c>
      <c r="P101" s="7" t="s">
        <v>411</v>
      </c>
      <c r="Q101" s="7">
        <v>5003.89</v>
      </c>
      <c r="R101" s="3">
        <f t="shared" si="1"/>
        <v>10000</v>
      </c>
    </row>
    <row r="102" ht="22.5" customHeight="1">
      <c r="B102" s="7" t="s">
        <v>294</v>
      </c>
      <c r="C102" s="7">
        <v>4249.0</v>
      </c>
      <c r="D102" s="7">
        <v>12662.0</v>
      </c>
      <c r="E102" s="7">
        <v>1.2201423E7</v>
      </c>
      <c r="F102" s="7">
        <v>1.2089192E7</v>
      </c>
      <c r="G102" s="7">
        <v>1.6310664E7</v>
      </c>
      <c r="H102" s="7">
        <v>1.566009006E9</v>
      </c>
      <c r="I102" s="7">
        <v>505050.0</v>
      </c>
      <c r="J102" s="7">
        <v>486717.0</v>
      </c>
      <c r="K102" s="7">
        <v>18333.0</v>
      </c>
      <c r="L102" s="7">
        <v>47.8</v>
      </c>
      <c r="M102" s="7">
        <v>-0.03</v>
      </c>
      <c r="N102" s="7">
        <v>28704.0</v>
      </c>
      <c r="O102" s="7">
        <v>4140255.0</v>
      </c>
      <c r="P102" s="7" t="s">
        <v>411</v>
      </c>
      <c r="Q102" s="7">
        <v>5003.94</v>
      </c>
      <c r="R102" s="3">
        <f t="shared" si="1"/>
        <v>10000</v>
      </c>
    </row>
    <row r="103" ht="22.5" customHeight="1">
      <c r="B103" s="7" t="s">
        <v>295</v>
      </c>
      <c r="C103" s="7">
        <v>5550.0</v>
      </c>
      <c r="D103" s="7">
        <v>16552.0</v>
      </c>
      <c r="E103" s="7">
        <v>1.4039167E7</v>
      </c>
      <c r="F103" s="7">
        <v>1.3906424E7</v>
      </c>
      <c r="G103" s="7">
        <v>1.8473572E7</v>
      </c>
      <c r="H103" s="7">
        <v>2.011794228E9</v>
      </c>
      <c r="I103" s="7">
        <v>517100.0</v>
      </c>
      <c r="J103" s="7">
        <v>493330.0</v>
      </c>
      <c r="K103" s="7">
        <v>23770.0</v>
      </c>
      <c r="L103" s="7">
        <v>58.55</v>
      </c>
      <c r="M103" s="7">
        <v>-0.03</v>
      </c>
      <c r="N103" s="7">
        <v>36960.0</v>
      </c>
      <c r="O103" s="7">
        <v>4115665.0</v>
      </c>
      <c r="P103" s="7" t="s">
        <v>411</v>
      </c>
      <c r="Q103" s="7">
        <v>5003.92</v>
      </c>
      <c r="R103" s="3">
        <f t="shared" si="1"/>
        <v>10000</v>
      </c>
    </row>
    <row r="104" ht="22.5" customHeight="1">
      <c r="B104" s="7" t="s">
        <v>296</v>
      </c>
      <c r="C104" s="7">
        <v>7282.0</v>
      </c>
      <c r="D104" s="7">
        <v>21738.0</v>
      </c>
      <c r="E104" s="7">
        <v>1.6412992E7</v>
      </c>
      <c r="F104" s="7">
        <v>1.6273806E7</v>
      </c>
      <c r="G104" s="7">
        <v>2.0893348E7</v>
      </c>
      <c r="H104" s="7">
        <v>3.488779479E9</v>
      </c>
      <c r="I104" s="7">
        <v>528785.0</v>
      </c>
      <c r="J104" s="7">
        <v>498719.0</v>
      </c>
      <c r="K104" s="7">
        <v>30066.0</v>
      </c>
      <c r="L104" s="7">
        <v>57.02</v>
      </c>
      <c r="M104" s="7">
        <v>-0.02</v>
      </c>
      <c r="N104" s="7">
        <v>46863.0</v>
      </c>
      <c r="O104" s="7">
        <v>4138361.0</v>
      </c>
      <c r="P104" s="7" t="s">
        <v>411</v>
      </c>
      <c r="Q104" s="7">
        <v>5003.78</v>
      </c>
      <c r="R104" s="3">
        <f t="shared" si="1"/>
        <v>10000</v>
      </c>
    </row>
    <row r="105" ht="22.5" customHeight="1">
      <c r="B105" s="7" t="s">
        <v>136</v>
      </c>
      <c r="C105" s="7">
        <v>2616.0</v>
      </c>
      <c r="D105" s="7">
        <v>7788.0</v>
      </c>
      <c r="E105" s="7">
        <v>2856954.0</v>
      </c>
      <c r="F105" s="7">
        <v>2834563.0</v>
      </c>
      <c r="G105" s="7">
        <v>3731595.0</v>
      </c>
      <c r="H105" s="7">
        <v>3.16136113E8</v>
      </c>
      <c r="I105" s="7">
        <v>119687.0</v>
      </c>
      <c r="J105" s="7">
        <v>115654.0</v>
      </c>
      <c r="K105" s="7">
        <v>4033.0</v>
      </c>
      <c r="L105" s="7">
        <v>28.42</v>
      </c>
      <c r="M105" s="7">
        <v>-0.03</v>
      </c>
      <c r="N105" s="7">
        <v>6332.0</v>
      </c>
      <c r="O105" s="7">
        <v>1094289.0</v>
      </c>
      <c r="P105" s="7" t="s">
        <v>410</v>
      </c>
      <c r="Q105" s="7">
        <v>404.27</v>
      </c>
      <c r="R105" s="3">
        <f t="shared" si="1"/>
        <v>404.27</v>
      </c>
    </row>
    <row r="106" ht="22.5" customHeight="1">
      <c r="B106" s="7" t="s">
        <v>25</v>
      </c>
      <c r="C106" s="7">
        <v>2205.0</v>
      </c>
      <c r="D106" s="7">
        <v>6555.0</v>
      </c>
      <c r="E106" s="7">
        <v>2404056.0</v>
      </c>
      <c r="F106" s="7">
        <v>2382445.0</v>
      </c>
      <c r="G106" s="7">
        <v>3225125.0</v>
      </c>
      <c r="H106" s="7">
        <v>2.14406871E8</v>
      </c>
      <c r="I106" s="7">
        <v>118423.0</v>
      </c>
      <c r="J106" s="7">
        <v>115640.0</v>
      </c>
      <c r="K106" s="7">
        <v>2783.0</v>
      </c>
      <c r="L106" s="7">
        <v>25.68</v>
      </c>
      <c r="M106" s="7">
        <v>-0.04</v>
      </c>
      <c r="N106" s="7">
        <v>4385.0</v>
      </c>
      <c r="O106" s="7">
        <v>1074088.0</v>
      </c>
      <c r="P106" s="7" t="s">
        <v>410</v>
      </c>
      <c r="Q106" s="7">
        <v>303.28</v>
      </c>
      <c r="R106" s="3">
        <f t="shared" si="1"/>
        <v>303.28</v>
      </c>
    </row>
    <row r="107" ht="22.5" customHeight="1">
      <c r="B107" s="7" t="s">
        <v>126</v>
      </c>
      <c r="C107" s="7">
        <v>2089.0</v>
      </c>
      <c r="D107" s="7">
        <v>6206.0</v>
      </c>
      <c r="E107" s="7">
        <v>2374412.0</v>
      </c>
      <c r="F107" s="7">
        <v>2355054.0</v>
      </c>
      <c r="G107" s="7">
        <v>2980905.0</v>
      </c>
      <c r="H107" s="7">
        <v>2.37168978E8</v>
      </c>
      <c r="I107" s="7">
        <v>106027.0</v>
      </c>
      <c r="J107" s="7">
        <v>103363.0</v>
      </c>
      <c r="K107" s="7">
        <v>2664.0</v>
      </c>
      <c r="L107" s="7">
        <v>27.04</v>
      </c>
      <c r="M107" s="7">
        <v>-0.03</v>
      </c>
      <c r="N107" s="7">
        <v>4222.0</v>
      </c>
      <c r="O107" s="7">
        <v>1110513.0</v>
      </c>
      <c r="P107" s="7" t="s">
        <v>410</v>
      </c>
      <c r="Q107" s="7">
        <v>341.95</v>
      </c>
      <c r="R107" s="3">
        <f t="shared" si="1"/>
        <v>341.95</v>
      </c>
    </row>
    <row r="108" ht="22.5" customHeight="1">
      <c r="B108" s="7" t="s">
        <v>109</v>
      </c>
      <c r="C108" s="7">
        <v>2275.0</v>
      </c>
      <c r="D108" s="7">
        <v>6764.0</v>
      </c>
      <c r="E108" s="7">
        <v>2293451.0</v>
      </c>
      <c r="F108" s="7">
        <v>2270317.0</v>
      </c>
      <c r="G108" s="7">
        <v>3126786.0</v>
      </c>
      <c r="H108" s="7">
        <v>2.32250576E8</v>
      </c>
      <c r="I108" s="7">
        <v>116484.0</v>
      </c>
      <c r="J108" s="7">
        <v>113917.0</v>
      </c>
      <c r="K108" s="7">
        <v>2567.0</v>
      </c>
      <c r="L108" s="7">
        <v>25.89</v>
      </c>
      <c r="M108" s="7">
        <v>-0.04</v>
      </c>
      <c r="N108" s="7">
        <v>3999.0</v>
      </c>
      <c r="O108" s="7">
        <v>1100189.0</v>
      </c>
      <c r="P108" s="7" t="s">
        <v>410</v>
      </c>
      <c r="Q108" s="7">
        <v>331.54</v>
      </c>
      <c r="R108" s="3">
        <f t="shared" si="1"/>
        <v>331.54</v>
      </c>
    </row>
    <row r="109" ht="22.5" customHeight="1">
      <c r="B109" s="7" t="s">
        <v>297</v>
      </c>
      <c r="C109" s="7">
        <v>3278.0</v>
      </c>
      <c r="D109" s="7">
        <v>9760.0</v>
      </c>
      <c r="E109" s="7">
        <v>1.5026056E7</v>
      </c>
      <c r="F109" s="7">
        <v>1.4909505E7</v>
      </c>
      <c r="G109" s="7">
        <v>1.8319219E7</v>
      </c>
      <c r="H109" s="7">
        <v>1.896494789E9</v>
      </c>
      <c r="I109" s="7">
        <v>548269.0</v>
      </c>
      <c r="J109" s="7">
        <v>522774.0</v>
      </c>
      <c r="K109" s="7">
        <v>25495.0</v>
      </c>
      <c r="L109" s="7">
        <v>32.82</v>
      </c>
      <c r="M109" s="7">
        <v>-0.02</v>
      </c>
      <c r="N109" s="7">
        <v>40216.0</v>
      </c>
      <c r="O109" s="7">
        <v>4030214.0</v>
      </c>
      <c r="P109" s="7" t="s">
        <v>411</v>
      </c>
      <c r="Q109" s="7">
        <v>5003.96</v>
      </c>
      <c r="R109" s="3">
        <f t="shared" si="1"/>
        <v>10000</v>
      </c>
    </row>
    <row r="110" ht="22.5" customHeight="1">
      <c r="B110" s="7" t="s">
        <v>298</v>
      </c>
      <c r="C110" s="7">
        <v>3096.0</v>
      </c>
      <c r="D110" s="7">
        <v>9215.0</v>
      </c>
      <c r="E110" s="7">
        <v>1.516808E7</v>
      </c>
      <c r="F110" s="7">
        <v>1.5035873E7</v>
      </c>
      <c r="G110" s="7">
        <v>1.9072499E7</v>
      </c>
      <c r="H110" s="7">
        <v>1.749974839E9</v>
      </c>
      <c r="I110" s="7">
        <v>531673.0</v>
      </c>
      <c r="J110" s="7">
        <v>506095.0</v>
      </c>
      <c r="K110" s="7">
        <v>25578.0</v>
      </c>
      <c r="L110" s="7">
        <v>33.75</v>
      </c>
      <c r="M110" s="7">
        <v>-0.03</v>
      </c>
      <c r="N110" s="7">
        <v>40518.0</v>
      </c>
      <c r="O110" s="7">
        <v>4089044.0</v>
      </c>
      <c r="P110" s="7" t="s">
        <v>411</v>
      </c>
      <c r="Q110" s="7">
        <v>5003.92</v>
      </c>
      <c r="R110" s="3">
        <f t="shared" si="1"/>
        <v>10000</v>
      </c>
    </row>
    <row r="111" ht="22.5" customHeight="1">
      <c r="B111" s="7" t="s">
        <v>299</v>
      </c>
      <c r="C111" s="7">
        <v>4136.0</v>
      </c>
      <c r="D111" s="7">
        <v>12323.0</v>
      </c>
      <c r="E111" s="7">
        <v>1.5855349E7</v>
      </c>
      <c r="F111" s="7">
        <v>1.5697421E7</v>
      </c>
      <c r="G111" s="7">
        <v>2.1903528E7</v>
      </c>
      <c r="H111" s="7">
        <v>1.98371272E9</v>
      </c>
      <c r="I111" s="7">
        <v>511423.0</v>
      </c>
      <c r="J111" s="7">
        <v>484336.0</v>
      </c>
      <c r="K111" s="7">
        <v>27087.0</v>
      </c>
      <c r="L111" s="7">
        <v>35.29</v>
      </c>
      <c r="M111" s="7">
        <v>-0.03</v>
      </c>
      <c r="N111" s="7">
        <v>43082.0</v>
      </c>
      <c r="O111" s="7">
        <v>4183715.0</v>
      </c>
      <c r="P111" s="7" t="s">
        <v>411</v>
      </c>
      <c r="Q111" s="7">
        <v>5003.93</v>
      </c>
      <c r="R111" s="3">
        <f t="shared" si="1"/>
        <v>10000</v>
      </c>
    </row>
    <row r="112" ht="22.5" customHeight="1">
      <c r="B112" s="7" t="s">
        <v>300</v>
      </c>
      <c r="C112" s="7">
        <v>6576.0</v>
      </c>
      <c r="D112" s="7">
        <v>19630.0</v>
      </c>
      <c r="E112" s="7">
        <v>1.41838E7</v>
      </c>
      <c r="F112" s="7">
        <v>1.4051804E7</v>
      </c>
      <c r="G112" s="7">
        <v>1.881244E7</v>
      </c>
      <c r="H112" s="7">
        <v>2.74186224E9</v>
      </c>
      <c r="I112" s="7">
        <v>496781.0</v>
      </c>
      <c r="J112" s="7">
        <v>473242.0</v>
      </c>
      <c r="K112" s="7">
        <v>23539.0</v>
      </c>
      <c r="L112" s="7">
        <v>49.01</v>
      </c>
      <c r="M112" s="7">
        <v>-0.02</v>
      </c>
      <c r="N112" s="7">
        <v>36956.0</v>
      </c>
      <c r="O112" s="7">
        <v>4192742.0</v>
      </c>
      <c r="P112" s="7" t="s">
        <v>411</v>
      </c>
      <c r="Q112" s="7">
        <v>5003.92</v>
      </c>
      <c r="R112" s="3">
        <f t="shared" si="1"/>
        <v>10000</v>
      </c>
    </row>
    <row r="113" ht="22.5" customHeight="1">
      <c r="B113" s="7" t="s">
        <v>301</v>
      </c>
      <c r="C113" s="7">
        <v>3001.0</v>
      </c>
      <c r="D113" s="7">
        <v>8931.0</v>
      </c>
      <c r="E113" s="7">
        <v>1.486318E7</v>
      </c>
      <c r="F113" s="7">
        <v>1.4751149E7</v>
      </c>
      <c r="G113" s="7">
        <v>1.9192757E7</v>
      </c>
      <c r="H113" s="7">
        <v>1.560373446E9</v>
      </c>
      <c r="I113" s="7">
        <v>509995.0</v>
      </c>
      <c r="J113" s="7">
        <v>484538.0</v>
      </c>
      <c r="K113" s="7">
        <v>25457.0</v>
      </c>
      <c r="L113" s="7">
        <v>33.21</v>
      </c>
      <c r="M113" s="7">
        <v>-0.03</v>
      </c>
      <c r="N113" s="7">
        <v>39924.0</v>
      </c>
      <c r="O113" s="7">
        <v>4178470.0</v>
      </c>
      <c r="P113" s="7" t="s">
        <v>411</v>
      </c>
      <c r="Q113" s="7">
        <v>5003.95</v>
      </c>
      <c r="R113" s="3">
        <f t="shared" si="1"/>
        <v>10000</v>
      </c>
    </row>
    <row r="114" ht="22.5" customHeight="1">
      <c r="B114" s="7" t="s">
        <v>302</v>
      </c>
      <c r="C114" s="7">
        <v>4344.0</v>
      </c>
      <c r="D114" s="7">
        <v>12948.0</v>
      </c>
      <c r="E114" s="7">
        <v>1.5735206E7</v>
      </c>
      <c r="F114" s="7">
        <v>1.5594408E7</v>
      </c>
      <c r="G114" s="7">
        <v>2.0192414E7</v>
      </c>
      <c r="H114" s="7">
        <v>2.162995171E9</v>
      </c>
      <c r="I114" s="7">
        <v>511259.0</v>
      </c>
      <c r="J114" s="7">
        <v>484707.0</v>
      </c>
      <c r="K114" s="7">
        <v>26552.0</v>
      </c>
      <c r="L114" s="7">
        <v>38.11</v>
      </c>
      <c r="M114" s="7">
        <v>-0.02</v>
      </c>
      <c r="N114" s="7">
        <v>42366.0</v>
      </c>
      <c r="O114" s="7">
        <v>4153350.0</v>
      </c>
      <c r="P114" s="7" t="s">
        <v>411</v>
      </c>
      <c r="Q114" s="7">
        <v>5003.9</v>
      </c>
      <c r="R114" s="3">
        <f t="shared" si="1"/>
        <v>10000</v>
      </c>
    </row>
    <row r="115" ht="22.5" customHeight="1">
      <c r="B115" s="7" t="s">
        <v>303</v>
      </c>
      <c r="C115" s="7">
        <v>4699.0</v>
      </c>
      <c r="D115" s="7">
        <v>14013.0</v>
      </c>
      <c r="E115" s="7">
        <v>1.8113698E7</v>
      </c>
      <c r="F115" s="7">
        <v>1.7949838E7</v>
      </c>
      <c r="G115" s="7">
        <v>2.5545557E7</v>
      </c>
      <c r="H115" s="7">
        <v>2.149583334E9</v>
      </c>
      <c r="I115" s="7">
        <v>639596.0</v>
      </c>
      <c r="J115" s="7">
        <v>609830.0</v>
      </c>
      <c r="K115" s="7">
        <v>29766.0</v>
      </c>
      <c r="L115" s="7">
        <v>42.26</v>
      </c>
      <c r="M115" s="7">
        <v>-0.04</v>
      </c>
      <c r="N115" s="7">
        <v>46563.0</v>
      </c>
      <c r="O115" s="7">
        <v>5609701.0</v>
      </c>
      <c r="P115" s="7" t="s">
        <v>411</v>
      </c>
      <c r="Q115" s="7">
        <v>5003.76</v>
      </c>
      <c r="R115" s="3">
        <f t="shared" si="1"/>
        <v>10000</v>
      </c>
    </row>
    <row r="116" ht="22.5" customHeight="1">
      <c r="B116" s="7" t="s">
        <v>304</v>
      </c>
      <c r="C116" s="7">
        <v>4292.0</v>
      </c>
      <c r="D116" s="7">
        <v>12790.0</v>
      </c>
      <c r="E116" s="7">
        <v>1.9172408E7</v>
      </c>
      <c r="F116" s="7">
        <v>1.9026688E7</v>
      </c>
      <c r="G116" s="7">
        <v>2.4514782E7</v>
      </c>
      <c r="H116" s="7">
        <v>2.239995903E9</v>
      </c>
      <c r="I116" s="7">
        <v>804895.0</v>
      </c>
      <c r="J116" s="7">
        <v>773955.0</v>
      </c>
      <c r="K116" s="7">
        <v>30940.0</v>
      </c>
      <c r="L116" s="7">
        <v>47.36</v>
      </c>
      <c r="M116" s="7">
        <v>-0.03</v>
      </c>
      <c r="N116" s="7">
        <v>47728.0</v>
      </c>
      <c r="O116" s="7">
        <v>6135701.0</v>
      </c>
      <c r="P116" s="7" t="s">
        <v>411</v>
      </c>
      <c r="Q116" s="7">
        <v>5003.81</v>
      </c>
      <c r="R116" s="3">
        <f t="shared" si="1"/>
        <v>10000</v>
      </c>
    </row>
    <row r="117" ht="22.5" customHeight="1">
      <c r="B117" s="7" t="s">
        <v>305</v>
      </c>
      <c r="C117" s="7">
        <v>5418.0</v>
      </c>
      <c r="D117" s="7">
        <v>16168.0</v>
      </c>
      <c r="E117" s="7">
        <v>1.2909804E7</v>
      </c>
      <c r="F117" s="7">
        <v>1.2805538E7</v>
      </c>
      <c r="G117" s="7">
        <v>1.7241458E7</v>
      </c>
      <c r="H117" s="7">
        <v>1.98985517E9</v>
      </c>
      <c r="I117" s="7">
        <v>506112.0</v>
      </c>
      <c r="J117" s="7">
        <v>485534.0</v>
      </c>
      <c r="K117" s="7">
        <v>20578.0</v>
      </c>
      <c r="L117" s="7">
        <v>46.82</v>
      </c>
      <c r="M117" s="7">
        <v>-0.03</v>
      </c>
      <c r="N117" s="7">
        <v>32036.0</v>
      </c>
      <c r="O117" s="7">
        <v>4173217.0</v>
      </c>
      <c r="P117" s="7" t="s">
        <v>411</v>
      </c>
      <c r="Q117" s="7">
        <v>5003.92</v>
      </c>
      <c r="R117" s="3">
        <f t="shared" si="1"/>
        <v>10000</v>
      </c>
    </row>
    <row r="118" ht="22.5" customHeight="1">
      <c r="B118" s="7" t="s">
        <v>306</v>
      </c>
      <c r="C118" s="7">
        <v>5702.0</v>
      </c>
      <c r="D118" s="7">
        <v>17010.0</v>
      </c>
      <c r="E118" s="7">
        <v>1.3588582E7</v>
      </c>
      <c r="F118" s="7">
        <v>1.3469149E7</v>
      </c>
      <c r="G118" s="7">
        <v>1.7522012E7</v>
      </c>
      <c r="H118" s="7">
        <v>1.989231924E9</v>
      </c>
      <c r="I118" s="7">
        <v>522681.0</v>
      </c>
      <c r="J118" s="7">
        <v>499429.0</v>
      </c>
      <c r="K118" s="7">
        <v>23252.0</v>
      </c>
      <c r="L118" s="7">
        <v>57.51</v>
      </c>
      <c r="M118" s="7">
        <v>-0.03</v>
      </c>
      <c r="N118" s="7">
        <v>35744.0</v>
      </c>
      <c r="O118" s="7">
        <v>4076349.0</v>
      </c>
      <c r="P118" s="7" t="s">
        <v>411</v>
      </c>
      <c r="Q118" s="7">
        <v>5003.91</v>
      </c>
      <c r="R118" s="3">
        <f t="shared" si="1"/>
        <v>10000</v>
      </c>
    </row>
    <row r="119" ht="22.5" customHeight="1">
      <c r="B119" s="7" t="s">
        <v>160</v>
      </c>
      <c r="C119" s="7">
        <v>2960.0</v>
      </c>
      <c r="D119" s="7">
        <v>5555.0</v>
      </c>
      <c r="E119" s="7">
        <v>2.0284505E7</v>
      </c>
      <c r="F119" s="7">
        <v>1.632694E7</v>
      </c>
      <c r="G119" s="7">
        <v>8.2363927E7</v>
      </c>
      <c r="H119" s="7">
        <v>5.98292975E8</v>
      </c>
      <c r="I119" s="7">
        <v>331083.0</v>
      </c>
      <c r="J119" s="7">
        <v>291004.0</v>
      </c>
      <c r="K119" s="7">
        <v>40079.0</v>
      </c>
      <c r="L119" s="7">
        <v>25.05</v>
      </c>
      <c r="M119" s="7">
        <v>-0.06</v>
      </c>
      <c r="N119" s="7">
        <v>56729.0</v>
      </c>
      <c r="O119" s="7">
        <v>2.6043171E7</v>
      </c>
      <c r="P119" s="7" t="s">
        <v>410</v>
      </c>
      <c r="Q119" s="7">
        <v>847.14</v>
      </c>
      <c r="R119" s="3">
        <f t="shared" si="1"/>
        <v>847.14</v>
      </c>
    </row>
    <row r="120" ht="22.5" customHeight="1">
      <c r="B120" s="7" t="s">
        <v>33</v>
      </c>
      <c r="C120" s="7">
        <v>3298.0</v>
      </c>
      <c r="D120" s="7">
        <v>142629.0</v>
      </c>
      <c r="E120" s="7">
        <v>34363.0</v>
      </c>
      <c r="F120" s="7">
        <v>32869.0</v>
      </c>
      <c r="G120" s="7">
        <v>177171.0</v>
      </c>
      <c r="H120" s="7">
        <v>4097885.0</v>
      </c>
      <c r="I120" s="7">
        <v>3007.0</v>
      </c>
      <c r="J120" s="7">
        <v>2976.0</v>
      </c>
      <c r="K120" s="7">
        <v>31.0</v>
      </c>
      <c r="L120" s="7">
        <v>41.52</v>
      </c>
      <c r="M120" s="7">
        <v>-0.2</v>
      </c>
      <c r="N120" s="7">
        <v>54.0</v>
      </c>
      <c r="O120" s="7">
        <v>35230.0</v>
      </c>
      <c r="P120" s="7" t="s">
        <v>409</v>
      </c>
      <c r="Q120" s="7">
        <v>2.32</v>
      </c>
      <c r="R120" s="3">
        <f t="shared" si="1"/>
        <v>2.32</v>
      </c>
    </row>
    <row r="121" ht="22.5" customHeight="1">
      <c r="B121" s="7" t="s">
        <v>72</v>
      </c>
      <c r="C121" s="7">
        <v>4660.0</v>
      </c>
      <c r="D121" s="7">
        <v>243504.0</v>
      </c>
      <c r="E121" s="7">
        <v>3203185.0</v>
      </c>
      <c r="F121" s="7">
        <v>3114830.0</v>
      </c>
      <c r="G121" s="7">
        <v>6475225.0</v>
      </c>
      <c r="H121" s="7">
        <v>5.86285779E8</v>
      </c>
      <c r="I121" s="7">
        <v>78977.0</v>
      </c>
      <c r="J121" s="7">
        <v>73789.0</v>
      </c>
      <c r="K121" s="7">
        <v>5188.0</v>
      </c>
      <c r="L121" s="7">
        <v>129.05</v>
      </c>
      <c r="M121" s="7">
        <v>-0.06</v>
      </c>
      <c r="N121" s="7">
        <v>8011.0</v>
      </c>
      <c r="O121" s="7">
        <v>1553721.0</v>
      </c>
      <c r="P121" s="7" t="s">
        <v>409</v>
      </c>
      <c r="Q121" s="7">
        <v>977.92</v>
      </c>
      <c r="R121" s="3">
        <f t="shared" si="1"/>
        <v>977.92</v>
      </c>
    </row>
    <row r="122" ht="22.5" customHeight="1">
      <c r="B122" s="7" t="s">
        <v>307</v>
      </c>
      <c r="C122" s="7">
        <v>51315.0</v>
      </c>
      <c r="D122" s="7">
        <v>485537.0</v>
      </c>
      <c r="E122" s="7">
        <v>7472222.0</v>
      </c>
      <c r="F122" s="7">
        <v>7251880.0</v>
      </c>
      <c r="G122" s="7">
        <v>1.9091716E7</v>
      </c>
      <c r="H122" s="7">
        <v>1.687558661E9</v>
      </c>
      <c r="I122" s="7">
        <v>352090.0</v>
      </c>
      <c r="J122" s="7">
        <v>344168.0</v>
      </c>
      <c r="K122" s="7">
        <v>7922.0</v>
      </c>
      <c r="L122" s="7">
        <v>24.83</v>
      </c>
      <c r="M122" s="7">
        <v>-0.11</v>
      </c>
      <c r="N122" s="7">
        <v>12118.0</v>
      </c>
      <c r="O122" s="7">
        <v>5551927.0</v>
      </c>
      <c r="P122" s="7" t="s">
        <v>410</v>
      </c>
      <c r="Q122" s="7">
        <v>2264.5</v>
      </c>
      <c r="R122" s="3">
        <f t="shared" si="1"/>
        <v>2264.5</v>
      </c>
    </row>
    <row r="123" ht="22.5" customHeight="1">
      <c r="B123" s="7" t="s">
        <v>308</v>
      </c>
      <c r="C123" s="7">
        <v>39544.0</v>
      </c>
      <c r="D123" s="7">
        <v>294276.0</v>
      </c>
      <c r="E123" s="7">
        <v>1.9468262E7</v>
      </c>
      <c r="F123" s="7">
        <v>1.8997809E7</v>
      </c>
      <c r="G123" s="7">
        <v>5.3043703E7</v>
      </c>
      <c r="H123" s="7">
        <v>3.746830519E9</v>
      </c>
      <c r="I123" s="7">
        <v>712949.0</v>
      </c>
      <c r="J123" s="7">
        <v>678802.0</v>
      </c>
      <c r="K123" s="7">
        <v>34147.0</v>
      </c>
      <c r="L123" s="7">
        <v>24.47</v>
      </c>
      <c r="M123" s="7">
        <v>-0.1</v>
      </c>
      <c r="N123" s="7">
        <v>50907.0</v>
      </c>
      <c r="O123" s="7">
        <v>1.0835154E7</v>
      </c>
      <c r="P123" s="7" t="s">
        <v>411</v>
      </c>
      <c r="Q123" s="7">
        <v>5003.91</v>
      </c>
      <c r="R123" s="3">
        <f t="shared" si="1"/>
        <v>10000</v>
      </c>
    </row>
    <row r="124" ht="22.5" customHeight="1">
      <c r="B124" s="7" t="s">
        <v>227</v>
      </c>
      <c r="C124" s="7">
        <v>895721.0</v>
      </c>
      <c r="D124" s="7">
        <v>1.768805E7</v>
      </c>
      <c r="E124" s="7">
        <v>2609080.0</v>
      </c>
      <c r="F124" s="7">
        <v>2537007.0</v>
      </c>
      <c r="G124" s="7">
        <v>7340050.0</v>
      </c>
      <c r="H124" s="7">
        <v>3.695989956E9</v>
      </c>
      <c r="I124" s="7">
        <v>104576.0</v>
      </c>
      <c r="J124" s="7">
        <v>100918.0</v>
      </c>
      <c r="K124" s="7">
        <v>3658.0</v>
      </c>
      <c r="L124" s="7">
        <v>23.2</v>
      </c>
      <c r="M124" s="7">
        <v>-0.11</v>
      </c>
      <c r="N124" s="7">
        <v>5572.0</v>
      </c>
      <c r="O124" s="7">
        <v>1756364.0</v>
      </c>
      <c r="P124" s="7" t="s">
        <v>409</v>
      </c>
      <c r="Q124" s="7">
        <v>3226.88</v>
      </c>
      <c r="R124" s="3">
        <f t="shared" si="1"/>
        <v>3226.88</v>
      </c>
    </row>
    <row r="125" ht="22.5" customHeight="1">
      <c r="B125" s="7" t="s">
        <v>248</v>
      </c>
      <c r="C125" s="7">
        <v>895721.0</v>
      </c>
      <c r="D125" s="7">
        <v>1.7648874E7</v>
      </c>
      <c r="E125" s="7">
        <v>2385046.0</v>
      </c>
      <c r="F125" s="7">
        <v>2315206.0</v>
      </c>
      <c r="G125" s="7">
        <v>7767875.0</v>
      </c>
      <c r="H125" s="7">
        <v>3.792072912E9</v>
      </c>
      <c r="I125" s="7">
        <v>104002.0</v>
      </c>
      <c r="J125" s="7">
        <v>101083.0</v>
      </c>
      <c r="K125" s="7">
        <v>2919.0</v>
      </c>
      <c r="L125" s="7">
        <v>21.63</v>
      </c>
      <c r="M125" s="7">
        <v>-0.12</v>
      </c>
      <c r="N125" s="7">
        <v>4490.0</v>
      </c>
      <c r="O125" s="7">
        <v>1960827.0</v>
      </c>
      <c r="P125" s="7" t="s">
        <v>409</v>
      </c>
      <c r="Q125" s="7">
        <v>2523.31</v>
      </c>
      <c r="R125" s="3">
        <f t="shared" si="1"/>
        <v>2523.31</v>
      </c>
    </row>
    <row r="126" ht="22.5" customHeight="1">
      <c r="B126" s="7" t="s">
        <v>115</v>
      </c>
      <c r="C126" s="7">
        <v>3073.0</v>
      </c>
      <c r="D126" s="7">
        <v>19610.0</v>
      </c>
      <c r="E126" s="7">
        <v>825288.0</v>
      </c>
      <c r="F126" s="7">
        <v>818382.0</v>
      </c>
      <c r="G126" s="7">
        <v>1287538.0</v>
      </c>
      <c r="H126" s="7">
        <v>2.32781746E8</v>
      </c>
      <c r="I126" s="7">
        <v>30116.0</v>
      </c>
      <c r="J126" s="7">
        <v>28836.0</v>
      </c>
      <c r="K126" s="7">
        <v>1280.0</v>
      </c>
      <c r="L126" s="7">
        <v>24.05</v>
      </c>
      <c r="M126" s="7">
        <v>-0.05</v>
      </c>
      <c r="N126" s="7">
        <v>2029.0</v>
      </c>
      <c r="O126" s="7">
        <v>282508.0</v>
      </c>
      <c r="P126" s="7" t="s">
        <v>409</v>
      </c>
      <c r="Q126" s="7">
        <v>124.86</v>
      </c>
      <c r="R126" s="3">
        <f t="shared" si="1"/>
        <v>124.86</v>
      </c>
    </row>
    <row r="127" ht="22.5" customHeight="1">
      <c r="B127" s="7" t="s">
        <v>71</v>
      </c>
      <c r="C127" s="7">
        <v>3073.0</v>
      </c>
      <c r="D127" s="7">
        <v>19636.0</v>
      </c>
      <c r="E127" s="7">
        <v>965920.0</v>
      </c>
      <c r="F127" s="7">
        <v>957865.0</v>
      </c>
      <c r="G127" s="7">
        <v>1409712.0</v>
      </c>
      <c r="H127" s="7">
        <v>2.34651634E8</v>
      </c>
      <c r="I127" s="7">
        <v>29154.0</v>
      </c>
      <c r="J127" s="7">
        <v>27467.0</v>
      </c>
      <c r="K127" s="7">
        <v>1687.0</v>
      </c>
      <c r="L127" s="7">
        <v>23.19</v>
      </c>
      <c r="M127" s="7">
        <v>-0.05</v>
      </c>
      <c r="N127" s="7">
        <v>2652.0</v>
      </c>
      <c r="O127" s="7">
        <v>289136.0</v>
      </c>
      <c r="P127" s="7" t="s">
        <v>409</v>
      </c>
      <c r="Q127" s="7">
        <v>161.31</v>
      </c>
      <c r="R127" s="3">
        <f t="shared" si="1"/>
        <v>161.31</v>
      </c>
    </row>
    <row r="128" ht="22.5" customHeight="1">
      <c r="B128" s="7" t="s">
        <v>148</v>
      </c>
      <c r="C128" s="7">
        <v>824210.0</v>
      </c>
      <c r="D128" s="7">
        <v>2459565.0</v>
      </c>
      <c r="E128" s="7">
        <v>1252473.0</v>
      </c>
      <c r="F128" s="7">
        <v>1214413.0</v>
      </c>
      <c r="G128" s="7">
        <v>1.2406698E7</v>
      </c>
      <c r="H128" s="7">
        <v>8.24365085E8</v>
      </c>
      <c r="I128" s="7">
        <v>55615.0</v>
      </c>
      <c r="J128" s="7">
        <v>53668.0</v>
      </c>
      <c r="K128" s="7">
        <v>1947.0</v>
      </c>
      <c r="L128" s="7">
        <v>37.85</v>
      </c>
      <c r="M128" s="7">
        <v>-0.14</v>
      </c>
      <c r="N128" s="7">
        <v>2993.0</v>
      </c>
      <c r="O128" s="7">
        <v>2641385.0</v>
      </c>
      <c r="P128" s="7" t="s">
        <v>410</v>
      </c>
      <c r="Q128" s="7">
        <v>542.89</v>
      </c>
      <c r="R128" s="3">
        <f t="shared" si="1"/>
        <v>542.89</v>
      </c>
    </row>
    <row r="129" ht="22.5" customHeight="1">
      <c r="B129" s="7" t="s">
        <v>16</v>
      </c>
      <c r="C129" s="7">
        <v>190399.0</v>
      </c>
      <c r="D129" s="7">
        <v>564772.0</v>
      </c>
      <c r="E129" s="7">
        <v>70153.0</v>
      </c>
      <c r="F129" s="7">
        <v>68621.0</v>
      </c>
      <c r="G129" s="7">
        <v>427113.0</v>
      </c>
      <c r="H129" s="7">
        <v>1.8101701E7</v>
      </c>
      <c r="I129" s="7">
        <v>2760.0</v>
      </c>
      <c r="J129" s="7">
        <v>2654.0</v>
      </c>
      <c r="K129" s="7">
        <v>106.0</v>
      </c>
      <c r="L129" s="7">
        <v>22.26</v>
      </c>
      <c r="M129" s="7">
        <v>-0.12</v>
      </c>
      <c r="N129" s="7">
        <v>173.0</v>
      </c>
      <c r="O129" s="7">
        <v>87552.0</v>
      </c>
      <c r="P129" s="7" t="s">
        <v>410</v>
      </c>
      <c r="Q129" s="7">
        <v>14.05</v>
      </c>
      <c r="R129" s="3">
        <f t="shared" si="1"/>
        <v>14.05</v>
      </c>
    </row>
    <row r="130" ht="22.5" customHeight="1">
      <c r="B130" s="7" t="s">
        <v>11</v>
      </c>
      <c r="C130" s="7">
        <v>760.0</v>
      </c>
      <c r="D130" s="7">
        <v>37548.0</v>
      </c>
      <c r="E130" s="7">
        <v>105051.0</v>
      </c>
      <c r="F130" s="7">
        <v>102087.0</v>
      </c>
      <c r="G130" s="7">
        <v>164691.0</v>
      </c>
      <c r="H130" s="7">
        <v>9711847.0</v>
      </c>
      <c r="I130" s="7">
        <v>3721.0</v>
      </c>
      <c r="J130" s="7">
        <v>3613.0</v>
      </c>
      <c r="K130" s="7">
        <v>108.0</v>
      </c>
      <c r="L130" s="7">
        <v>44.21</v>
      </c>
      <c r="M130" s="7">
        <v>-0.06</v>
      </c>
      <c r="N130" s="7">
        <v>175.0</v>
      </c>
      <c r="O130" s="7">
        <v>64717.0</v>
      </c>
      <c r="P130" s="7" t="s">
        <v>409</v>
      </c>
      <c r="Q130" s="7">
        <v>7.12</v>
      </c>
      <c r="R130" s="3">
        <f t="shared" si="1"/>
        <v>7.12</v>
      </c>
    </row>
    <row r="131" ht="22.5" customHeight="1">
      <c r="B131" s="7" t="s">
        <v>309</v>
      </c>
      <c r="C131" s="7">
        <v>1534.0</v>
      </c>
      <c r="D131" s="7">
        <v>132295.0</v>
      </c>
      <c r="E131" s="7">
        <v>1.8351456E7</v>
      </c>
      <c r="F131" s="7">
        <v>1.7932135E7</v>
      </c>
      <c r="G131" s="7">
        <v>2.8097036E7</v>
      </c>
      <c r="H131" s="7">
        <v>2.174125036E9</v>
      </c>
      <c r="I131" s="7">
        <v>397805.0</v>
      </c>
      <c r="J131" s="7">
        <v>367905.0</v>
      </c>
      <c r="K131" s="7">
        <v>29900.0</v>
      </c>
      <c r="L131" s="7">
        <v>77.24</v>
      </c>
      <c r="M131" s="7">
        <v>-0.05</v>
      </c>
      <c r="N131" s="7">
        <v>46663.0</v>
      </c>
      <c r="O131" s="7">
        <v>7512327.0</v>
      </c>
      <c r="P131" s="7" t="s">
        <v>411</v>
      </c>
      <c r="Q131" s="7">
        <v>5003.91</v>
      </c>
      <c r="R131" s="3">
        <f t="shared" si="1"/>
        <v>10000</v>
      </c>
    </row>
    <row r="132" ht="22.5" customHeight="1">
      <c r="B132" s="7" t="s">
        <v>80</v>
      </c>
      <c r="C132" s="7">
        <v>2703.0</v>
      </c>
      <c r="D132" s="7">
        <v>17985.0</v>
      </c>
      <c r="E132" s="7">
        <v>1525417.0</v>
      </c>
      <c r="F132" s="7">
        <v>1504345.0</v>
      </c>
      <c r="G132" s="7">
        <v>2280068.0</v>
      </c>
      <c r="H132" s="7">
        <v>1.09185888E8</v>
      </c>
      <c r="I132" s="7">
        <v>51829.0</v>
      </c>
      <c r="J132" s="7">
        <v>50061.0</v>
      </c>
      <c r="K132" s="7">
        <v>1768.0</v>
      </c>
      <c r="L132" s="7">
        <v>28.92</v>
      </c>
      <c r="M132" s="7">
        <v>-0.05</v>
      </c>
      <c r="N132" s="7">
        <v>2820.0</v>
      </c>
      <c r="O132" s="7">
        <v>760084.0</v>
      </c>
      <c r="P132" s="7" t="s">
        <v>410</v>
      </c>
      <c r="Q132" s="7">
        <v>262.57</v>
      </c>
      <c r="R132" s="3">
        <f t="shared" si="1"/>
        <v>262.57</v>
      </c>
    </row>
    <row r="133" ht="22.5" customHeight="1">
      <c r="B133" s="7" t="s">
        <v>100</v>
      </c>
      <c r="C133" s="7">
        <v>2692.0</v>
      </c>
      <c r="D133" s="7">
        <v>79064.0</v>
      </c>
      <c r="E133" s="7">
        <v>776566.0</v>
      </c>
      <c r="F133" s="7">
        <v>759373.0</v>
      </c>
      <c r="G133" s="7">
        <v>2151361.0</v>
      </c>
      <c r="H133" s="7">
        <v>9.7371257E7</v>
      </c>
      <c r="I133" s="7">
        <v>31929.0</v>
      </c>
      <c r="J133" s="7">
        <v>30820.0</v>
      </c>
      <c r="K133" s="7">
        <v>1109.0</v>
      </c>
      <c r="L133" s="7">
        <v>63.41</v>
      </c>
      <c r="M133" s="7">
        <v>-0.11</v>
      </c>
      <c r="N133" s="7">
        <v>1782.0</v>
      </c>
      <c r="O133" s="7">
        <v>415198.0</v>
      </c>
      <c r="P133" s="7" t="s">
        <v>409</v>
      </c>
      <c r="Q133" s="7">
        <v>84.07</v>
      </c>
      <c r="R133" s="3">
        <f t="shared" si="1"/>
        <v>84.07</v>
      </c>
    </row>
    <row r="134" ht="22.5" customHeight="1">
      <c r="B134" s="7" t="s">
        <v>36</v>
      </c>
      <c r="C134" s="7">
        <v>1385.0</v>
      </c>
      <c r="D134" s="7">
        <v>27650.0</v>
      </c>
      <c r="E134" s="7">
        <v>50997.0</v>
      </c>
      <c r="F134" s="7">
        <v>49834.0</v>
      </c>
      <c r="G134" s="7">
        <v>137989.0</v>
      </c>
      <c r="H134" s="7">
        <v>5497142.0</v>
      </c>
      <c r="I134" s="7">
        <v>2215.0</v>
      </c>
      <c r="J134" s="7">
        <v>2136.0</v>
      </c>
      <c r="K134" s="7">
        <v>79.0</v>
      </c>
      <c r="L134" s="7">
        <v>39.63</v>
      </c>
      <c r="M134" s="7">
        <v>-0.11</v>
      </c>
      <c r="N134" s="7">
        <v>127.0</v>
      </c>
      <c r="O134" s="7">
        <v>25587.0</v>
      </c>
      <c r="P134" s="7" t="s">
        <v>409</v>
      </c>
      <c r="Q134" s="7">
        <v>2.82</v>
      </c>
      <c r="R134" s="3">
        <f t="shared" si="1"/>
        <v>2.82</v>
      </c>
    </row>
    <row r="135" ht="22.5" customHeight="1">
      <c r="B135" s="7" t="s">
        <v>83</v>
      </c>
      <c r="C135" s="7">
        <v>2425.0</v>
      </c>
      <c r="D135" s="7">
        <v>23118.0</v>
      </c>
      <c r="E135" s="7">
        <v>2452547.0</v>
      </c>
      <c r="F135" s="7">
        <v>2448115.0</v>
      </c>
      <c r="G135" s="7">
        <v>2960093.0</v>
      </c>
      <c r="H135" s="7">
        <v>2.19269046E8</v>
      </c>
      <c r="I135" s="7">
        <v>90823.0</v>
      </c>
      <c r="J135" s="7">
        <v>87938.0</v>
      </c>
      <c r="K135" s="7">
        <v>2885.0</v>
      </c>
      <c r="L135" s="7">
        <v>23.37</v>
      </c>
      <c r="M135" s="7">
        <v>-0.02</v>
      </c>
      <c r="N135" s="7">
        <v>4564.0</v>
      </c>
      <c r="O135" s="7">
        <v>1136074.0</v>
      </c>
      <c r="P135" s="7" t="s">
        <v>409</v>
      </c>
      <c r="Q135" s="7">
        <v>195.0</v>
      </c>
      <c r="R135" s="3">
        <f t="shared" si="1"/>
        <v>195</v>
      </c>
    </row>
    <row r="136" ht="22.5" customHeight="1">
      <c r="B136" s="7" t="s">
        <v>221</v>
      </c>
      <c r="C136" s="7">
        <v>2425.0</v>
      </c>
      <c r="D136" s="7">
        <v>23064.0</v>
      </c>
      <c r="E136" s="7">
        <v>2.2638287E7</v>
      </c>
      <c r="F136" s="7">
        <v>2.2607709E7</v>
      </c>
      <c r="G136" s="7">
        <v>2.3477145E7</v>
      </c>
      <c r="H136" s="7">
        <v>1.287850595E9</v>
      </c>
      <c r="I136" s="7">
        <v>793173.0</v>
      </c>
      <c r="J136" s="7">
        <v>764655.0</v>
      </c>
      <c r="K136" s="7">
        <v>28518.0</v>
      </c>
      <c r="L136" s="7">
        <v>19.6</v>
      </c>
      <c r="M136" s="7">
        <v>-0.01</v>
      </c>
      <c r="N136" s="7">
        <v>45346.0</v>
      </c>
      <c r="O136" s="7">
        <v>9749296.0</v>
      </c>
      <c r="P136" s="7" t="s">
        <v>410</v>
      </c>
      <c r="Q136" s="7">
        <v>2576.26</v>
      </c>
      <c r="R136" s="3">
        <f t="shared" si="1"/>
        <v>2576.26</v>
      </c>
    </row>
    <row r="137" ht="22.5" customHeight="1">
      <c r="B137" s="7" t="s">
        <v>170</v>
      </c>
      <c r="C137" s="7">
        <v>2425.0</v>
      </c>
      <c r="D137" s="7">
        <v>23032.0</v>
      </c>
      <c r="E137" s="7">
        <v>2158322.0</v>
      </c>
      <c r="F137" s="7">
        <v>2154672.0</v>
      </c>
      <c r="G137" s="7">
        <v>2519416.0</v>
      </c>
      <c r="H137" s="7">
        <v>2.20016671E8</v>
      </c>
      <c r="I137" s="7">
        <v>86828.0</v>
      </c>
      <c r="J137" s="7">
        <v>84658.0</v>
      </c>
      <c r="K137" s="7">
        <v>2170.0</v>
      </c>
      <c r="L137" s="7">
        <v>21.74</v>
      </c>
      <c r="M137" s="7">
        <v>-0.02</v>
      </c>
      <c r="N137" s="7">
        <v>3395.0</v>
      </c>
      <c r="O137" s="7">
        <v>1144504.0</v>
      </c>
      <c r="P137" s="7" t="s">
        <v>409</v>
      </c>
      <c r="Q137" s="7">
        <v>161.72</v>
      </c>
      <c r="R137" s="3">
        <f t="shared" si="1"/>
        <v>161.72</v>
      </c>
    </row>
    <row r="138" ht="22.5" customHeight="1">
      <c r="B138" s="7" t="s">
        <v>127</v>
      </c>
      <c r="C138" s="7">
        <v>2425.0</v>
      </c>
      <c r="D138" s="7">
        <v>23034.0</v>
      </c>
      <c r="E138" s="7">
        <v>7808389.0</v>
      </c>
      <c r="F138" s="7">
        <v>7791748.0</v>
      </c>
      <c r="G138" s="7">
        <v>8731299.0</v>
      </c>
      <c r="H138" s="7">
        <v>5.97407795E8</v>
      </c>
      <c r="I138" s="7">
        <v>351879.0</v>
      </c>
      <c r="J138" s="7">
        <v>344824.0</v>
      </c>
      <c r="K138" s="7">
        <v>7055.0</v>
      </c>
      <c r="L138" s="7">
        <v>19.4</v>
      </c>
      <c r="M138" s="7">
        <v>-0.02</v>
      </c>
      <c r="N138" s="7">
        <v>11264.0</v>
      </c>
      <c r="O138" s="7">
        <v>4177279.0</v>
      </c>
      <c r="P138" s="7" t="s">
        <v>410</v>
      </c>
      <c r="Q138" s="7">
        <v>714.69</v>
      </c>
      <c r="R138" s="3">
        <f t="shared" si="1"/>
        <v>714.69</v>
      </c>
    </row>
    <row r="139" ht="22.5" customHeight="1">
      <c r="B139" s="7" t="s">
        <v>184</v>
      </c>
      <c r="C139" s="7">
        <v>31503.0</v>
      </c>
      <c r="D139" s="7">
        <v>94548.0</v>
      </c>
      <c r="E139" s="7">
        <v>590933.0</v>
      </c>
      <c r="F139" s="7">
        <v>590663.0</v>
      </c>
      <c r="G139" s="7">
        <v>597404.0</v>
      </c>
      <c r="H139" s="7">
        <v>2.312556161E9</v>
      </c>
      <c r="I139" s="7">
        <v>17512.0</v>
      </c>
      <c r="J139" s="7">
        <v>16854.0</v>
      </c>
      <c r="K139" s="7">
        <v>658.0</v>
      </c>
      <c r="L139" s="7">
        <v>38.0</v>
      </c>
      <c r="M139" s="7">
        <v>0.0</v>
      </c>
      <c r="N139" s="7">
        <v>1047.0</v>
      </c>
      <c r="O139" s="7">
        <v>293468.0</v>
      </c>
      <c r="P139" s="7" t="s">
        <v>409</v>
      </c>
      <c r="Q139" s="7">
        <v>516.62</v>
      </c>
      <c r="R139" s="3">
        <f t="shared" si="1"/>
        <v>516.62</v>
      </c>
    </row>
    <row r="140" ht="22.5" customHeight="1">
      <c r="B140" s="7" t="s">
        <v>310</v>
      </c>
      <c r="C140" s="7">
        <v>32402.0</v>
      </c>
      <c r="D140" s="7">
        <v>97364.0</v>
      </c>
      <c r="E140" s="7">
        <v>6315709.0</v>
      </c>
      <c r="F140" s="7">
        <v>6302753.0</v>
      </c>
      <c r="G140" s="7">
        <v>6687827.0</v>
      </c>
      <c r="H140" s="7">
        <v>1.1226223324E10</v>
      </c>
      <c r="I140" s="7">
        <v>230235.0</v>
      </c>
      <c r="J140" s="7">
        <v>222645.0</v>
      </c>
      <c r="K140" s="7">
        <v>7590.0</v>
      </c>
      <c r="L140" s="7">
        <v>56.7</v>
      </c>
      <c r="M140" s="7">
        <v>0.0</v>
      </c>
      <c r="N140" s="7">
        <v>11795.0</v>
      </c>
      <c r="O140" s="7">
        <v>2973438.0</v>
      </c>
      <c r="P140" s="7" t="s">
        <v>411</v>
      </c>
      <c r="Q140" s="7">
        <v>5003.86</v>
      </c>
      <c r="R140" s="3">
        <f t="shared" si="1"/>
        <v>10000</v>
      </c>
    </row>
    <row r="141" ht="22.5" customHeight="1">
      <c r="B141" s="7" t="s">
        <v>134</v>
      </c>
      <c r="C141" s="7">
        <v>1043.0</v>
      </c>
      <c r="D141" s="7">
        <v>2829.0</v>
      </c>
      <c r="E141" s="7">
        <v>5011885.0</v>
      </c>
      <c r="F141" s="7">
        <v>4959860.0</v>
      </c>
      <c r="G141" s="7">
        <v>5741457.0</v>
      </c>
      <c r="H141" s="7">
        <v>7.71882E7</v>
      </c>
      <c r="I141" s="7">
        <v>147052.0</v>
      </c>
      <c r="J141" s="7">
        <v>139949.0</v>
      </c>
      <c r="K141" s="7">
        <v>7103.0</v>
      </c>
      <c r="L141" s="7">
        <v>22.94</v>
      </c>
      <c r="M141" s="7">
        <v>-0.03</v>
      </c>
      <c r="N141" s="7">
        <v>11304.0</v>
      </c>
      <c r="O141" s="7">
        <v>1924920.0</v>
      </c>
      <c r="P141" s="7" t="s">
        <v>410</v>
      </c>
      <c r="Q141" s="7">
        <v>297.7</v>
      </c>
      <c r="R141" s="3">
        <f t="shared" si="1"/>
        <v>297.7</v>
      </c>
    </row>
    <row r="142" ht="22.5" customHeight="1">
      <c r="B142" s="7" t="s">
        <v>311</v>
      </c>
      <c r="C142" s="7">
        <v>69641.0</v>
      </c>
      <c r="D142" s="7">
        <v>226367.0</v>
      </c>
      <c r="E142" s="7">
        <v>2334250.0</v>
      </c>
      <c r="F142" s="7">
        <v>2307918.0</v>
      </c>
      <c r="G142" s="7">
        <v>6089405.0</v>
      </c>
      <c r="H142" s="7">
        <v>9.905017172E9</v>
      </c>
      <c r="I142" s="7">
        <v>98030.0</v>
      </c>
      <c r="J142" s="7">
        <v>94561.0</v>
      </c>
      <c r="K142" s="7">
        <v>3469.0</v>
      </c>
      <c r="L142" s="7">
        <v>117.25</v>
      </c>
      <c r="M142" s="7">
        <v>-0.05</v>
      </c>
      <c r="N142" s="7">
        <v>4956.0</v>
      </c>
      <c r="O142" s="7">
        <v>1295574.0</v>
      </c>
      <c r="P142" s="7" t="s">
        <v>411</v>
      </c>
      <c r="Q142" s="7">
        <v>5003.86</v>
      </c>
      <c r="R142" s="3">
        <f t="shared" si="1"/>
        <v>10000</v>
      </c>
    </row>
    <row r="143" ht="22.5" customHeight="1">
      <c r="B143" s="7" t="s">
        <v>235</v>
      </c>
      <c r="C143" s="7">
        <v>1728.0</v>
      </c>
      <c r="D143" s="7">
        <v>19526.0</v>
      </c>
      <c r="E143" s="7">
        <v>4936629.0</v>
      </c>
      <c r="F143" s="7">
        <v>4913387.0</v>
      </c>
      <c r="G143" s="7">
        <v>5478026.0</v>
      </c>
      <c r="H143" s="7">
        <v>5.9492142E7</v>
      </c>
      <c r="I143" s="7">
        <v>153882.0</v>
      </c>
      <c r="J143" s="7">
        <v>144767.0</v>
      </c>
      <c r="K143" s="7">
        <v>9115.0</v>
      </c>
      <c r="L143" s="7">
        <v>43.58</v>
      </c>
      <c r="M143" s="7">
        <v>-0.02</v>
      </c>
      <c r="N143" s="7">
        <v>13301.0</v>
      </c>
      <c r="O143" s="7">
        <v>1845471.0</v>
      </c>
      <c r="P143" s="7" t="s">
        <v>410</v>
      </c>
      <c r="Q143" s="7">
        <v>318.96</v>
      </c>
      <c r="R143" s="3">
        <f t="shared" si="1"/>
        <v>318.96</v>
      </c>
    </row>
    <row r="144" ht="22.5" customHeight="1">
      <c r="B144" s="7" t="s">
        <v>312</v>
      </c>
      <c r="C144" s="7">
        <v>2197.0</v>
      </c>
      <c r="D144" s="7">
        <v>26977.0</v>
      </c>
      <c r="E144" s="7">
        <v>3.1394603E7</v>
      </c>
      <c r="F144" s="7">
        <v>3.1219817E7</v>
      </c>
      <c r="G144" s="7">
        <v>3.427614E7</v>
      </c>
      <c r="H144" s="7">
        <v>3.66279105E8</v>
      </c>
      <c r="I144" s="7">
        <v>1313373.0</v>
      </c>
      <c r="J144" s="7">
        <v>1278838.0</v>
      </c>
      <c r="K144" s="7">
        <v>34535.0</v>
      </c>
      <c r="L144" s="7">
        <v>48.1</v>
      </c>
      <c r="M144" s="7">
        <v>-0.02</v>
      </c>
      <c r="N144" s="7">
        <v>51281.0</v>
      </c>
      <c r="O144" s="7">
        <v>1.7272572E7</v>
      </c>
      <c r="P144" s="7" t="s">
        <v>410</v>
      </c>
      <c r="Q144" s="7">
        <v>3381.86</v>
      </c>
      <c r="R144" s="3">
        <f t="shared" si="1"/>
        <v>3381.86</v>
      </c>
    </row>
    <row r="145" ht="22.5" customHeight="1">
      <c r="B145" s="7" t="s">
        <v>313</v>
      </c>
      <c r="C145" s="7">
        <v>81920.0</v>
      </c>
      <c r="D145" s="7">
        <v>1.6496017E7</v>
      </c>
      <c r="E145" s="7">
        <v>7946409.0</v>
      </c>
      <c r="F145" s="7">
        <v>7173223.0</v>
      </c>
      <c r="G145" s="7">
        <v>3.00349304E8</v>
      </c>
      <c r="H145" s="7">
        <v>4.60350523E9</v>
      </c>
      <c r="I145" s="7">
        <v>273147.0</v>
      </c>
      <c r="J145" s="7">
        <v>260249.0</v>
      </c>
      <c r="K145" s="7">
        <v>12898.0</v>
      </c>
      <c r="L145" s="7">
        <v>328.67</v>
      </c>
      <c r="M145" s="7">
        <v>-0.08</v>
      </c>
      <c r="N145" s="7">
        <v>16873.0</v>
      </c>
      <c r="O145" s="7">
        <v>6.6430303E7</v>
      </c>
      <c r="P145" s="7" t="s">
        <v>411</v>
      </c>
      <c r="Q145" s="7">
        <v>5003.64</v>
      </c>
      <c r="R145" s="3">
        <f t="shared" si="1"/>
        <v>10000</v>
      </c>
    </row>
    <row r="146" ht="22.5" customHeight="1">
      <c r="B146" s="7" t="s">
        <v>151</v>
      </c>
      <c r="C146" s="7">
        <v>47040.0</v>
      </c>
      <c r="D146" s="7">
        <v>178880.0</v>
      </c>
      <c r="E146" s="7">
        <v>520785.0</v>
      </c>
      <c r="F146" s="7">
        <v>506006.0</v>
      </c>
      <c r="G146" s="7">
        <v>7512334.0</v>
      </c>
      <c r="H146" s="7">
        <v>1.294499819E9</v>
      </c>
      <c r="I146" s="7">
        <v>27701.0</v>
      </c>
      <c r="J146" s="7">
        <v>27186.0</v>
      </c>
      <c r="K146" s="7">
        <v>515.0</v>
      </c>
      <c r="L146" s="7">
        <v>60.54</v>
      </c>
      <c r="M146" s="7">
        <v>-0.13</v>
      </c>
      <c r="N146" s="7">
        <v>795.0</v>
      </c>
      <c r="O146" s="7">
        <v>606938.0</v>
      </c>
      <c r="P146" s="7" t="s">
        <v>409</v>
      </c>
      <c r="Q146" s="7">
        <v>158.43</v>
      </c>
      <c r="R146" s="3">
        <f t="shared" si="1"/>
        <v>158.43</v>
      </c>
    </row>
    <row r="147" ht="22.5" customHeight="1">
      <c r="B147" s="7" t="s">
        <v>150</v>
      </c>
      <c r="C147" s="7">
        <v>77824.0</v>
      </c>
      <c r="D147" s="7">
        <v>282013.0</v>
      </c>
      <c r="E147" s="7">
        <v>8340025.0</v>
      </c>
      <c r="F147" s="7">
        <v>8136685.0</v>
      </c>
      <c r="G147" s="7">
        <v>1.21431687E8</v>
      </c>
      <c r="H147" s="7">
        <v>2.5945707188E10</v>
      </c>
      <c r="I147" s="7">
        <v>350172.0</v>
      </c>
      <c r="J147" s="7">
        <v>341806.0</v>
      </c>
      <c r="K147" s="7">
        <v>8366.0</v>
      </c>
      <c r="L147" s="7">
        <v>81.16</v>
      </c>
      <c r="M147" s="7">
        <v>-0.11</v>
      </c>
      <c r="N147" s="7">
        <v>12787.0</v>
      </c>
      <c r="O147" s="7">
        <v>1.0592398E7</v>
      </c>
      <c r="P147" s="7" t="s">
        <v>411</v>
      </c>
      <c r="Q147" s="7">
        <v>5003.86</v>
      </c>
      <c r="R147" s="3">
        <f t="shared" si="1"/>
        <v>10000</v>
      </c>
    </row>
    <row r="148" ht="22.5" customHeight="1">
      <c r="B148" s="7" t="s">
        <v>159</v>
      </c>
      <c r="C148" s="7">
        <v>122472.0</v>
      </c>
      <c r="D148" s="7">
        <v>440385.0</v>
      </c>
      <c r="E148" s="7">
        <v>2653685.0</v>
      </c>
      <c r="F148" s="7">
        <v>2589249.0</v>
      </c>
      <c r="G148" s="7">
        <v>4.4648834E7</v>
      </c>
      <c r="H148" s="7">
        <v>1.0767958264E10</v>
      </c>
      <c r="I148" s="7">
        <v>105925.0</v>
      </c>
      <c r="J148" s="7">
        <v>102480.0</v>
      </c>
      <c r="K148" s="7">
        <v>3445.0</v>
      </c>
      <c r="L148" s="7">
        <v>69.98</v>
      </c>
      <c r="M148" s="7">
        <v>-0.1</v>
      </c>
      <c r="N148" s="7">
        <v>5429.0</v>
      </c>
      <c r="O148" s="7">
        <v>3260326.0</v>
      </c>
      <c r="P148" s="7" t="s">
        <v>409</v>
      </c>
      <c r="Q148" s="7">
        <v>1536.09</v>
      </c>
      <c r="R148" s="3">
        <f t="shared" si="1"/>
        <v>1536.09</v>
      </c>
    </row>
    <row r="149" ht="22.5" customHeight="1">
      <c r="B149" s="7" t="s">
        <v>242</v>
      </c>
      <c r="C149" s="7">
        <v>183200.0</v>
      </c>
      <c r="D149" s="7">
        <v>637206.0</v>
      </c>
      <c r="E149" s="7">
        <v>2346143.0</v>
      </c>
      <c r="F149" s="7">
        <v>2285172.0</v>
      </c>
      <c r="G149" s="7">
        <v>5.3152957E7</v>
      </c>
      <c r="H149" s="7">
        <v>1.3114867492E10</v>
      </c>
      <c r="I149" s="7">
        <v>106342.0</v>
      </c>
      <c r="J149" s="7">
        <v>103812.0</v>
      </c>
      <c r="K149" s="7">
        <v>2530.0</v>
      </c>
      <c r="L149" s="7">
        <v>67.56</v>
      </c>
      <c r="M149" s="7">
        <v>-0.11</v>
      </c>
      <c r="N149" s="7">
        <v>4042.0</v>
      </c>
      <c r="O149" s="7">
        <v>3735911.0</v>
      </c>
      <c r="P149" s="7" t="s">
        <v>409</v>
      </c>
      <c r="Q149" s="7">
        <v>1925.84</v>
      </c>
      <c r="R149" s="3">
        <f t="shared" si="1"/>
        <v>1925.84</v>
      </c>
    </row>
    <row r="150" ht="22.5" customHeight="1">
      <c r="B150" s="7" t="s">
        <v>261</v>
      </c>
      <c r="C150" s="7">
        <v>264264.0</v>
      </c>
      <c r="D150" s="7">
        <v>895141.0</v>
      </c>
      <c r="E150" s="7">
        <v>2383900.0</v>
      </c>
      <c r="F150" s="7">
        <v>2321077.0</v>
      </c>
      <c r="G150" s="7">
        <v>6.5116118E7</v>
      </c>
      <c r="H150" s="7">
        <v>1.7549270451E10</v>
      </c>
      <c r="I150" s="7">
        <v>110451.0</v>
      </c>
      <c r="J150" s="7">
        <v>107781.0</v>
      </c>
      <c r="K150" s="7">
        <v>2670.0</v>
      </c>
      <c r="L150" s="7">
        <v>68.56</v>
      </c>
      <c r="M150" s="7">
        <v>-0.12</v>
      </c>
      <c r="N150" s="7">
        <v>4239.0</v>
      </c>
      <c r="O150" s="7">
        <v>4384447.0</v>
      </c>
      <c r="P150" s="7" t="s">
        <v>409</v>
      </c>
      <c r="Q150" s="7">
        <v>2915.76</v>
      </c>
      <c r="R150" s="3">
        <f t="shared" si="1"/>
        <v>2915.76</v>
      </c>
    </row>
    <row r="151" ht="22.5" customHeight="1">
      <c r="B151" s="7" t="s">
        <v>314</v>
      </c>
      <c r="C151" s="7">
        <v>370944.0</v>
      </c>
      <c r="D151" s="7">
        <v>1254550.0</v>
      </c>
      <c r="E151" s="7">
        <v>4948956.0</v>
      </c>
      <c r="F151" s="7">
        <v>4832909.0</v>
      </c>
      <c r="G151" s="7">
        <v>1.22287346E8</v>
      </c>
      <c r="H151" s="7">
        <v>4.0022422174E10</v>
      </c>
      <c r="I151" s="7">
        <v>173591.0</v>
      </c>
      <c r="J151" s="7">
        <v>166319.0</v>
      </c>
      <c r="K151" s="7">
        <v>7272.0</v>
      </c>
      <c r="L151" s="7">
        <v>76.07</v>
      </c>
      <c r="M151" s="7">
        <v>-0.09</v>
      </c>
      <c r="N151" s="7">
        <v>11471.0</v>
      </c>
      <c r="O151" s="7">
        <v>7750805.0</v>
      </c>
      <c r="P151" s="7" t="s">
        <v>411</v>
      </c>
      <c r="Q151" s="7">
        <v>5003.84</v>
      </c>
      <c r="R151" s="3">
        <f t="shared" si="1"/>
        <v>10000</v>
      </c>
    </row>
    <row r="152" ht="22.5" customHeight="1">
      <c r="B152" s="7" t="s">
        <v>315</v>
      </c>
      <c r="C152" s="7">
        <v>505648.0</v>
      </c>
      <c r="D152" s="7">
        <v>1677281.0</v>
      </c>
      <c r="E152" s="7">
        <v>2175020.0</v>
      </c>
      <c r="F152" s="7">
        <v>2112945.0</v>
      </c>
      <c r="G152" s="7">
        <v>8.9347885E7</v>
      </c>
      <c r="H152" s="7">
        <v>2.7872813617E10</v>
      </c>
      <c r="I152" s="7">
        <v>109492.0</v>
      </c>
      <c r="J152" s="7">
        <v>107364.0</v>
      </c>
      <c r="K152" s="7">
        <v>2128.0</v>
      </c>
      <c r="L152" s="7">
        <v>67.97</v>
      </c>
      <c r="M152" s="7">
        <v>-0.13</v>
      </c>
      <c r="N152" s="7">
        <v>3375.0</v>
      </c>
      <c r="O152" s="7">
        <v>6072598.0</v>
      </c>
      <c r="P152" s="7" t="s">
        <v>411</v>
      </c>
      <c r="Q152" s="7">
        <v>5003.86</v>
      </c>
      <c r="R152" s="3">
        <f t="shared" si="1"/>
        <v>10000</v>
      </c>
    </row>
    <row r="153" ht="22.5" customHeight="1">
      <c r="B153" s="7" t="s">
        <v>7</v>
      </c>
      <c r="C153" s="7">
        <v>23345.0</v>
      </c>
      <c r="D153" s="7">
        <v>49263.0</v>
      </c>
      <c r="E153" s="7">
        <v>34937.0</v>
      </c>
      <c r="F153" s="7">
        <v>33700.0</v>
      </c>
      <c r="G153" s="7">
        <v>473676.0</v>
      </c>
      <c r="H153" s="7">
        <v>8591620.0</v>
      </c>
      <c r="I153" s="7">
        <v>3505.0</v>
      </c>
      <c r="J153" s="7">
        <v>3461.0</v>
      </c>
      <c r="K153" s="7">
        <v>44.0</v>
      </c>
      <c r="L153" s="7">
        <v>39.57</v>
      </c>
      <c r="M153" s="7">
        <v>-0.24</v>
      </c>
      <c r="N153" s="7">
        <v>68.0</v>
      </c>
      <c r="O153" s="7">
        <v>32518.0</v>
      </c>
      <c r="P153" s="7" t="s">
        <v>409</v>
      </c>
      <c r="Q153" s="7">
        <v>3.26</v>
      </c>
      <c r="R153" s="3">
        <f t="shared" si="1"/>
        <v>3.26</v>
      </c>
    </row>
    <row r="154" ht="22.5" customHeight="1">
      <c r="B154" s="7" t="s">
        <v>316</v>
      </c>
      <c r="C154" s="7">
        <v>41961.0</v>
      </c>
      <c r="D154" s="7">
        <v>70118.0</v>
      </c>
      <c r="E154" s="7">
        <v>96680.0</v>
      </c>
      <c r="F154" s="7">
        <v>93482.0</v>
      </c>
      <c r="G154" s="7">
        <v>1740072.0</v>
      </c>
      <c r="H154" s="7">
        <v>2.7321604E7</v>
      </c>
      <c r="I154" s="7">
        <v>10017.0</v>
      </c>
      <c r="J154" s="7">
        <v>9900.0</v>
      </c>
      <c r="K154" s="7">
        <v>117.0</v>
      </c>
      <c r="L154" s="7">
        <v>42.5</v>
      </c>
      <c r="M154" s="7">
        <v>-0.25</v>
      </c>
      <c r="N154" s="7">
        <v>184.0</v>
      </c>
      <c r="O154" s="7">
        <v>98939.0</v>
      </c>
      <c r="P154" s="7" t="s">
        <v>409</v>
      </c>
      <c r="Q154" s="7">
        <v>9.95</v>
      </c>
      <c r="R154" s="3">
        <f t="shared" si="1"/>
        <v>9.95</v>
      </c>
    </row>
    <row r="155" ht="22.5" customHeight="1">
      <c r="B155" s="7" t="s">
        <v>317</v>
      </c>
      <c r="C155" s="7">
        <v>70675.0</v>
      </c>
      <c r="D155" s="7">
        <v>106388.0</v>
      </c>
      <c r="E155" s="7">
        <v>1.9470916E7</v>
      </c>
      <c r="F155" s="7">
        <v>1.9025401E7</v>
      </c>
      <c r="G155" s="7">
        <v>1.54193082E8</v>
      </c>
      <c r="H155" s="7">
        <v>3.268428799E9</v>
      </c>
      <c r="I155" s="7">
        <v>585935.0</v>
      </c>
      <c r="J155" s="7">
        <v>554575.0</v>
      </c>
      <c r="K155" s="7">
        <v>31360.0</v>
      </c>
      <c r="L155" s="7">
        <v>82.93</v>
      </c>
      <c r="M155" s="7">
        <v>-0.1</v>
      </c>
      <c r="N155" s="7">
        <v>48133.0</v>
      </c>
      <c r="O155" s="7">
        <v>1.9133793E7</v>
      </c>
      <c r="P155" s="7" t="s">
        <v>411</v>
      </c>
      <c r="Q155" s="7">
        <v>5003.86</v>
      </c>
      <c r="R155" s="3">
        <f t="shared" si="1"/>
        <v>10000</v>
      </c>
    </row>
    <row r="156" ht="22.5" customHeight="1">
      <c r="B156" s="7" t="s">
        <v>318</v>
      </c>
      <c r="C156" s="7">
        <v>111475.0</v>
      </c>
      <c r="D156" s="7">
        <v>138053.0</v>
      </c>
      <c r="E156" s="7">
        <v>2.0154997E7</v>
      </c>
      <c r="F156" s="7">
        <v>1.9664141E7</v>
      </c>
      <c r="G156" s="7">
        <v>2.08550084E8</v>
      </c>
      <c r="H156" s="7">
        <v>3.680964565E9</v>
      </c>
      <c r="I156" s="7">
        <v>673591.0</v>
      </c>
      <c r="J156" s="7">
        <v>643747.0</v>
      </c>
      <c r="K156" s="7">
        <v>29844.0</v>
      </c>
      <c r="L156" s="7">
        <v>75.14</v>
      </c>
      <c r="M156" s="7">
        <v>-0.12</v>
      </c>
      <c r="N156" s="7">
        <v>46631.0</v>
      </c>
      <c r="O156" s="7">
        <v>2.6459611E7</v>
      </c>
      <c r="P156" s="7" t="s">
        <v>411</v>
      </c>
      <c r="Q156" s="7">
        <v>5003.75</v>
      </c>
      <c r="R156" s="3">
        <f t="shared" si="1"/>
        <v>10000</v>
      </c>
    </row>
    <row r="157" ht="22.5" customHeight="1">
      <c r="B157" s="7" t="s">
        <v>319</v>
      </c>
      <c r="C157" s="7">
        <v>168019.0</v>
      </c>
      <c r="D157" s="7">
        <v>173814.0</v>
      </c>
      <c r="E157" s="7">
        <v>2.0004436E7</v>
      </c>
      <c r="F157" s="7">
        <v>1.9503824E7</v>
      </c>
      <c r="G157" s="7">
        <v>2.48766635E8</v>
      </c>
      <c r="H157" s="7">
        <v>4.107187948E9</v>
      </c>
      <c r="I157" s="7">
        <v>691821.0</v>
      </c>
      <c r="J157" s="7">
        <v>663060.0</v>
      </c>
      <c r="K157" s="7">
        <v>28761.0</v>
      </c>
      <c r="L157" s="7">
        <v>74.54</v>
      </c>
      <c r="M157" s="7">
        <v>-0.13</v>
      </c>
      <c r="N157" s="7">
        <v>45558.0</v>
      </c>
      <c r="O157" s="7">
        <v>3.3121045E7</v>
      </c>
      <c r="P157" s="7" t="s">
        <v>411</v>
      </c>
      <c r="Q157" s="7">
        <v>5003.87</v>
      </c>
      <c r="R157" s="3">
        <f t="shared" si="1"/>
        <v>10000</v>
      </c>
    </row>
    <row r="158" ht="22.5" customHeight="1">
      <c r="B158" s="7" t="s">
        <v>320</v>
      </c>
      <c r="C158" s="7">
        <v>243955.0</v>
      </c>
      <c r="D158" s="7">
        <v>213707.0</v>
      </c>
      <c r="E158" s="7">
        <v>2.0661607E7</v>
      </c>
      <c r="F158" s="7">
        <v>2.0124055E7</v>
      </c>
      <c r="G158" s="7">
        <v>3.08313441E8</v>
      </c>
      <c r="H158" s="7">
        <v>4.712667002E9</v>
      </c>
      <c r="I158" s="7">
        <v>751212.0</v>
      </c>
      <c r="J158" s="7">
        <v>723141.0</v>
      </c>
      <c r="K158" s="7">
        <v>28071.0</v>
      </c>
      <c r="L158" s="7">
        <v>72.93</v>
      </c>
      <c r="M158" s="7">
        <v>-0.14</v>
      </c>
      <c r="N158" s="7">
        <v>44874.0</v>
      </c>
      <c r="O158" s="7">
        <v>4.4456349E7</v>
      </c>
      <c r="P158" s="7" t="s">
        <v>411</v>
      </c>
      <c r="Q158" s="7">
        <v>5003.87</v>
      </c>
      <c r="R158" s="3">
        <f t="shared" si="1"/>
        <v>10000</v>
      </c>
    </row>
    <row r="159" ht="22.5" customHeight="1">
      <c r="B159" s="7" t="s">
        <v>321</v>
      </c>
      <c r="C159" s="7">
        <v>344469.0</v>
      </c>
      <c r="D159" s="7">
        <v>286016.0</v>
      </c>
      <c r="E159" s="7">
        <v>2.0861824E7</v>
      </c>
      <c r="F159" s="7">
        <v>2.0303407E7</v>
      </c>
      <c r="G159" s="7">
        <v>3.61639088E8</v>
      </c>
      <c r="H159" s="7">
        <v>5.46642581E9</v>
      </c>
      <c r="I159" s="7">
        <v>784487.0</v>
      </c>
      <c r="J159" s="7">
        <v>757098.0</v>
      </c>
      <c r="K159" s="7">
        <v>27389.0</v>
      </c>
      <c r="L159" s="7">
        <v>71.51</v>
      </c>
      <c r="M159" s="7">
        <v>-0.15</v>
      </c>
      <c r="N159" s="7">
        <v>44197.0</v>
      </c>
      <c r="O159" s="7">
        <v>5.484145E7</v>
      </c>
      <c r="P159" s="7" t="s">
        <v>411</v>
      </c>
      <c r="Q159" s="7">
        <v>5003.65</v>
      </c>
      <c r="R159" s="3">
        <f t="shared" si="1"/>
        <v>10000</v>
      </c>
    </row>
    <row r="160" ht="22.5" customHeight="1">
      <c r="B160" s="7" t="s">
        <v>15</v>
      </c>
      <c r="C160" s="7">
        <v>323138.0</v>
      </c>
      <c r="D160" s="7">
        <v>2.1567424E7</v>
      </c>
      <c r="E160" s="7">
        <v>42.0</v>
      </c>
      <c r="F160" s="7">
        <v>42.0</v>
      </c>
      <c r="G160" s="7">
        <v>488000.0</v>
      </c>
      <c r="H160" s="7">
        <v>577871.0</v>
      </c>
      <c r="I160" s="7">
        <v>0.0</v>
      </c>
      <c r="J160" s="7">
        <v>0.0</v>
      </c>
      <c r="K160" s="7">
        <v>0.0</v>
      </c>
      <c r="L160" s="7">
        <v>9.19</v>
      </c>
      <c r="M160" s="7">
        <v>-0.74</v>
      </c>
      <c r="N160" s="7">
        <v>0.0</v>
      </c>
      <c r="O160" s="7">
        <v>487781.0</v>
      </c>
      <c r="P160" s="7" t="s">
        <v>409</v>
      </c>
      <c r="Q160" s="7">
        <v>9.3</v>
      </c>
      <c r="R160" s="3">
        <f t="shared" si="1"/>
        <v>9.3</v>
      </c>
    </row>
    <row r="161" ht="22.5" customHeight="1">
      <c r="B161" s="7" t="s">
        <v>46</v>
      </c>
      <c r="C161" s="7">
        <v>919562.0</v>
      </c>
      <c r="D161" s="7">
        <v>1.03439854E8</v>
      </c>
      <c r="E161" s="7">
        <v>0.0</v>
      </c>
      <c r="F161" s="7">
        <v>0.0</v>
      </c>
      <c r="G161" s="7">
        <v>0.0</v>
      </c>
      <c r="H161" s="7">
        <v>230180.0</v>
      </c>
      <c r="I161" s="7">
        <v>0.0</v>
      </c>
      <c r="J161" s="7">
        <v>0.0</v>
      </c>
      <c r="K161" s="7">
        <v>0.0</v>
      </c>
      <c r="L161" s="7">
        <v>0.0</v>
      </c>
      <c r="M161" s="7">
        <v>0.0</v>
      </c>
      <c r="N161" s="7">
        <v>0.0</v>
      </c>
      <c r="O161" s="7">
        <v>0.0</v>
      </c>
      <c r="P161" s="7" t="s">
        <v>409</v>
      </c>
      <c r="Q161" s="7">
        <v>55.68</v>
      </c>
      <c r="R161" s="3">
        <f t="shared" si="1"/>
        <v>55.68</v>
      </c>
    </row>
    <row r="162" ht="22.5" customHeight="1">
      <c r="B162" s="7" t="s">
        <v>93</v>
      </c>
      <c r="C162" s="7">
        <v>2316.0</v>
      </c>
      <c r="D162" s="7">
        <v>30945.0</v>
      </c>
      <c r="E162" s="7">
        <v>2268633.0</v>
      </c>
      <c r="F162" s="7">
        <v>2253286.0</v>
      </c>
      <c r="G162" s="7">
        <v>3642092.0</v>
      </c>
      <c r="H162" s="7">
        <v>1.37054683E8</v>
      </c>
      <c r="I162" s="7">
        <v>110838.0</v>
      </c>
      <c r="J162" s="7">
        <v>108502.0</v>
      </c>
      <c r="K162" s="7">
        <v>2336.0</v>
      </c>
      <c r="L162" s="7">
        <v>22.8</v>
      </c>
      <c r="M162" s="7">
        <v>-0.05</v>
      </c>
      <c r="N162" s="7">
        <v>3730.0</v>
      </c>
      <c r="O162" s="7">
        <v>1063356.0</v>
      </c>
      <c r="P162" s="7" t="s">
        <v>409</v>
      </c>
      <c r="Q162" s="7">
        <v>308.23</v>
      </c>
      <c r="R162" s="3">
        <f t="shared" si="1"/>
        <v>308.23</v>
      </c>
    </row>
    <row r="163" ht="22.5" customHeight="1">
      <c r="B163" s="7" t="s">
        <v>203</v>
      </c>
      <c r="C163" s="7">
        <v>172.0</v>
      </c>
      <c r="D163" s="7">
        <v>832.0</v>
      </c>
      <c r="E163" s="7">
        <v>1.1053078E7</v>
      </c>
      <c r="F163" s="7">
        <v>1.0998078E7</v>
      </c>
      <c r="G163" s="7">
        <v>1.3441473E7</v>
      </c>
      <c r="H163" s="7">
        <v>2.4307708E8</v>
      </c>
      <c r="I163" s="7">
        <v>422074.0</v>
      </c>
      <c r="J163" s="7">
        <v>407840.0</v>
      </c>
      <c r="K163" s="7">
        <v>14234.0</v>
      </c>
      <c r="L163" s="7">
        <v>19.07</v>
      </c>
      <c r="M163" s="7">
        <v>-0.03</v>
      </c>
      <c r="N163" s="7">
        <v>22849.0</v>
      </c>
      <c r="O163" s="7">
        <v>4417001.0</v>
      </c>
      <c r="P163" s="7" t="s">
        <v>410</v>
      </c>
      <c r="Q163" s="7">
        <v>1220.15</v>
      </c>
      <c r="R163" s="3">
        <f t="shared" si="1"/>
        <v>1220.15</v>
      </c>
    </row>
    <row r="164" ht="22.5" customHeight="1">
      <c r="B164" s="7" t="s">
        <v>178</v>
      </c>
      <c r="C164" s="7">
        <v>172.0</v>
      </c>
      <c r="D164" s="7">
        <v>832.0</v>
      </c>
      <c r="E164" s="7">
        <v>1.9734865E7</v>
      </c>
      <c r="F164" s="7">
        <v>1.96117E7</v>
      </c>
      <c r="G164" s="7">
        <v>2.4192238E7</v>
      </c>
      <c r="H164" s="7">
        <v>4.53684768E8</v>
      </c>
      <c r="I164" s="7">
        <v>706012.0</v>
      </c>
      <c r="J164" s="7">
        <v>678363.0</v>
      </c>
      <c r="K164" s="7">
        <v>27649.0</v>
      </c>
      <c r="L164" s="7">
        <v>18.71</v>
      </c>
      <c r="M164" s="7">
        <v>-0.03</v>
      </c>
      <c r="N164" s="7">
        <v>44473.0</v>
      </c>
      <c r="O164" s="7">
        <v>7102134.0</v>
      </c>
      <c r="P164" s="7" t="s">
        <v>410</v>
      </c>
      <c r="Q164" s="7">
        <v>3196.69</v>
      </c>
      <c r="R164" s="3">
        <f t="shared" si="1"/>
        <v>3196.69</v>
      </c>
    </row>
    <row r="165" ht="22.5" customHeight="1">
      <c r="B165" s="7" t="s">
        <v>175</v>
      </c>
      <c r="C165" s="7">
        <v>89190.0</v>
      </c>
      <c r="D165" s="7">
        <v>265715.0</v>
      </c>
      <c r="E165" s="7">
        <v>1.1575725E7</v>
      </c>
      <c r="F165" s="7">
        <v>1.1350254E7</v>
      </c>
      <c r="G165" s="7">
        <v>8.824417E7</v>
      </c>
      <c r="H165" s="7">
        <v>1.827000006E9</v>
      </c>
      <c r="I165" s="7">
        <v>569663.0</v>
      </c>
      <c r="J165" s="7">
        <v>551711.0</v>
      </c>
      <c r="K165" s="7">
        <v>17952.0</v>
      </c>
      <c r="L165" s="7">
        <v>30.91</v>
      </c>
      <c r="M165" s="7">
        <v>-0.13</v>
      </c>
      <c r="N165" s="7">
        <v>27348.0</v>
      </c>
      <c r="O165" s="7">
        <v>1.1861443E7</v>
      </c>
      <c r="P165" s="7" t="s">
        <v>410</v>
      </c>
      <c r="Q165" s="7">
        <v>2048.37</v>
      </c>
      <c r="R165" s="3">
        <f t="shared" si="1"/>
        <v>2048.37</v>
      </c>
    </row>
    <row r="166" ht="22.5" customHeight="1">
      <c r="B166" s="7" t="s">
        <v>158</v>
      </c>
      <c r="C166" s="7">
        <v>51996.0</v>
      </c>
      <c r="D166" s="7">
        <v>147555.0</v>
      </c>
      <c r="E166" s="7">
        <v>1.076955E7</v>
      </c>
      <c r="F166" s="7">
        <v>1.071836E7</v>
      </c>
      <c r="G166" s="7">
        <v>1.175969E8</v>
      </c>
      <c r="H166" s="7">
        <v>1.20485669E9</v>
      </c>
      <c r="I166" s="7">
        <v>359419.0</v>
      </c>
      <c r="J166" s="7">
        <v>338664.0</v>
      </c>
      <c r="K166" s="7">
        <v>20755.0</v>
      </c>
      <c r="L166" s="7">
        <v>48.53</v>
      </c>
      <c r="M166" s="7">
        <v>-0.03</v>
      </c>
      <c r="N166" s="7">
        <v>28842.0</v>
      </c>
      <c r="O166" s="7">
        <v>4.2450112E7</v>
      </c>
      <c r="P166" s="7" t="s">
        <v>410</v>
      </c>
      <c r="Q166" s="7">
        <v>737.02</v>
      </c>
      <c r="R166" s="3">
        <f t="shared" si="1"/>
        <v>737.02</v>
      </c>
    </row>
    <row r="167" ht="22.5" customHeight="1">
      <c r="B167" s="7" t="s">
        <v>257</v>
      </c>
      <c r="C167" s="7">
        <v>569318.0</v>
      </c>
      <c r="D167" s="7">
        <v>1484813.0</v>
      </c>
      <c r="E167" s="7">
        <v>5470667.0</v>
      </c>
      <c r="F167" s="7">
        <v>5271622.0</v>
      </c>
      <c r="G167" s="7">
        <v>3.5616706E7</v>
      </c>
      <c r="H167" s="7">
        <v>3.687273698E9</v>
      </c>
      <c r="I167" s="7">
        <v>276412.0</v>
      </c>
      <c r="J167" s="7">
        <v>268737.0</v>
      </c>
      <c r="K167" s="7">
        <v>7675.0</v>
      </c>
      <c r="L167" s="7">
        <v>35.93</v>
      </c>
      <c r="M167" s="7">
        <v>-0.13</v>
      </c>
      <c r="N167" s="7">
        <v>11868.0</v>
      </c>
      <c r="O167" s="7">
        <v>6493463.0</v>
      </c>
      <c r="P167" s="7" t="s">
        <v>410</v>
      </c>
      <c r="Q167" s="7">
        <v>1739.29</v>
      </c>
      <c r="R167" s="3">
        <f t="shared" si="1"/>
        <v>1739.29</v>
      </c>
    </row>
    <row r="168" ht="22.5" customHeight="1">
      <c r="B168" s="7" t="s">
        <v>322</v>
      </c>
      <c r="C168" s="7">
        <v>141985.0</v>
      </c>
      <c r="D168" s="7">
        <v>634173.0</v>
      </c>
      <c r="E168" s="7">
        <v>1.6273536E7</v>
      </c>
      <c r="F168" s="7">
        <v>1.5961527E7</v>
      </c>
      <c r="G168" s="7">
        <v>5.8190618E7</v>
      </c>
      <c r="H168" s="7">
        <v>7.784364987E9</v>
      </c>
      <c r="I168" s="7">
        <v>507657.0</v>
      </c>
      <c r="J168" s="7">
        <v>476052.0</v>
      </c>
      <c r="K168" s="7">
        <v>31605.0</v>
      </c>
      <c r="L168" s="7">
        <v>63.42</v>
      </c>
      <c r="M168" s="7">
        <v>-0.09</v>
      </c>
      <c r="N168" s="7">
        <v>48201.0</v>
      </c>
      <c r="O168" s="7">
        <v>7212500.0</v>
      </c>
      <c r="P168" s="7" t="s">
        <v>411</v>
      </c>
      <c r="Q168" s="7">
        <v>5003.85</v>
      </c>
      <c r="R168" s="3">
        <f t="shared" si="1"/>
        <v>10000</v>
      </c>
    </row>
    <row r="169" ht="22.5" customHeight="1">
      <c r="B169" s="7" t="s">
        <v>323</v>
      </c>
      <c r="C169" s="7">
        <v>59794.0</v>
      </c>
      <c r="D169" s="7">
        <v>243931.0</v>
      </c>
      <c r="E169" s="7">
        <v>1.4786839E7</v>
      </c>
      <c r="F169" s="7">
        <v>1.4565364E7</v>
      </c>
      <c r="G169" s="7">
        <v>3.6714069E7</v>
      </c>
      <c r="H169" s="7">
        <v>3.702772183E9</v>
      </c>
      <c r="I169" s="7">
        <v>505815.0</v>
      </c>
      <c r="J169" s="7">
        <v>480156.0</v>
      </c>
      <c r="K169" s="7">
        <v>25659.0</v>
      </c>
      <c r="L169" s="7">
        <v>57.92</v>
      </c>
      <c r="M169" s="7">
        <v>-0.08</v>
      </c>
      <c r="N169" s="7">
        <v>39986.0</v>
      </c>
      <c r="O169" s="7">
        <v>4913965.0</v>
      </c>
      <c r="P169" s="7" t="s">
        <v>411</v>
      </c>
      <c r="Q169" s="7">
        <v>5003.86</v>
      </c>
      <c r="R169" s="3">
        <f t="shared" si="1"/>
        <v>10000</v>
      </c>
    </row>
    <row r="170" ht="22.5" customHeight="1">
      <c r="B170" s="7" t="s">
        <v>59</v>
      </c>
      <c r="C170" s="7">
        <v>2200.0</v>
      </c>
      <c r="D170" s="7">
        <v>9086.0</v>
      </c>
      <c r="E170" s="7">
        <v>827775.0</v>
      </c>
      <c r="F170" s="7">
        <v>805483.0</v>
      </c>
      <c r="G170" s="7">
        <v>2111764.0</v>
      </c>
      <c r="H170" s="7">
        <v>1.64613214E8</v>
      </c>
      <c r="I170" s="7">
        <v>41024.0</v>
      </c>
      <c r="J170" s="7">
        <v>39723.0</v>
      </c>
      <c r="K170" s="7">
        <v>1301.0</v>
      </c>
      <c r="L170" s="7">
        <v>27.35</v>
      </c>
      <c r="M170" s="7">
        <v>-0.1</v>
      </c>
      <c r="N170" s="7">
        <v>2052.0</v>
      </c>
      <c r="O170" s="7">
        <v>265068.0</v>
      </c>
      <c r="P170" s="7" t="s">
        <v>409</v>
      </c>
      <c r="Q170" s="7">
        <v>94.13</v>
      </c>
      <c r="R170" s="3">
        <f t="shared" si="1"/>
        <v>94.13</v>
      </c>
    </row>
    <row r="171" ht="22.5" customHeight="1">
      <c r="B171" s="7" t="s">
        <v>259</v>
      </c>
      <c r="C171" s="7">
        <v>4680.0</v>
      </c>
      <c r="D171" s="7">
        <v>39640.0</v>
      </c>
      <c r="E171" s="7">
        <v>1.8462833E7</v>
      </c>
      <c r="F171" s="7">
        <v>1.805672E7</v>
      </c>
      <c r="G171" s="7">
        <v>1.20830191E8</v>
      </c>
      <c r="H171" s="7">
        <v>4.561291176E9</v>
      </c>
      <c r="I171" s="7">
        <v>577137.0</v>
      </c>
      <c r="J171" s="7">
        <v>546263.0</v>
      </c>
      <c r="K171" s="7">
        <v>30874.0</v>
      </c>
      <c r="L171" s="7">
        <v>94.86</v>
      </c>
      <c r="M171" s="7">
        <v>-0.1</v>
      </c>
      <c r="N171" s="7">
        <v>47659.0</v>
      </c>
      <c r="O171" s="7">
        <v>1.3063886E7</v>
      </c>
      <c r="P171" s="7" t="s">
        <v>411</v>
      </c>
      <c r="Q171" s="7">
        <v>5003.88</v>
      </c>
      <c r="R171" s="3">
        <f t="shared" si="1"/>
        <v>10000</v>
      </c>
    </row>
    <row r="172" ht="22.5" customHeight="1">
      <c r="B172" s="7" t="s">
        <v>324</v>
      </c>
      <c r="C172" s="7">
        <v>81119.0</v>
      </c>
      <c r="D172" s="7">
        <v>804926.0</v>
      </c>
      <c r="E172" s="7">
        <v>6548132.0</v>
      </c>
      <c r="F172" s="7">
        <v>4652930.0</v>
      </c>
      <c r="G172" s="7">
        <v>2.85111186E8</v>
      </c>
      <c r="H172" s="7">
        <v>9.270094961E9</v>
      </c>
      <c r="I172" s="7">
        <v>176599.0</v>
      </c>
      <c r="J172" s="7">
        <v>170574.0</v>
      </c>
      <c r="K172" s="7">
        <v>6025.0</v>
      </c>
      <c r="L172" s="7">
        <v>473.47</v>
      </c>
      <c r="M172" s="7">
        <v>-0.18</v>
      </c>
      <c r="N172" s="7">
        <v>10148.0</v>
      </c>
      <c r="O172" s="7">
        <v>3.4540204E7</v>
      </c>
      <c r="P172" s="7" t="s">
        <v>409</v>
      </c>
      <c r="Q172" s="7">
        <v>4417.09</v>
      </c>
      <c r="R172" s="3">
        <f t="shared" si="1"/>
        <v>4417.09</v>
      </c>
    </row>
    <row r="173" ht="22.5" customHeight="1">
      <c r="B173" s="7" t="s">
        <v>325</v>
      </c>
      <c r="C173" s="7">
        <v>126152.0</v>
      </c>
      <c r="D173" s="7">
        <v>1297025.0</v>
      </c>
      <c r="E173" s="7">
        <v>7295830.0</v>
      </c>
      <c r="F173" s="7">
        <v>4755227.0</v>
      </c>
      <c r="G173" s="7">
        <v>4.23606122E8</v>
      </c>
      <c r="H173" s="7">
        <v>1.3447791632E10</v>
      </c>
      <c r="I173" s="7">
        <v>187945.0</v>
      </c>
      <c r="J173" s="7">
        <v>182049.0</v>
      </c>
      <c r="K173" s="7">
        <v>5896.0</v>
      </c>
      <c r="L173" s="7">
        <v>507.12</v>
      </c>
      <c r="M173" s="7">
        <v>-0.19</v>
      </c>
      <c r="N173" s="7">
        <v>9973.0</v>
      </c>
      <c r="O173" s="7">
        <v>5.0918199E7</v>
      </c>
      <c r="P173" s="7" t="s">
        <v>411</v>
      </c>
      <c r="Q173" s="7">
        <v>5003.68</v>
      </c>
      <c r="R173" s="3">
        <f t="shared" si="1"/>
        <v>10000</v>
      </c>
    </row>
    <row r="174" ht="22.5" customHeight="1">
      <c r="B174" s="7" t="s">
        <v>326</v>
      </c>
      <c r="C174" s="7">
        <v>189446.0</v>
      </c>
      <c r="D174" s="7">
        <v>2004246.0</v>
      </c>
      <c r="E174" s="7">
        <v>7301983.0</v>
      </c>
      <c r="F174" s="7">
        <v>4338830.0</v>
      </c>
      <c r="G174" s="7">
        <v>4.70908154E8</v>
      </c>
      <c r="H174" s="7">
        <v>1.4967700915E10</v>
      </c>
      <c r="I174" s="7">
        <v>166054.0</v>
      </c>
      <c r="J174" s="7">
        <v>160723.0</v>
      </c>
      <c r="K174" s="7">
        <v>5331.0</v>
      </c>
      <c r="L174" s="7">
        <v>548.38</v>
      </c>
      <c r="M174" s="7">
        <v>-0.18</v>
      </c>
      <c r="N174" s="7">
        <v>9323.0</v>
      </c>
      <c r="O174" s="7">
        <v>6.0647229E7</v>
      </c>
      <c r="P174" s="7" t="s">
        <v>411</v>
      </c>
      <c r="Q174" s="7">
        <v>5003.75</v>
      </c>
      <c r="R174" s="3">
        <f t="shared" si="1"/>
        <v>10000</v>
      </c>
    </row>
    <row r="175" ht="22.5" customHeight="1">
      <c r="B175" s="7" t="s">
        <v>327</v>
      </c>
      <c r="C175" s="7">
        <v>7021.0</v>
      </c>
      <c r="D175" s="7">
        <v>95854.0</v>
      </c>
      <c r="E175" s="7">
        <v>1.7123706E7</v>
      </c>
      <c r="F175" s="7">
        <v>1.694036E7</v>
      </c>
      <c r="G175" s="7">
        <v>2.662877E7</v>
      </c>
      <c r="H175" s="7">
        <v>4.751510236E9</v>
      </c>
      <c r="I175" s="7">
        <v>491994.0</v>
      </c>
      <c r="J175" s="7">
        <v>461311.0</v>
      </c>
      <c r="K175" s="7">
        <v>30683.0</v>
      </c>
      <c r="L175" s="7">
        <v>26.93</v>
      </c>
      <c r="M175" s="7">
        <v>-0.05</v>
      </c>
      <c r="N175" s="7">
        <v>47473.0</v>
      </c>
      <c r="O175" s="7">
        <v>5212135.0</v>
      </c>
      <c r="P175" s="7" t="s">
        <v>411</v>
      </c>
      <c r="Q175" s="7">
        <v>5003.88</v>
      </c>
      <c r="R175" s="3">
        <f t="shared" si="1"/>
        <v>10000</v>
      </c>
    </row>
    <row r="176" ht="22.5" customHeight="1">
      <c r="B176" s="7" t="s">
        <v>328</v>
      </c>
      <c r="C176" s="7">
        <v>152376.0</v>
      </c>
      <c r="D176" s="7">
        <v>308482.0</v>
      </c>
      <c r="E176" s="7">
        <v>7368140.0</v>
      </c>
      <c r="F176" s="7">
        <v>7259643.0</v>
      </c>
      <c r="G176" s="7">
        <v>2.9724665E7</v>
      </c>
      <c r="H176" s="7">
        <v>2.2635541544E10</v>
      </c>
      <c r="I176" s="7">
        <v>397928.0</v>
      </c>
      <c r="J176" s="7">
        <v>390644.0</v>
      </c>
      <c r="K176" s="7">
        <v>7284.0</v>
      </c>
      <c r="L176" s="7">
        <v>41.87</v>
      </c>
      <c r="M176" s="7">
        <v>-0.09</v>
      </c>
      <c r="N176" s="7">
        <v>11487.0</v>
      </c>
      <c r="O176" s="7">
        <v>4098839.0</v>
      </c>
      <c r="P176" s="7" t="s">
        <v>411</v>
      </c>
      <c r="Q176" s="7">
        <v>5003.75</v>
      </c>
      <c r="R176" s="3">
        <f t="shared" si="1"/>
        <v>10000</v>
      </c>
    </row>
    <row r="177" ht="22.5" customHeight="1">
      <c r="B177" s="7" t="s">
        <v>241</v>
      </c>
      <c r="C177" s="7">
        <v>189982.0</v>
      </c>
      <c r="D177" s="7">
        <v>384580.0</v>
      </c>
      <c r="E177" s="7">
        <v>2018262.0</v>
      </c>
      <c r="F177" s="7">
        <v>1978747.0</v>
      </c>
      <c r="G177" s="7">
        <v>4137057.0</v>
      </c>
      <c r="H177" s="7">
        <v>7.898354196E9</v>
      </c>
      <c r="I177" s="7">
        <v>89906.0</v>
      </c>
      <c r="J177" s="7">
        <v>88034.0</v>
      </c>
      <c r="K177" s="7">
        <v>1872.0</v>
      </c>
      <c r="L177" s="7">
        <v>30.4</v>
      </c>
      <c r="M177" s="7">
        <v>-0.08</v>
      </c>
      <c r="N177" s="7">
        <v>2924.0</v>
      </c>
      <c r="O177" s="7">
        <v>1341204.0</v>
      </c>
      <c r="P177" s="7" t="s">
        <v>410</v>
      </c>
      <c r="Q177" s="7">
        <v>2341.28</v>
      </c>
      <c r="R177" s="3">
        <f t="shared" si="1"/>
        <v>2341.28</v>
      </c>
    </row>
    <row r="178" ht="22.5" customHeight="1">
      <c r="B178" s="7" t="s">
        <v>145</v>
      </c>
      <c r="C178" s="7">
        <v>335424.0</v>
      </c>
      <c r="D178" s="7">
        <v>950345.0</v>
      </c>
      <c r="E178" s="7">
        <v>588164.0</v>
      </c>
      <c r="F178" s="7">
        <v>577955.0</v>
      </c>
      <c r="G178" s="7">
        <v>3172321.0</v>
      </c>
      <c r="H178" s="7">
        <v>5.582713388E9</v>
      </c>
      <c r="I178" s="7">
        <v>30005.0</v>
      </c>
      <c r="J178" s="7">
        <v>29315.0</v>
      </c>
      <c r="K178" s="7">
        <v>690.0</v>
      </c>
      <c r="L178" s="7">
        <v>57.11</v>
      </c>
      <c r="M178" s="7">
        <v>-0.1</v>
      </c>
      <c r="N178" s="7">
        <v>1074.0</v>
      </c>
      <c r="O178" s="7">
        <v>360711.0</v>
      </c>
      <c r="P178" s="7" t="s">
        <v>409</v>
      </c>
      <c r="Q178" s="7">
        <v>1572.46</v>
      </c>
      <c r="R178" s="3">
        <f t="shared" si="1"/>
        <v>1572.46</v>
      </c>
    </row>
    <row r="179" ht="22.5" customHeight="1">
      <c r="B179" s="7" t="s">
        <v>249</v>
      </c>
      <c r="C179" s="7">
        <v>351053.0</v>
      </c>
      <c r="D179" s="7">
        <v>1039313.0</v>
      </c>
      <c r="E179" s="7">
        <v>701726.0</v>
      </c>
      <c r="F179" s="7">
        <v>690034.0</v>
      </c>
      <c r="G179" s="7">
        <v>3902752.0</v>
      </c>
      <c r="H179" s="7">
        <v>7.418774558E9</v>
      </c>
      <c r="I179" s="7">
        <v>36778.0</v>
      </c>
      <c r="J179" s="7">
        <v>35744.0</v>
      </c>
      <c r="K179" s="7">
        <v>1034.0</v>
      </c>
      <c r="L179" s="7">
        <v>62.58</v>
      </c>
      <c r="M179" s="7">
        <v>-0.1</v>
      </c>
      <c r="N179" s="7">
        <v>1592.0</v>
      </c>
      <c r="O179" s="7">
        <v>352219.0</v>
      </c>
      <c r="P179" s="7" t="s">
        <v>409</v>
      </c>
      <c r="Q179" s="7">
        <v>2454.4</v>
      </c>
      <c r="R179" s="3">
        <f t="shared" si="1"/>
        <v>2454.4</v>
      </c>
    </row>
    <row r="180" ht="22.5" customHeight="1">
      <c r="B180" s="7" t="s">
        <v>329</v>
      </c>
      <c r="C180" s="7">
        <v>6300.0</v>
      </c>
      <c r="D180" s="7">
        <v>114816.0</v>
      </c>
      <c r="E180" s="7">
        <v>3.7874821E7</v>
      </c>
      <c r="F180" s="7">
        <v>3.7571151E7</v>
      </c>
      <c r="G180" s="7">
        <v>4.2683228E7</v>
      </c>
      <c r="H180" s="7">
        <v>2.543380446E9</v>
      </c>
      <c r="I180" s="7">
        <v>1217080.0</v>
      </c>
      <c r="J180" s="7">
        <v>1166599.0</v>
      </c>
      <c r="K180" s="7">
        <v>50481.0</v>
      </c>
      <c r="L180" s="7">
        <v>53.6</v>
      </c>
      <c r="M180" s="7">
        <v>-0.03</v>
      </c>
      <c r="N180" s="7">
        <v>75042.0</v>
      </c>
      <c r="O180" s="7">
        <v>1.9268446E7</v>
      </c>
      <c r="P180" s="7" t="s">
        <v>411</v>
      </c>
      <c r="Q180" s="7">
        <v>5003.87</v>
      </c>
      <c r="R180" s="3">
        <f t="shared" si="1"/>
        <v>10000</v>
      </c>
    </row>
    <row r="181" ht="22.5" customHeight="1">
      <c r="B181" s="7" t="s">
        <v>330</v>
      </c>
      <c r="C181" s="7">
        <v>28147.0</v>
      </c>
      <c r="D181" s="7">
        <v>108399.0</v>
      </c>
      <c r="E181" s="7">
        <v>1.383674E7</v>
      </c>
      <c r="F181" s="7">
        <v>1.33049E7</v>
      </c>
      <c r="G181" s="7">
        <v>1.32487481E8</v>
      </c>
      <c r="H181" s="7">
        <v>7.898617123E9</v>
      </c>
      <c r="I181" s="7">
        <v>533698.0</v>
      </c>
      <c r="J181" s="7">
        <v>513013.0</v>
      </c>
      <c r="K181" s="7">
        <v>20685.0</v>
      </c>
      <c r="L181" s="7">
        <v>217.69</v>
      </c>
      <c r="M181" s="7">
        <v>-0.12</v>
      </c>
      <c r="N181" s="7">
        <v>33572.0</v>
      </c>
      <c r="O181" s="7">
        <v>6817450.0</v>
      </c>
      <c r="P181" s="7" t="s">
        <v>411</v>
      </c>
      <c r="Q181" s="7">
        <v>5003.67</v>
      </c>
      <c r="R181" s="3">
        <f t="shared" si="1"/>
        <v>10000</v>
      </c>
    </row>
    <row r="182" ht="22.5" customHeight="1">
      <c r="B182" s="7" t="s">
        <v>331</v>
      </c>
      <c r="C182" s="7">
        <v>36809.0</v>
      </c>
      <c r="D182" s="7">
        <v>142448.0</v>
      </c>
      <c r="E182" s="7">
        <v>7409849.0</v>
      </c>
      <c r="F182" s="7">
        <v>6977260.0</v>
      </c>
      <c r="G182" s="7">
        <v>2.41398819E8</v>
      </c>
      <c r="H182" s="7">
        <v>7.516403224E9</v>
      </c>
      <c r="I182" s="7">
        <v>428117.0</v>
      </c>
      <c r="J182" s="7">
        <v>421721.0</v>
      </c>
      <c r="K182" s="7">
        <v>6396.0</v>
      </c>
      <c r="L182" s="7">
        <v>235.78</v>
      </c>
      <c r="M182" s="7">
        <v>-0.19</v>
      </c>
      <c r="N182" s="7">
        <v>10599.0</v>
      </c>
      <c r="O182" s="7">
        <v>1.2172459E7</v>
      </c>
      <c r="P182" s="7" t="s">
        <v>411</v>
      </c>
      <c r="Q182" s="7">
        <v>5003.86</v>
      </c>
      <c r="R182" s="3">
        <f t="shared" si="1"/>
        <v>10000</v>
      </c>
    </row>
    <row r="183" ht="22.5" customHeight="1">
      <c r="B183" s="7" t="s">
        <v>162</v>
      </c>
      <c r="C183" s="7">
        <v>6634.0</v>
      </c>
      <c r="D183" s="7">
        <v>23392.0</v>
      </c>
      <c r="E183" s="7">
        <v>4497523.0</v>
      </c>
      <c r="F183" s="7">
        <v>4414105.0</v>
      </c>
      <c r="G183" s="7">
        <v>8359105.0</v>
      </c>
      <c r="H183" s="7">
        <v>1.26543041E9</v>
      </c>
      <c r="I183" s="7">
        <v>116229.0</v>
      </c>
      <c r="J183" s="7">
        <v>108203.0</v>
      </c>
      <c r="K183" s="7">
        <v>8026.0</v>
      </c>
      <c r="L183" s="7">
        <v>67.12</v>
      </c>
      <c r="M183" s="7">
        <v>-0.05</v>
      </c>
      <c r="N183" s="7">
        <v>12214.0</v>
      </c>
      <c r="O183" s="7">
        <v>1519929.0</v>
      </c>
      <c r="P183" s="7" t="s">
        <v>409</v>
      </c>
      <c r="Q183" s="7">
        <v>872.09</v>
      </c>
      <c r="R183" s="3">
        <f t="shared" si="1"/>
        <v>872.09</v>
      </c>
    </row>
    <row r="184" ht="22.5" customHeight="1">
      <c r="B184" s="7" t="s">
        <v>193</v>
      </c>
      <c r="C184" s="7">
        <v>10675.0</v>
      </c>
      <c r="D184" s="7">
        <v>84849.0</v>
      </c>
      <c r="E184" s="7">
        <v>4477136.0</v>
      </c>
      <c r="F184" s="7">
        <v>4397117.0</v>
      </c>
      <c r="G184" s="7">
        <v>6655050.0</v>
      </c>
      <c r="H184" s="7">
        <v>1.050120473E9</v>
      </c>
      <c r="I184" s="7">
        <v>106988.0</v>
      </c>
      <c r="J184" s="7">
        <v>99721.0</v>
      </c>
      <c r="K184" s="7">
        <v>7267.0</v>
      </c>
      <c r="L184" s="7">
        <v>29.32</v>
      </c>
      <c r="M184" s="7">
        <v>-0.04</v>
      </c>
      <c r="N184" s="7">
        <v>11458.0</v>
      </c>
      <c r="O184" s="7">
        <v>1743065.0</v>
      </c>
      <c r="P184" s="7" t="s">
        <v>410</v>
      </c>
      <c r="Q184" s="7">
        <v>1330.35</v>
      </c>
      <c r="R184" s="3">
        <f t="shared" si="1"/>
        <v>1330.35</v>
      </c>
    </row>
    <row r="185" ht="22.5" customHeight="1">
      <c r="B185" s="7" t="s">
        <v>5</v>
      </c>
      <c r="C185" s="7">
        <v>35945.0</v>
      </c>
      <c r="D185" s="7">
        <v>1218255.0</v>
      </c>
      <c r="E185" s="7">
        <v>1042.0</v>
      </c>
      <c r="F185" s="7">
        <v>1019.0</v>
      </c>
      <c r="G185" s="7">
        <v>17325.0</v>
      </c>
      <c r="H185" s="7">
        <v>175580.0</v>
      </c>
      <c r="I185" s="7">
        <v>36.0</v>
      </c>
      <c r="J185" s="7">
        <v>36.0</v>
      </c>
      <c r="K185" s="7">
        <v>0.0</v>
      </c>
      <c r="L185" s="7">
        <v>14.02</v>
      </c>
      <c r="M185" s="7">
        <v>-0.17</v>
      </c>
      <c r="N185" s="7">
        <v>1.0</v>
      </c>
      <c r="O185" s="7">
        <v>6689.0</v>
      </c>
      <c r="P185" s="7" t="s">
        <v>409</v>
      </c>
      <c r="Q185" s="7">
        <v>1.14</v>
      </c>
      <c r="R185" s="3">
        <f t="shared" si="1"/>
        <v>1.14</v>
      </c>
    </row>
    <row r="186" ht="22.5" customHeight="1">
      <c r="B186" s="7" t="s">
        <v>14</v>
      </c>
      <c r="C186" s="7">
        <v>35320.0</v>
      </c>
      <c r="D186" s="7">
        <v>1182493.0</v>
      </c>
      <c r="E186" s="7">
        <v>1082.0</v>
      </c>
      <c r="F186" s="7">
        <v>1069.0</v>
      </c>
      <c r="G186" s="7">
        <v>23463.0</v>
      </c>
      <c r="H186" s="7">
        <v>226033.0</v>
      </c>
      <c r="I186" s="7">
        <v>47.0</v>
      </c>
      <c r="J186" s="7">
        <v>47.0</v>
      </c>
      <c r="K186" s="7">
        <v>0.0</v>
      </c>
      <c r="L186" s="7">
        <v>19.18</v>
      </c>
      <c r="M186" s="7">
        <v>-0.15</v>
      </c>
      <c r="N186" s="7">
        <v>1.0</v>
      </c>
      <c r="O186" s="7">
        <v>10249.0</v>
      </c>
      <c r="P186" s="7" t="s">
        <v>409</v>
      </c>
      <c r="Q186" s="7">
        <v>1.12</v>
      </c>
      <c r="R186" s="3">
        <f t="shared" si="1"/>
        <v>1.12</v>
      </c>
    </row>
    <row r="187" ht="22.5" customHeight="1">
      <c r="B187" s="7" t="s">
        <v>192</v>
      </c>
      <c r="C187" s="7">
        <v>3426.0</v>
      </c>
      <c r="D187" s="7">
        <v>20454.0</v>
      </c>
      <c r="E187" s="7">
        <v>1464989.0</v>
      </c>
      <c r="F187" s="7">
        <v>1464980.0</v>
      </c>
      <c r="G187" s="7">
        <v>1466828.0</v>
      </c>
      <c r="H187" s="7">
        <v>9.85683494E8</v>
      </c>
      <c r="I187" s="7">
        <v>25211.0</v>
      </c>
      <c r="J187" s="7">
        <v>23594.0</v>
      </c>
      <c r="K187" s="7">
        <v>1617.0</v>
      </c>
      <c r="L187" s="7">
        <v>16.33</v>
      </c>
      <c r="M187" s="7">
        <v>0.0</v>
      </c>
      <c r="N187" s="7">
        <v>2673.0</v>
      </c>
      <c r="O187" s="7">
        <v>715450.0</v>
      </c>
      <c r="P187" s="7" t="s">
        <v>409</v>
      </c>
      <c r="Q187" s="7">
        <v>212.41</v>
      </c>
      <c r="R187" s="3">
        <f t="shared" si="1"/>
        <v>212.41</v>
      </c>
    </row>
    <row r="188" ht="22.5" customHeight="1">
      <c r="B188" s="7" t="s">
        <v>66</v>
      </c>
      <c r="C188" s="7">
        <v>3426.0</v>
      </c>
      <c r="D188" s="7">
        <v>20302.0</v>
      </c>
      <c r="E188" s="7">
        <v>7953310.0</v>
      </c>
      <c r="F188" s="7">
        <v>7953006.0</v>
      </c>
      <c r="G188" s="7">
        <v>7961568.0</v>
      </c>
      <c r="H188" s="7">
        <v>6.611952567E9</v>
      </c>
      <c r="I188" s="7">
        <v>224578.0</v>
      </c>
      <c r="J188" s="7">
        <v>217956.0</v>
      </c>
      <c r="K188" s="7">
        <v>6622.0</v>
      </c>
      <c r="L188" s="7">
        <v>17.52</v>
      </c>
      <c r="M188" s="7">
        <v>0.0</v>
      </c>
      <c r="N188" s="7">
        <v>10837.0</v>
      </c>
      <c r="O188" s="7">
        <v>4595324.0</v>
      </c>
      <c r="P188" s="7" t="s">
        <v>409</v>
      </c>
      <c r="Q188" s="7">
        <v>1622.11</v>
      </c>
      <c r="R188" s="3">
        <f t="shared" si="1"/>
        <v>1622.11</v>
      </c>
    </row>
    <row r="189" ht="22.5" customHeight="1">
      <c r="B189" s="7" t="s">
        <v>40</v>
      </c>
      <c r="C189" s="7">
        <v>13240.0</v>
      </c>
      <c r="D189" s="7">
        <v>39135.0</v>
      </c>
      <c r="E189" s="7">
        <v>433666.0</v>
      </c>
      <c r="F189" s="7">
        <v>419872.0</v>
      </c>
      <c r="G189" s="7">
        <v>1601115.0</v>
      </c>
      <c r="H189" s="7">
        <v>6.7219767E7</v>
      </c>
      <c r="I189" s="7">
        <v>28134.0</v>
      </c>
      <c r="J189" s="7">
        <v>27623.0</v>
      </c>
      <c r="K189" s="7">
        <v>511.0</v>
      </c>
      <c r="L189" s="7">
        <v>34.42</v>
      </c>
      <c r="M189" s="7">
        <v>-0.14</v>
      </c>
      <c r="N189" s="7">
        <v>775.0</v>
      </c>
      <c r="O189" s="7">
        <v>275918.0</v>
      </c>
      <c r="P189" s="7" t="s">
        <v>410</v>
      </c>
      <c r="Q189" s="7">
        <v>35.46</v>
      </c>
      <c r="R189" s="3">
        <f t="shared" si="1"/>
        <v>35.46</v>
      </c>
    </row>
    <row r="190" ht="22.5" customHeight="1">
      <c r="B190" s="7" t="s">
        <v>332</v>
      </c>
      <c r="C190" s="7">
        <v>8590.0</v>
      </c>
      <c r="D190" s="7">
        <v>65144.0</v>
      </c>
      <c r="E190" s="7">
        <v>1.713182E7</v>
      </c>
      <c r="F190" s="7">
        <v>1.6684168E7</v>
      </c>
      <c r="G190" s="7">
        <v>1.94539665E8</v>
      </c>
      <c r="H190" s="7">
        <v>2.827426879E9</v>
      </c>
      <c r="I190" s="7">
        <v>447035.0</v>
      </c>
      <c r="J190" s="7">
        <v>416135.0</v>
      </c>
      <c r="K190" s="7">
        <v>30900.0</v>
      </c>
      <c r="L190" s="7">
        <v>98.0</v>
      </c>
      <c r="M190" s="7">
        <v>-0.15</v>
      </c>
      <c r="N190" s="7">
        <v>47683.0</v>
      </c>
      <c r="O190" s="7">
        <v>2.5359538E7</v>
      </c>
      <c r="P190" s="7" t="s">
        <v>411</v>
      </c>
      <c r="Q190" s="7">
        <v>5003.8</v>
      </c>
      <c r="R190" s="3">
        <f t="shared" si="1"/>
        <v>10000</v>
      </c>
    </row>
    <row r="191" ht="22.5" customHeight="1">
      <c r="B191" s="7" t="s">
        <v>333</v>
      </c>
      <c r="C191" s="7">
        <v>8591.0</v>
      </c>
      <c r="D191" s="7">
        <v>65154.0</v>
      </c>
      <c r="E191" s="7">
        <v>1.6179361E7</v>
      </c>
      <c r="F191" s="7">
        <v>1.5764742E7</v>
      </c>
      <c r="G191" s="7">
        <v>1.75239716E8</v>
      </c>
      <c r="H191" s="7">
        <v>2.77587124E9</v>
      </c>
      <c r="I191" s="7">
        <v>403017.0</v>
      </c>
      <c r="J191" s="7">
        <v>371299.0</v>
      </c>
      <c r="K191" s="7">
        <v>31718.0</v>
      </c>
      <c r="L191" s="7">
        <v>117.17</v>
      </c>
      <c r="M191" s="7">
        <v>-0.14</v>
      </c>
      <c r="N191" s="7">
        <v>48174.0</v>
      </c>
      <c r="O191" s="7">
        <v>2.2372589E7</v>
      </c>
      <c r="P191" s="7" t="s">
        <v>411</v>
      </c>
      <c r="Q191" s="7">
        <v>5003.84</v>
      </c>
      <c r="R191" s="3">
        <f t="shared" si="1"/>
        <v>10000</v>
      </c>
    </row>
    <row r="192" ht="22.5" customHeight="1">
      <c r="B192" s="7" t="s">
        <v>157</v>
      </c>
      <c r="C192" s="7">
        <v>72078.0</v>
      </c>
      <c r="D192" s="7">
        <v>517702.0</v>
      </c>
      <c r="E192" s="7">
        <v>2084813.0</v>
      </c>
      <c r="F192" s="7">
        <v>2046944.0</v>
      </c>
      <c r="G192" s="7">
        <v>1.422787E7</v>
      </c>
      <c r="H192" s="7">
        <v>7.04618811E8</v>
      </c>
      <c r="I192" s="7">
        <v>120957.0</v>
      </c>
      <c r="J192" s="7">
        <v>118746.0</v>
      </c>
      <c r="K192" s="7">
        <v>2211.0</v>
      </c>
      <c r="L192" s="7">
        <v>29.27</v>
      </c>
      <c r="M192" s="7">
        <v>-0.15</v>
      </c>
      <c r="N192" s="7">
        <v>3321.0</v>
      </c>
      <c r="O192" s="7">
        <v>2509068.0</v>
      </c>
      <c r="P192" s="7" t="s">
        <v>409</v>
      </c>
      <c r="Q192" s="7">
        <v>484.71</v>
      </c>
      <c r="R192" s="3">
        <f t="shared" si="1"/>
        <v>484.71</v>
      </c>
    </row>
    <row r="193" ht="22.5" customHeight="1">
      <c r="B193" s="7" t="s">
        <v>199</v>
      </c>
      <c r="C193" s="7">
        <v>72078.0</v>
      </c>
      <c r="D193" s="7">
        <v>517705.0</v>
      </c>
      <c r="E193" s="7">
        <v>2638444.0</v>
      </c>
      <c r="F193" s="7">
        <v>2597174.0</v>
      </c>
      <c r="G193" s="7">
        <v>1.5225056E7</v>
      </c>
      <c r="H193" s="7">
        <v>1.084523341E9</v>
      </c>
      <c r="I193" s="7">
        <v>126191.0</v>
      </c>
      <c r="J193" s="7">
        <v>122503.0</v>
      </c>
      <c r="K193" s="7">
        <v>3688.0</v>
      </c>
      <c r="L193" s="7">
        <v>27.56</v>
      </c>
      <c r="M193" s="7">
        <v>-0.13</v>
      </c>
      <c r="N193" s="7">
        <v>5649.0</v>
      </c>
      <c r="O193" s="7">
        <v>2503937.0</v>
      </c>
      <c r="P193" s="7" t="s">
        <v>410</v>
      </c>
      <c r="Q193" s="7">
        <v>792.56</v>
      </c>
      <c r="R193" s="3">
        <f t="shared" si="1"/>
        <v>792.56</v>
      </c>
    </row>
    <row r="194" ht="22.5" customHeight="1">
      <c r="B194" s="7" t="s">
        <v>111</v>
      </c>
      <c r="C194" s="7">
        <v>72078.0</v>
      </c>
      <c r="D194" s="7">
        <v>517728.0</v>
      </c>
      <c r="E194" s="7">
        <v>593202.0</v>
      </c>
      <c r="F194" s="7">
        <v>581826.0</v>
      </c>
      <c r="G194" s="7">
        <v>3932598.0</v>
      </c>
      <c r="H194" s="7">
        <v>2.58606171E8</v>
      </c>
      <c r="I194" s="7">
        <v>34535.0</v>
      </c>
      <c r="J194" s="7">
        <v>33758.0</v>
      </c>
      <c r="K194" s="7">
        <v>777.0</v>
      </c>
      <c r="L194" s="7">
        <v>31.39</v>
      </c>
      <c r="M194" s="7">
        <v>-0.15</v>
      </c>
      <c r="N194" s="7">
        <v>1167.0</v>
      </c>
      <c r="O194" s="7">
        <v>696779.0</v>
      </c>
      <c r="P194" s="7" t="s">
        <v>409</v>
      </c>
      <c r="Q194" s="7">
        <v>131.49</v>
      </c>
      <c r="R194" s="3">
        <f t="shared" si="1"/>
        <v>131.49</v>
      </c>
    </row>
    <row r="195" ht="22.5" customHeight="1">
      <c r="B195" s="7" t="s">
        <v>163</v>
      </c>
      <c r="C195" s="7">
        <v>72078.0</v>
      </c>
      <c r="D195" s="7">
        <v>517728.0</v>
      </c>
      <c r="E195" s="7">
        <v>2268506.0</v>
      </c>
      <c r="F195" s="7">
        <v>2230127.0</v>
      </c>
      <c r="G195" s="7">
        <v>1.4803158E7</v>
      </c>
      <c r="H195" s="7">
        <v>7.90227261E8</v>
      </c>
      <c r="I195" s="7">
        <v>124612.0</v>
      </c>
      <c r="J195" s="7">
        <v>121972.0</v>
      </c>
      <c r="K195" s="7">
        <v>2640.0</v>
      </c>
      <c r="L195" s="7">
        <v>26.14</v>
      </c>
      <c r="M195" s="7">
        <v>-0.14</v>
      </c>
      <c r="N195" s="7">
        <v>4033.0</v>
      </c>
      <c r="O195" s="7">
        <v>2529745.0</v>
      </c>
      <c r="P195" s="7" t="s">
        <v>410</v>
      </c>
      <c r="Q195" s="7">
        <v>566.67</v>
      </c>
      <c r="R195" s="3">
        <f t="shared" si="1"/>
        <v>566.67</v>
      </c>
    </row>
    <row r="196" ht="22.5" customHeight="1">
      <c r="B196" s="7" t="s">
        <v>189</v>
      </c>
      <c r="C196" s="7">
        <v>153834.0</v>
      </c>
      <c r="D196" s="7">
        <v>459957.0</v>
      </c>
      <c r="E196" s="7">
        <v>5730585.0</v>
      </c>
      <c r="F196" s="7">
        <v>5512541.0</v>
      </c>
      <c r="G196" s="7">
        <v>4.7211613E7</v>
      </c>
      <c r="H196" s="7">
        <v>8.7434551E8</v>
      </c>
      <c r="I196" s="7">
        <v>178679.0</v>
      </c>
      <c r="J196" s="7">
        <v>169459.0</v>
      </c>
      <c r="K196" s="7">
        <v>9220.0</v>
      </c>
      <c r="L196" s="7">
        <v>118.11</v>
      </c>
      <c r="M196" s="7">
        <v>-0.07</v>
      </c>
      <c r="N196" s="7">
        <v>13381.0</v>
      </c>
      <c r="O196" s="7">
        <v>1.6007254E7</v>
      </c>
      <c r="P196" s="7" t="s">
        <v>410</v>
      </c>
      <c r="Q196" s="7">
        <v>1149.96</v>
      </c>
      <c r="R196" s="3">
        <f t="shared" si="1"/>
        <v>1149.96</v>
      </c>
    </row>
    <row r="197" ht="22.5" customHeight="1">
      <c r="B197" s="7" t="s">
        <v>334</v>
      </c>
      <c r="C197" s="7">
        <v>24975.0</v>
      </c>
      <c r="D197" s="7">
        <v>111780.0</v>
      </c>
      <c r="E197" s="7">
        <v>2.7297024E7</v>
      </c>
      <c r="F197" s="7">
        <v>2.6669839E7</v>
      </c>
      <c r="G197" s="7">
        <v>3.56237917E8</v>
      </c>
      <c r="H197" s="7">
        <v>6.823055513E9</v>
      </c>
      <c r="I197" s="7">
        <v>1615603.0</v>
      </c>
      <c r="J197" s="7">
        <v>1585473.0</v>
      </c>
      <c r="K197" s="7">
        <v>30130.0</v>
      </c>
      <c r="L197" s="7">
        <v>65.89</v>
      </c>
      <c r="M197" s="7">
        <v>-0.15</v>
      </c>
      <c r="N197" s="7">
        <v>46925.0</v>
      </c>
      <c r="O197" s="7">
        <v>2.6451653E7</v>
      </c>
      <c r="P197" s="7" t="s">
        <v>411</v>
      </c>
      <c r="Q197" s="7">
        <v>5003.86</v>
      </c>
      <c r="R197" s="3">
        <f t="shared" si="1"/>
        <v>10000</v>
      </c>
    </row>
    <row r="198" ht="22.5" customHeight="1">
      <c r="B198" s="7" t="s">
        <v>335</v>
      </c>
      <c r="C198" s="7">
        <v>26541.0</v>
      </c>
      <c r="D198" s="7">
        <v>117126.0</v>
      </c>
      <c r="E198" s="7">
        <v>2.6411393E7</v>
      </c>
      <c r="F198" s="7">
        <v>2.5951633E7</v>
      </c>
      <c r="G198" s="7">
        <v>2.50439277E8</v>
      </c>
      <c r="H198" s="7">
        <v>5.136542434E9</v>
      </c>
      <c r="I198" s="7">
        <v>1226228.0</v>
      </c>
      <c r="J198" s="7">
        <v>1192465.0</v>
      </c>
      <c r="K198" s="7">
        <v>33763.0</v>
      </c>
      <c r="L198" s="7">
        <v>62.8</v>
      </c>
      <c r="M198" s="7">
        <v>-0.13</v>
      </c>
      <c r="N198" s="7">
        <v>50537.0</v>
      </c>
      <c r="O198" s="7">
        <v>2.6329479E7</v>
      </c>
      <c r="P198" s="7" t="s">
        <v>411</v>
      </c>
      <c r="Q198" s="7">
        <v>5003.87</v>
      </c>
      <c r="R198" s="3">
        <f t="shared" si="1"/>
        <v>10000</v>
      </c>
    </row>
    <row r="199" ht="22.5" customHeight="1">
      <c r="B199" s="7" t="s">
        <v>336</v>
      </c>
      <c r="C199" s="7">
        <v>26541.0</v>
      </c>
      <c r="D199" s="7">
        <v>117126.0</v>
      </c>
      <c r="E199" s="7">
        <v>2.8216232E7</v>
      </c>
      <c r="F199" s="7">
        <v>2.7700692E7</v>
      </c>
      <c r="G199" s="7">
        <v>2.8589889E8</v>
      </c>
      <c r="H199" s="7">
        <v>5.692540575E9</v>
      </c>
      <c r="I199" s="7">
        <v>1376838.0</v>
      </c>
      <c r="J199" s="7">
        <v>1343241.0</v>
      </c>
      <c r="K199" s="7">
        <v>33597.0</v>
      </c>
      <c r="L199" s="7">
        <v>62.15</v>
      </c>
      <c r="M199" s="7">
        <v>-0.14</v>
      </c>
      <c r="N199" s="7">
        <v>50371.0</v>
      </c>
      <c r="O199" s="7">
        <v>3.0457894E7</v>
      </c>
      <c r="P199" s="7" t="s">
        <v>411</v>
      </c>
      <c r="Q199" s="7">
        <v>5003.87</v>
      </c>
      <c r="R199" s="3">
        <f t="shared" si="1"/>
        <v>10000</v>
      </c>
    </row>
    <row r="200" ht="22.5" customHeight="1">
      <c r="B200" s="7" t="s">
        <v>337</v>
      </c>
      <c r="C200" s="7">
        <v>26541.0</v>
      </c>
      <c r="D200" s="7">
        <v>117126.0</v>
      </c>
      <c r="E200" s="7">
        <v>2.6061232E7</v>
      </c>
      <c r="F200" s="7">
        <v>2.5606949E7</v>
      </c>
      <c r="G200" s="7">
        <v>2.54041024E8</v>
      </c>
      <c r="H200" s="7">
        <v>5.075113471E9</v>
      </c>
      <c r="I200" s="7">
        <v>1245829.0</v>
      </c>
      <c r="J200" s="7">
        <v>1211767.0</v>
      </c>
      <c r="K200" s="7">
        <v>34062.0</v>
      </c>
      <c r="L200" s="7">
        <v>64.59</v>
      </c>
      <c r="M200" s="7">
        <v>-0.13</v>
      </c>
      <c r="N200" s="7">
        <v>50835.0</v>
      </c>
      <c r="O200" s="7">
        <v>2.5613434E7</v>
      </c>
      <c r="P200" s="7" t="s">
        <v>411</v>
      </c>
      <c r="Q200" s="7">
        <v>5003.87</v>
      </c>
      <c r="R200" s="3">
        <f t="shared" si="1"/>
        <v>10000</v>
      </c>
    </row>
    <row r="201" ht="22.5" customHeight="1">
      <c r="B201" s="7" t="s">
        <v>338</v>
      </c>
      <c r="C201" s="7">
        <v>26541.0</v>
      </c>
      <c r="D201" s="7">
        <v>117126.0</v>
      </c>
      <c r="E201" s="7">
        <v>2.810728E7</v>
      </c>
      <c r="F201" s="7">
        <v>2.7599642E7</v>
      </c>
      <c r="G201" s="7">
        <v>2.79835047E8</v>
      </c>
      <c r="H201" s="7">
        <v>5.550824362E9</v>
      </c>
      <c r="I201" s="7">
        <v>1351236.0</v>
      </c>
      <c r="J201" s="7">
        <v>1317505.0</v>
      </c>
      <c r="K201" s="7">
        <v>33731.0</v>
      </c>
      <c r="L201" s="7">
        <v>63.47</v>
      </c>
      <c r="M201" s="7">
        <v>-0.14</v>
      </c>
      <c r="N201" s="7">
        <v>50505.0</v>
      </c>
      <c r="O201" s="7">
        <v>2.9604904E7</v>
      </c>
      <c r="P201" s="7" t="s">
        <v>411</v>
      </c>
      <c r="Q201" s="7">
        <v>5003.79</v>
      </c>
      <c r="R201" s="3">
        <f t="shared" si="1"/>
        <v>10000</v>
      </c>
    </row>
    <row r="202" ht="22.5" customHeight="1">
      <c r="B202" s="7" t="s">
        <v>339</v>
      </c>
      <c r="C202" s="7">
        <v>26541.0</v>
      </c>
      <c r="D202" s="7">
        <v>117126.0</v>
      </c>
      <c r="E202" s="7">
        <v>2.4098372E7</v>
      </c>
      <c r="F202" s="7">
        <v>2.3681307E7</v>
      </c>
      <c r="G202" s="7">
        <v>2.09242503E8</v>
      </c>
      <c r="H202" s="7">
        <v>4.635907642E9</v>
      </c>
      <c r="I202" s="7">
        <v>983988.0</v>
      </c>
      <c r="J202" s="7">
        <v>950078.0</v>
      </c>
      <c r="K202" s="7">
        <v>33910.0</v>
      </c>
      <c r="L202" s="7">
        <v>68.6</v>
      </c>
      <c r="M202" s="7">
        <v>-0.12</v>
      </c>
      <c r="N202" s="7">
        <v>50683.0</v>
      </c>
      <c r="O202" s="7">
        <v>2.2993267E7</v>
      </c>
      <c r="P202" s="7" t="s">
        <v>411</v>
      </c>
      <c r="Q202" s="7">
        <v>5003.89</v>
      </c>
      <c r="R202" s="3">
        <f t="shared" si="1"/>
        <v>10000</v>
      </c>
    </row>
    <row r="203" ht="22.5" customHeight="1">
      <c r="B203" s="7" t="s">
        <v>340</v>
      </c>
      <c r="C203" s="7">
        <v>26541.0</v>
      </c>
      <c r="D203" s="7">
        <v>117126.0</v>
      </c>
      <c r="E203" s="7">
        <v>2.5084695E7</v>
      </c>
      <c r="F203" s="7">
        <v>2.4645484E7</v>
      </c>
      <c r="G203" s="7">
        <v>2.32568755E8</v>
      </c>
      <c r="H203" s="7">
        <v>4.918896291E9</v>
      </c>
      <c r="I203" s="7">
        <v>1107766.0</v>
      </c>
      <c r="J203" s="7">
        <v>1073825.0</v>
      </c>
      <c r="K203" s="7">
        <v>33941.0</v>
      </c>
      <c r="L203" s="7">
        <v>65.94</v>
      </c>
      <c r="M203" s="7">
        <v>-0.13</v>
      </c>
      <c r="N203" s="7">
        <v>50715.0</v>
      </c>
      <c r="O203" s="7">
        <v>2.4538367E7</v>
      </c>
      <c r="P203" s="7" t="s">
        <v>411</v>
      </c>
      <c r="Q203" s="7">
        <v>5003.88</v>
      </c>
      <c r="R203" s="3">
        <f t="shared" si="1"/>
        <v>10000</v>
      </c>
    </row>
    <row r="204" ht="22.5" customHeight="1">
      <c r="B204" s="7" t="s">
        <v>341</v>
      </c>
      <c r="C204" s="7">
        <v>26541.0</v>
      </c>
      <c r="D204" s="7">
        <v>117126.0</v>
      </c>
      <c r="E204" s="7">
        <v>2.514831E7</v>
      </c>
      <c r="F204" s="7">
        <v>2.4729522E7</v>
      </c>
      <c r="G204" s="7">
        <v>2.27345691E8</v>
      </c>
      <c r="H204" s="7">
        <v>4.734110244E9</v>
      </c>
      <c r="I204" s="7">
        <v>1131945.0</v>
      </c>
      <c r="J204" s="7">
        <v>1097796.0</v>
      </c>
      <c r="K204" s="7">
        <v>34149.0</v>
      </c>
      <c r="L204" s="7">
        <v>65.11</v>
      </c>
      <c r="M204" s="7">
        <v>-0.13</v>
      </c>
      <c r="N204" s="7">
        <v>50920.0</v>
      </c>
      <c r="O204" s="7">
        <v>2.320263E7</v>
      </c>
      <c r="P204" s="7" t="s">
        <v>411</v>
      </c>
      <c r="Q204" s="7">
        <v>5003.87</v>
      </c>
      <c r="R204" s="3">
        <f t="shared" si="1"/>
        <v>10000</v>
      </c>
    </row>
    <row r="205" ht="22.5" customHeight="1">
      <c r="B205" s="7" t="s">
        <v>342</v>
      </c>
      <c r="C205" s="7">
        <v>26541.0</v>
      </c>
      <c r="D205" s="7">
        <v>117126.0</v>
      </c>
      <c r="E205" s="7">
        <v>2.747086E7</v>
      </c>
      <c r="F205" s="7">
        <v>2.6990944E7</v>
      </c>
      <c r="G205" s="7">
        <v>2.61569542E8</v>
      </c>
      <c r="H205" s="7">
        <v>5.307278078E9</v>
      </c>
      <c r="I205" s="7">
        <v>1284563.0</v>
      </c>
      <c r="J205" s="7">
        <v>1250479.0</v>
      </c>
      <c r="K205" s="7">
        <v>34084.0</v>
      </c>
      <c r="L205" s="7">
        <v>64.73</v>
      </c>
      <c r="M205" s="7">
        <v>-0.13</v>
      </c>
      <c r="N205" s="7">
        <v>50856.0</v>
      </c>
      <c r="O205" s="7">
        <v>2.7864091E7</v>
      </c>
      <c r="P205" s="7" t="s">
        <v>411</v>
      </c>
      <c r="Q205" s="7">
        <v>5003.88</v>
      </c>
      <c r="R205" s="3">
        <f t="shared" si="1"/>
        <v>10000</v>
      </c>
    </row>
    <row r="206" ht="22.5" customHeight="1">
      <c r="B206" s="7" t="s">
        <v>343</v>
      </c>
      <c r="C206" s="7">
        <v>26541.0</v>
      </c>
      <c r="D206" s="7">
        <v>117126.0</v>
      </c>
      <c r="E206" s="7">
        <v>2.9121727E7</v>
      </c>
      <c r="F206" s="7">
        <v>2.8606976E7</v>
      </c>
      <c r="G206" s="7">
        <v>2.80007282E8</v>
      </c>
      <c r="H206" s="7">
        <v>5.617700975E9</v>
      </c>
      <c r="I206" s="7">
        <v>1369557.0</v>
      </c>
      <c r="J206" s="7">
        <v>1335048.0</v>
      </c>
      <c r="K206" s="7">
        <v>34509.0</v>
      </c>
      <c r="L206" s="7">
        <v>64.59</v>
      </c>
      <c r="M206" s="7">
        <v>-0.13</v>
      </c>
      <c r="N206" s="7">
        <v>51276.0</v>
      </c>
      <c r="O206" s="7">
        <v>2.9967869E7</v>
      </c>
      <c r="P206" s="7" t="s">
        <v>411</v>
      </c>
      <c r="Q206" s="7">
        <v>5003.87</v>
      </c>
      <c r="R206" s="3">
        <f t="shared" si="1"/>
        <v>10000</v>
      </c>
    </row>
    <row r="207" ht="22.5" customHeight="1">
      <c r="B207" s="7" t="s">
        <v>344</v>
      </c>
      <c r="C207" s="7">
        <v>26541.0</v>
      </c>
      <c r="D207" s="7">
        <v>117126.0</v>
      </c>
      <c r="E207" s="7">
        <v>2.5706094E7</v>
      </c>
      <c r="F207" s="7">
        <v>2.5245814E7</v>
      </c>
      <c r="G207" s="7">
        <v>2.31407562E8</v>
      </c>
      <c r="H207" s="7">
        <v>5.028200656E9</v>
      </c>
      <c r="I207" s="7">
        <v>1083959.0</v>
      </c>
      <c r="J207" s="7">
        <v>1049769.0</v>
      </c>
      <c r="K207" s="7">
        <v>34190.0</v>
      </c>
      <c r="L207" s="7">
        <v>68.65</v>
      </c>
      <c r="M207" s="7">
        <v>-0.13</v>
      </c>
      <c r="N207" s="7">
        <v>50960.0</v>
      </c>
      <c r="O207" s="7">
        <v>2.5717315E7</v>
      </c>
      <c r="P207" s="7" t="s">
        <v>411</v>
      </c>
      <c r="Q207" s="7">
        <v>5003.88</v>
      </c>
      <c r="R207" s="3">
        <f t="shared" si="1"/>
        <v>10000</v>
      </c>
    </row>
    <row r="208" ht="22.5" customHeight="1">
      <c r="B208" s="7" t="s">
        <v>345</v>
      </c>
      <c r="C208" s="7">
        <v>26541.0</v>
      </c>
      <c r="D208" s="7">
        <v>117126.0</v>
      </c>
      <c r="E208" s="7">
        <v>2.3823494E7</v>
      </c>
      <c r="F208" s="7">
        <v>2.3400239E7</v>
      </c>
      <c r="G208" s="7">
        <v>2.18137089E8</v>
      </c>
      <c r="H208" s="7">
        <v>4.612881763E9</v>
      </c>
      <c r="I208" s="7">
        <v>1056920.0</v>
      </c>
      <c r="J208" s="7">
        <v>1022354.0</v>
      </c>
      <c r="K208" s="7">
        <v>34566.0</v>
      </c>
      <c r="L208" s="7">
        <v>70.3</v>
      </c>
      <c r="M208" s="7">
        <v>-0.13</v>
      </c>
      <c r="N208" s="7">
        <v>51333.0</v>
      </c>
      <c r="O208" s="7">
        <v>2.1775049E7</v>
      </c>
      <c r="P208" s="7" t="s">
        <v>411</v>
      </c>
      <c r="Q208" s="7">
        <v>5003.88</v>
      </c>
      <c r="R208" s="3">
        <f t="shared" si="1"/>
        <v>10000</v>
      </c>
    </row>
    <row r="209" ht="22.5" customHeight="1">
      <c r="B209" s="7" t="s">
        <v>346</v>
      </c>
      <c r="C209" s="7">
        <v>26541.0</v>
      </c>
      <c r="D209" s="7">
        <v>117126.0</v>
      </c>
      <c r="E209" s="7">
        <v>2.4402246E7</v>
      </c>
      <c r="F209" s="7">
        <v>2.3971493E7</v>
      </c>
      <c r="G209" s="7">
        <v>2.24740017E8</v>
      </c>
      <c r="H209" s="7">
        <v>4.768393786E9</v>
      </c>
      <c r="I209" s="7">
        <v>1087435.0</v>
      </c>
      <c r="J209" s="7">
        <v>1053029.0</v>
      </c>
      <c r="K209" s="7">
        <v>34406.0</v>
      </c>
      <c r="L209" s="7">
        <v>69.76</v>
      </c>
      <c r="M209" s="7">
        <v>-0.13</v>
      </c>
      <c r="N209" s="7">
        <v>51174.0</v>
      </c>
      <c r="O209" s="7">
        <v>2.2546173E7</v>
      </c>
      <c r="P209" s="7" t="s">
        <v>411</v>
      </c>
      <c r="Q209" s="7">
        <v>5003.92</v>
      </c>
      <c r="R209" s="3">
        <f t="shared" si="1"/>
        <v>10000</v>
      </c>
    </row>
    <row r="210" ht="22.5" customHeight="1">
      <c r="B210" s="7" t="s">
        <v>347</v>
      </c>
      <c r="C210" s="7">
        <v>26541.0</v>
      </c>
      <c r="D210" s="7">
        <v>117126.0</v>
      </c>
      <c r="E210" s="7">
        <v>2.7728792E7</v>
      </c>
      <c r="F210" s="7">
        <v>2.7224331E7</v>
      </c>
      <c r="G210" s="7">
        <v>2.87674687E8</v>
      </c>
      <c r="H210" s="7">
        <v>5.59058871E9</v>
      </c>
      <c r="I210" s="7">
        <v>1417712.0</v>
      </c>
      <c r="J210" s="7">
        <v>1383579.0</v>
      </c>
      <c r="K210" s="7">
        <v>34133.0</v>
      </c>
      <c r="L210" s="7">
        <v>62.77</v>
      </c>
      <c r="M210" s="7">
        <v>-0.14</v>
      </c>
      <c r="N210" s="7">
        <v>50904.0</v>
      </c>
      <c r="O210" s="7">
        <v>2.8697632E7</v>
      </c>
      <c r="P210" s="7" t="s">
        <v>411</v>
      </c>
      <c r="Q210" s="7">
        <v>5003.87</v>
      </c>
      <c r="R210" s="3">
        <f t="shared" si="1"/>
        <v>10000</v>
      </c>
    </row>
    <row r="211" ht="22.5" customHeight="1">
      <c r="B211" s="7" t="s">
        <v>348</v>
      </c>
      <c r="C211" s="7">
        <v>26541.0</v>
      </c>
      <c r="D211" s="7">
        <v>117126.0</v>
      </c>
      <c r="E211" s="7">
        <v>3.0757325E7</v>
      </c>
      <c r="F211" s="7">
        <v>3.018558E7</v>
      </c>
      <c r="G211" s="7">
        <v>3.27200598E8</v>
      </c>
      <c r="H211" s="7">
        <v>6.155641638E9</v>
      </c>
      <c r="I211" s="7">
        <v>1605097.0</v>
      </c>
      <c r="J211" s="7">
        <v>1571511.0</v>
      </c>
      <c r="K211" s="7">
        <v>33586.0</v>
      </c>
      <c r="L211" s="7">
        <v>60.57</v>
      </c>
      <c r="M211" s="7">
        <v>-0.14</v>
      </c>
      <c r="N211" s="7">
        <v>50360.0</v>
      </c>
      <c r="O211" s="7">
        <v>3.3708154E7</v>
      </c>
      <c r="P211" s="7" t="s">
        <v>411</v>
      </c>
      <c r="Q211" s="7">
        <v>5003.79</v>
      </c>
      <c r="R211" s="3">
        <f t="shared" si="1"/>
        <v>10000</v>
      </c>
    </row>
    <row r="212" ht="22.5" customHeight="1">
      <c r="B212" s="7" t="s">
        <v>349</v>
      </c>
      <c r="C212" s="7">
        <v>26541.0</v>
      </c>
      <c r="D212" s="7">
        <v>117126.0</v>
      </c>
      <c r="E212" s="7">
        <v>2.4180906E7</v>
      </c>
      <c r="F212" s="7">
        <v>2.3755358E7</v>
      </c>
      <c r="G212" s="7">
        <v>2.15946632E8</v>
      </c>
      <c r="H212" s="7">
        <v>4.680302616E9</v>
      </c>
      <c r="I212" s="7">
        <v>1018710.0</v>
      </c>
      <c r="J212" s="7">
        <v>984916.0</v>
      </c>
      <c r="K212" s="7">
        <v>33794.0</v>
      </c>
      <c r="L212" s="7">
        <v>67.68</v>
      </c>
      <c r="M212" s="7">
        <v>-0.13</v>
      </c>
      <c r="N212" s="7">
        <v>50567.0</v>
      </c>
      <c r="O212" s="7">
        <v>2.3376486E7</v>
      </c>
      <c r="P212" s="7" t="s">
        <v>411</v>
      </c>
      <c r="Q212" s="7">
        <v>5003.83</v>
      </c>
      <c r="R212" s="3">
        <f t="shared" si="1"/>
        <v>10000</v>
      </c>
    </row>
    <row r="213" ht="22.5" customHeight="1">
      <c r="B213" s="7" t="s">
        <v>350</v>
      </c>
      <c r="C213" s="7">
        <v>26541.0</v>
      </c>
      <c r="D213" s="7">
        <v>117126.0</v>
      </c>
      <c r="E213" s="7">
        <v>2.4053899E7</v>
      </c>
      <c r="F213" s="7">
        <v>2.3634656E7</v>
      </c>
      <c r="G213" s="7">
        <v>2.14125648E8</v>
      </c>
      <c r="H213" s="7">
        <v>4.685619163E9</v>
      </c>
      <c r="I213" s="7">
        <v>1007195.0</v>
      </c>
      <c r="J213" s="7">
        <v>973274.0</v>
      </c>
      <c r="K213" s="7">
        <v>33921.0</v>
      </c>
      <c r="L213" s="7">
        <v>69.5</v>
      </c>
      <c r="M213" s="7">
        <v>-0.13</v>
      </c>
      <c r="N213" s="7">
        <v>50694.0</v>
      </c>
      <c r="O213" s="7">
        <v>2.2692323E7</v>
      </c>
      <c r="P213" s="7" t="s">
        <v>411</v>
      </c>
      <c r="Q213" s="7">
        <v>5003.87</v>
      </c>
      <c r="R213" s="3">
        <f t="shared" si="1"/>
        <v>10000</v>
      </c>
    </row>
    <row r="214" ht="22.5" customHeight="1">
      <c r="B214" s="7" t="s">
        <v>351</v>
      </c>
      <c r="C214" s="7">
        <v>26541.0</v>
      </c>
      <c r="D214" s="7">
        <v>117126.0</v>
      </c>
      <c r="E214" s="7">
        <v>2.6742007E7</v>
      </c>
      <c r="F214" s="7">
        <v>2.6262965E7</v>
      </c>
      <c r="G214" s="7">
        <v>2.73584913E8</v>
      </c>
      <c r="H214" s="7">
        <v>5.246855661E9</v>
      </c>
      <c r="I214" s="7">
        <v>1343913.0</v>
      </c>
      <c r="J214" s="7">
        <v>1310439.0</v>
      </c>
      <c r="K214" s="7">
        <v>33474.0</v>
      </c>
      <c r="L214" s="7">
        <v>61.97</v>
      </c>
      <c r="M214" s="7">
        <v>-0.14</v>
      </c>
      <c r="N214" s="7">
        <v>50250.0</v>
      </c>
      <c r="O214" s="7">
        <v>2.6906018E7</v>
      </c>
      <c r="P214" s="7" t="s">
        <v>411</v>
      </c>
      <c r="Q214" s="7">
        <v>5003.88</v>
      </c>
      <c r="R214" s="3">
        <f t="shared" si="1"/>
        <v>10000</v>
      </c>
    </row>
    <row r="215" ht="22.5" customHeight="1">
      <c r="B215" s="7" t="s">
        <v>352</v>
      </c>
      <c r="C215" s="7">
        <v>26541.0</v>
      </c>
      <c r="D215" s="7">
        <v>117126.0</v>
      </c>
      <c r="E215" s="7">
        <v>2.2898252E7</v>
      </c>
      <c r="F215" s="7">
        <v>2.2539199E7</v>
      </c>
      <c r="G215" s="7">
        <v>1.83690184E8</v>
      </c>
      <c r="H215" s="7">
        <v>4.106685846E9</v>
      </c>
      <c r="I215" s="7">
        <v>925542.0</v>
      </c>
      <c r="J215" s="7">
        <v>890375.0</v>
      </c>
      <c r="K215" s="7">
        <v>35167.0</v>
      </c>
      <c r="L215" s="7">
        <v>71.51</v>
      </c>
      <c r="M215" s="7">
        <v>-0.12</v>
      </c>
      <c r="N215" s="7">
        <v>51928.0</v>
      </c>
      <c r="O215" s="7">
        <v>1.8298992E7</v>
      </c>
      <c r="P215" s="7" t="s">
        <v>411</v>
      </c>
      <c r="Q215" s="7">
        <v>5003.89</v>
      </c>
      <c r="R215" s="3">
        <f t="shared" si="1"/>
        <v>10000</v>
      </c>
    </row>
    <row r="216" ht="22.5" customHeight="1">
      <c r="B216" s="7" t="s">
        <v>353</v>
      </c>
      <c r="C216" s="7">
        <v>26541.0</v>
      </c>
      <c r="D216" s="7">
        <v>117126.0</v>
      </c>
      <c r="E216" s="7">
        <v>2.7263977E7</v>
      </c>
      <c r="F216" s="7">
        <v>2.6768939E7</v>
      </c>
      <c r="G216" s="7">
        <v>2.70152145E8</v>
      </c>
      <c r="H216" s="7">
        <v>5.335761239E9</v>
      </c>
      <c r="I216" s="7">
        <v>1314608.0</v>
      </c>
      <c r="J216" s="7">
        <v>1280958.0</v>
      </c>
      <c r="K216" s="7">
        <v>33650.0</v>
      </c>
      <c r="L216" s="7">
        <v>65.49</v>
      </c>
      <c r="M216" s="7">
        <v>-0.13</v>
      </c>
      <c r="N216" s="7">
        <v>50425.0</v>
      </c>
      <c r="O216" s="7">
        <v>2.6831867E7</v>
      </c>
      <c r="P216" s="7" t="s">
        <v>411</v>
      </c>
      <c r="Q216" s="7">
        <v>5003.82</v>
      </c>
      <c r="R216" s="3">
        <f t="shared" si="1"/>
        <v>10000</v>
      </c>
    </row>
    <row r="217" ht="22.5" customHeight="1">
      <c r="B217" s="7" t="s">
        <v>354</v>
      </c>
      <c r="C217" s="7">
        <v>26541.0</v>
      </c>
      <c r="D217" s="7">
        <v>117126.0</v>
      </c>
      <c r="E217" s="7">
        <v>2.4026531E7</v>
      </c>
      <c r="F217" s="7">
        <v>2.3602233E7</v>
      </c>
      <c r="G217" s="7">
        <v>2.23116658E8</v>
      </c>
      <c r="H217" s="7">
        <v>4.721169556E9</v>
      </c>
      <c r="I217" s="7">
        <v>1077757.0</v>
      </c>
      <c r="J217" s="7">
        <v>1043614.0</v>
      </c>
      <c r="K217" s="7">
        <v>34143.0</v>
      </c>
      <c r="L217" s="7">
        <v>68.03</v>
      </c>
      <c r="M217" s="7">
        <v>-0.13</v>
      </c>
      <c r="N217" s="7">
        <v>50914.0</v>
      </c>
      <c r="O217" s="7">
        <v>2.2003095E7</v>
      </c>
      <c r="P217" s="7" t="s">
        <v>411</v>
      </c>
      <c r="Q217" s="7">
        <v>5003.89</v>
      </c>
      <c r="R217" s="3">
        <f t="shared" si="1"/>
        <v>10000</v>
      </c>
    </row>
    <row r="218" ht="22.5" customHeight="1">
      <c r="B218" s="7" t="s">
        <v>355</v>
      </c>
      <c r="C218" s="7">
        <v>26541.0</v>
      </c>
      <c r="D218" s="7">
        <v>117153.0</v>
      </c>
      <c r="E218" s="7">
        <v>2.8349774E7</v>
      </c>
      <c r="F218" s="7">
        <v>2.768885E7</v>
      </c>
      <c r="G218" s="7">
        <v>4.27963529E8</v>
      </c>
      <c r="H218" s="7">
        <v>8.07487851E9</v>
      </c>
      <c r="I218" s="7">
        <v>1890086.0</v>
      </c>
      <c r="J218" s="7">
        <v>1860179.0</v>
      </c>
      <c r="K218" s="7">
        <v>29907.0</v>
      </c>
      <c r="L218" s="7">
        <v>65.42</v>
      </c>
      <c r="M218" s="7">
        <v>-0.16</v>
      </c>
      <c r="N218" s="7">
        <v>46705.0</v>
      </c>
      <c r="O218" s="7">
        <v>2.5806749E7</v>
      </c>
      <c r="P218" s="7" t="s">
        <v>411</v>
      </c>
      <c r="Q218" s="7">
        <v>5003.85</v>
      </c>
      <c r="R218" s="3">
        <f t="shared" si="1"/>
        <v>10000</v>
      </c>
    </row>
    <row r="219" ht="22.5" customHeight="1">
      <c r="B219" s="7" t="s">
        <v>99</v>
      </c>
      <c r="C219" s="7">
        <v>140.0</v>
      </c>
      <c r="D219" s="7">
        <v>560.0</v>
      </c>
      <c r="E219" s="7">
        <v>2.6660727E7</v>
      </c>
      <c r="F219" s="7">
        <v>2.6649371E7</v>
      </c>
      <c r="G219" s="7">
        <v>3.5406638E7</v>
      </c>
      <c r="H219" s="7">
        <v>1.62849659E8</v>
      </c>
      <c r="I219" s="7">
        <v>917387.0</v>
      </c>
      <c r="J219" s="7">
        <v>890628.0</v>
      </c>
      <c r="K219" s="7">
        <v>26759.0</v>
      </c>
      <c r="L219" s="7">
        <v>17.51</v>
      </c>
      <c r="M219" s="7">
        <v>-0.04</v>
      </c>
      <c r="N219" s="7">
        <v>43612.0</v>
      </c>
      <c r="O219" s="7">
        <v>1.6712324E7</v>
      </c>
      <c r="P219" s="7" t="s">
        <v>410</v>
      </c>
      <c r="Q219" s="7">
        <v>920.18</v>
      </c>
      <c r="R219" s="3">
        <f t="shared" si="1"/>
        <v>920.18</v>
      </c>
    </row>
    <row r="220" ht="22.5" customHeight="1">
      <c r="B220" s="7" t="s">
        <v>174</v>
      </c>
      <c r="C220" s="7">
        <v>140.0</v>
      </c>
      <c r="D220" s="7">
        <v>560.0</v>
      </c>
      <c r="E220" s="7">
        <v>4.5544613E7</v>
      </c>
      <c r="F220" s="7">
        <v>4.5515537E7</v>
      </c>
      <c r="G220" s="7">
        <v>5.6313587E7</v>
      </c>
      <c r="H220" s="7">
        <v>2.48152569E8</v>
      </c>
      <c r="I220" s="7">
        <v>1220793.0</v>
      </c>
      <c r="J220" s="7">
        <v>1156997.0</v>
      </c>
      <c r="K220" s="7">
        <v>63796.0</v>
      </c>
      <c r="L220" s="7">
        <v>18.0</v>
      </c>
      <c r="M220" s="7">
        <v>-0.03</v>
      </c>
      <c r="N220" s="7">
        <v>100310.0</v>
      </c>
      <c r="O220" s="7">
        <v>2.2012348E7</v>
      </c>
      <c r="P220" s="7" t="s">
        <v>410</v>
      </c>
      <c r="Q220" s="7">
        <v>1846.75</v>
      </c>
      <c r="R220" s="3">
        <f t="shared" si="1"/>
        <v>1846.75</v>
      </c>
    </row>
    <row r="221" ht="22.5" customHeight="1">
      <c r="B221" s="7" t="s">
        <v>17</v>
      </c>
      <c r="C221" s="7">
        <v>479.0</v>
      </c>
      <c r="D221" s="7">
        <v>123439.0</v>
      </c>
      <c r="E221" s="7">
        <v>9268953.0</v>
      </c>
      <c r="F221" s="7">
        <v>9103479.0</v>
      </c>
      <c r="G221" s="7">
        <v>3.1052754E7</v>
      </c>
      <c r="H221" s="7">
        <v>2.82473469E8</v>
      </c>
      <c r="I221" s="7">
        <v>606692.0</v>
      </c>
      <c r="J221" s="7">
        <v>597084.0</v>
      </c>
      <c r="K221" s="7">
        <v>9608.0</v>
      </c>
      <c r="L221" s="7">
        <v>26.57</v>
      </c>
      <c r="M221" s="7">
        <v>-0.11</v>
      </c>
      <c r="N221" s="7">
        <v>15470.0</v>
      </c>
      <c r="O221" s="7">
        <v>4158815.0</v>
      </c>
      <c r="P221" s="7" t="s">
        <v>409</v>
      </c>
      <c r="Q221" s="7">
        <v>2753.09</v>
      </c>
      <c r="R221" s="3">
        <f t="shared" si="1"/>
        <v>2753.09</v>
      </c>
    </row>
    <row r="222" ht="22.5" customHeight="1">
      <c r="B222" s="7" t="s">
        <v>12</v>
      </c>
      <c r="C222" s="7">
        <v>12197.0</v>
      </c>
      <c r="D222" s="7">
        <v>78363.0</v>
      </c>
      <c r="E222" s="7">
        <v>250156.0</v>
      </c>
      <c r="F222" s="7">
        <v>241306.0</v>
      </c>
      <c r="G222" s="7">
        <v>2937838.0</v>
      </c>
      <c r="H222" s="7">
        <v>2.1851073E7</v>
      </c>
      <c r="I222" s="7">
        <v>11885.0</v>
      </c>
      <c r="J222" s="7">
        <v>11577.0</v>
      </c>
      <c r="K222" s="7">
        <v>308.0</v>
      </c>
      <c r="L222" s="7">
        <v>14.99</v>
      </c>
      <c r="M222" s="7">
        <v>-0.2</v>
      </c>
      <c r="N222" s="7">
        <v>565.0</v>
      </c>
      <c r="O222" s="7">
        <v>431510.0</v>
      </c>
      <c r="P222" s="7" t="s">
        <v>409</v>
      </c>
      <c r="Q222" s="7">
        <v>11.49</v>
      </c>
      <c r="R222" s="3">
        <f t="shared" si="1"/>
        <v>11.49</v>
      </c>
    </row>
    <row r="223" ht="22.5" customHeight="1">
      <c r="B223" s="7" t="s">
        <v>106</v>
      </c>
      <c r="C223" s="7">
        <v>22022.0</v>
      </c>
      <c r="D223" s="7">
        <v>172772.0</v>
      </c>
      <c r="E223" s="7">
        <v>2323283.0</v>
      </c>
      <c r="F223" s="7">
        <v>2237952.0</v>
      </c>
      <c r="G223" s="7">
        <v>2.8463381E7</v>
      </c>
      <c r="H223" s="7">
        <v>2.73808839E8</v>
      </c>
      <c r="I223" s="7">
        <v>137057.0</v>
      </c>
      <c r="J223" s="7">
        <v>135107.0</v>
      </c>
      <c r="K223" s="7">
        <v>1950.0</v>
      </c>
      <c r="L223" s="7">
        <v>18.25</v>
      </c>
      <c r="M223" s="7">
        <v>-0.23</v>
      </c>
      <c r="N223" s="7">
        <v>3431.0</v>
      </c>
      <c r="O223" s="7">
        <v>5721454.0</v>
      </c>
      <c r="P223" s="7" t="s">
        <v>409</v>
      </c>
      <c r="Q223" s="7">
        <v>234.2</v>
      </c>
      <c r="R223" s="3">
        <f t="shared" si="1"/>
        <v>234.2</v>
      </c>
    </row>
    <row r="224" ht="22.5" customHeight="1">
      <c r="B224" s="7" t="s">
        <v>356</v>
      </c>
      <c r="C224" s="7">
        <v>4656.0</v>
      </c>
      <c r="D224" s="7">
        <v>13868.0</v>
      </c>
      <c r="E224" s="7">
        <v>1.1382081E7</v>
      </c>
      <c r="F224" s="7">
        <v>1.1226061E7</v>
      </c>
      <c r="G224" s="7">
        <v>2.07709E7</v>
      </c>
      <c r="H224" s="7">
        <v>2.248390036E9</v>
      </c>
      <c r="I224" s="7">
        <v>467741.0</v>
      </c>
      <c r="J224" s="7">
        <v>452788.0</v>
      </c>
      <c r="K224" s="7">
        <v>14953.0</v>
      </c>
      <c r="L224" s="7">
        <v>38.99</v>
      </c>
      <c r="M224" s="7">
        <v>-0.05</v>
      </c>
      <c r="N224" s="7">
        <v>24071.0</v>
      </c>
      <c r="O224" s="7">
        <v>4345775.0</v>
      </c>
      <c r="P224" s="7" t="s">
        <v>411</v>
      </c>
      <c r="Q224" s="7">
        <v>5003.9</v>
      </c>
      <c r="R224" s="3">
        <f t="shared" si="1"/>
        <v>10000</v>
      </c>
    </row>
    <row r="225" ht="22.5" customHeight="1">
      <c r="B225" s="7" t="s">
        <v>217</v>
      </c>
      <c r="C225" s="7">
        <v>310.0</v>
      </c>
      <c r="D225" s="7">
        <v>1081.0</v>
      </c>
      <c r="E225" s="7">
        <v>9122662.0</v>
      </c>
      <c r="F225" s="7">
        <v>8959436.0</v>
      </c>
      <c r="G225" s="7">
        <v>1.4518087E7</v>
      </c>
      <c r="H225" s="7">
        <v>3.24074963E8</v>
      </c>
      <c r="I225" s="7">
        <v>406635.0</v>
      </c>
      <c r="J225" s="7">
        <v>397580.0</v>
      </c>
      <c r="K225" s="7">
        <v>9055.0</v>
      </c>
      <c r="L225" s="7">
        <v>17.91</v>
      </c>
      <c r="M225" s="7">
        <v>-0.06</v>
      </c>
      <c r="N225" s="7">
        <v>14694.0</v>
      </c>
      <c r="O225" s="7">
        <v>4437427.0</v>
      </c>
      <c r="P225" s="7" t="s">
        <v>410</v>
      </c>
      <c r="Q225" s="7">
        <v>2273.42</v>
      </c>
      <c r="R225" s="3">
        <f t="shared" si="1"/>
        <v>2273.42</v>
      </c>
    </row>
    <row r="226" ht="22.5" customHeight="1">
      <c r="B226" s="7" t="s">
        <v>246</v>
      </c>
      <c r="C226" s="7">
        <v>2365527.0</v>
      </c>
      <c r="D226" s="7">
        <v>1.050804E7</v>
      </c>
      <c r="E226" s="7">
        <v>994545.0</v>
      </c>
      <c r="F226" s="7">
        <v>983345.0</v>
      </c>
      <c r="G226" s="7">
        <v>1597794.0</v>
      </c>
      <c r="H226" s="7">
        <v>3.894309446E9</v>
      </c>
      <c r="I226" s="7">
        <v>25066.0</v>
      </c>
      <c r="J226" s="7">
        <v>23463.0</v>
      </c>
      <c r="K226" s="7">
        <v>1603.0</v>
      </c>
      <c r="L226" s="7">
        <v>16.07</v>
      </c>
      <c r="M226" s="7">
        <v>-0.05</v>
      </c>
      <c r="N226" s="7">
        <v>2613.0</v>
      </c>
      <c r="O226" s="7">
        <v>307564.0</v>
      </c>
      <c r="P226" s="7" t="s">
        <v>410</v>
      </c>
      <c r="Q226" s="7">
        <v>3539.75</v>
      </c>
      <c r="R226" s="3">
        <f t="shared" si="1"/>
        <v>3539.75</v>
      </c>
    </row>
    <row r="227" ht="22.5" customHeight="1">
      <c r="B227" s="7" t="s">
        <v>58</v>
      </c>
      <c r="C227" s="7">
        <v>55333.0</v>
      </c>
      <c r="D227" s="7">
        <v>219128.0</v>
      </c>
      <c r="E227" s="7">
        <v>803393.0</v>
      </c>
      <c r="F227" s="7">
        <v>788639.0</v>
      </c>
      <c r="G227" s="7">
        <v>2.0776932E7</v>
      </c>
      <c r="H227" s="7">
        <v>2.91547883E8</v>
      </c>
      <c r="I227" s="7">
        <v>48228.0</v>
      </c>
      <c r="J227" s="7">
        <v>46643.0</v>
      </c>
      <c r="K227" s="7">
        <v>1585.0</v>
      </c>
      <c r="L227" s="7">
        <v>109.86</v>
      </c>
      <c r="M227" s="7">
        <v>-0.14</v>
      </c>
      <c r="N227" s="7">
        <v>2298.0</v>
      </c>
      <c r="O227" s="7">
        <v>881249.0</v>
      </c>
      <c r="P227" s="7" t="s">
        <v>409</v>
      </c>
      <c r="Q227" s="7">
        <v>157.23</v>
      </c>
      <c r="R227" s="3">
        <f t="shared" si="1"/>
        <v>157.23</v>
      </c>
    </row>
    <row r="228" ht="22.5" customHeight="1">
      <c r="B228" s="7" t="s">
        <v>357</v>
      </c>
      <c r="C228" s="7">
        <v>3366.0</v>
      </c>
      <c r="D228" s="7">
        <v>362797.0</v>
      </c>
      <c r="E228" s="7">
        <v>3.142346E7</v>
      </c>
      <c r="F228" s="7">
        <v>3.0889112E7</v>
      </c>
      <c r="G228" s="7">
        <v>4.2590865E7</v>
      </c>
      <c r="H228" s="7">
        <v>2.758203061E9</v>
      </c>
      <c r="I228" s="7">
        <v>1043051.0</v>
      </c>
      <c r="J228" s="7">
        <v>1009357.0</v>
      </c>
      <c r="K228" s="7">
        <v>33694.0</v>
      </c>
      <c r="L228" s="7">
        <v>71.49</v>
      </c>
      <c r="M228" s="7">
        <v>-0.04</v>
      </c>
      <c r="N228" s="7">
        <v>50423.0</v>
      </c>
      <c r="O228" s="7">
        <v>1.9099443E7</v>
      </c>
      <c r="P228" s="7" t="s">
        <v>411</v>
      </c>
      <c r="Q228" s="7">
        <v>5003.87</v>
      </c>
      <c r="R228" s="3">
        <f t="shared" si="1"/>
        <v>10000</v>
      </c>
    </row>
    <row r="229" ht="22.5" customHeight="1">
      <c r="B229" s="7" t="s">
        <v>24</v>
      </c>
      <c r="C229" s="7">
        <v>4020.0</v>
      </c>
      <c r="D229" s="7">
        <v>466486.0</v>
      </c>
      <c r="E229" s="7">
        <v>746865.0</v>
      </c>
      <c r="F229" s="7">
        <v>735027.0</v>
      </c>
      <c r="G229" s="7">
        <v>983734.0</v>
      </c>
      <c r="H229" s="7">
        <v>1.06594399E8</v>
      </c>
      <c r="I229" s="7">
        <v>21969.0</v>
      </c>
      <c r="J229" s="7">
        <v>20690.0</v>
      </c>
      <c r="K229" s="7">
        <v>1279.0</v>
      </c>
      <c r="L229" s="7">
        <v>100.38</v>
      </c>
      <c r="M229" s="7">
        <v>-0.03</v>
      </c>
      <c r="N229" s="7">
        <v>1902.0</v>
      </c>
      <c r="O229" s="7">
        <v>306215.0</v>
      </c>
      <c r="P229" s="7" t="s">
        <v>409</v>
      </c>
      <c r="Q229" s="7">
        <v>108.58</v>
      </c>
      <c r="R229" s="3">
        <f t="shared" si="1"/>
        <v>108.58</v>
      </c>
    </row>
    <row r="230" ht="22.5" customHeight="1">
      <c r="B230" s="7" t="s">
        <v>358</v>
      </c>
      <c r="C230" s="7">
        <v>302737.0</v>
      </c>
      <c r="D230" s="7">
        <v>1309727.0</v>
      </c>
      <c r="E230" s="7">
        <v>831324.0</v>
      </c>
      <c r="F230" s="7">
        <v>813963.0</v>
      </c>
      <c r="G230" s="7">
        <v>1438190.0</v>
      </c>
      <c r="H230" s="7">
        <v>1.2362438063E10</v>
      </c>
      <c r="I230" s="7">
        <v>44896.0</v>
      </c>
      <c r="J230" s="7">
        <v>43470.0</v>
      </c>
      <c r="K230" s="7">
        <v>1426.0</v>
      </c>
      <c r="L230" s="7">
        <v>57.05</v>
      </c>
      <c r="M230" s="7">
        <v>-0.04</v>
      </c>
      <c r="N230" s="7">
        <v>2183.0</v>
      </c>
      <c r="O230" s="7">
        <v>306417.0</v>
      </c>
      <c r="P230" s="7" t="s">
        <v>411</v>
      </c>
      <c r="Q230" s="7">
        <v>5003.89</v>
      </c>
      <c r="R230" s="3">
        <f t="shared" si="1"/>
        <v>10000</v>
      </c>
    </row>
    <row r="231" ht="22.5" customHeight="1">
      <c r="B231" s="7" t="s">
        <v>359</v>
      </c>
      <c r="C231" s="7">
        <v>1315.0</v>
      </c>
      <c r="D231" s="7">
        <v>5254.0</v>
      </c>
      <c r="E231" s="7">
        <v>2.4174771E7</v>
      </c>
      <c r="F231" s="7">
        <v>2.3969387E7</v>
      </c>
      <c r="G231" s="7">
        <v>3.613376E7</v>
      </c>
      <c r="H231" s="7">
        <v>1.905626258E9</v>
      </c>
      <c r="I231" s="7">
        <v>1051657.0</v>
      </c>
      <c r="J231" s="7">
        <v>1025131.0</v>
      </c>
      <c r="K231" s="7">
        <v>26526.0</v>
      </c>
      <c r="L231" s="7">
        <v>23.17</v>
      </c>
      <c r="M231" s="7">
        <v>-0.05</v>
      </c>
      <c r="N231" s="7">
        <v>43350.0</v>
      </c>
      <c r="O231" s="7">
        <v>1.0386819E7</v>
      </c>
      <c r="P231" s="7" t="s">
        <v>411</v>
      </c>
      <c r="Q231" s="7">
        <v>5003.91</v>
      </c>
      <c r="R231" s="3">
        <f t="shared" si="1"/>
        <v>10000</v>
      </c>
    </row>
    <row r="232" ht="22.5" customHeight="1">
      <c r="B232" s="7" t="s">
        <v>186</v>
      </c>
      <c r="C232" s="7">
        <v>189456.0</v>
      </c>
      <c r="D232" s="7">
        <v>835275.0</v>
      </c>
      <c r="E232" s="7">
        <v>955888.0</v>
      </c>
      <c r="F232" s="7">
        <v>887142.0</v>
      </c>
      <c r="G232" s="7">
        <v>6833782.0</v>
      </c>
      <c r="H232" s="7">
        <v>1.431756321E9</v>
      </c>
      <c r="I232" s="7">
        <v>22583.0</v>
      </c>
      <c r="J232" s="7">
        <v>20646.0</v>
      </c>
      <c r="K232" s="7">
        <v>1937.0</v>
      </c>
      <c r="L232" s="7">
        <v>404.8</v>
      </c>
      <c r="M232" s="7">
        <v>-0.08</v>
      </c>
      <c r="N232" s="7">
        <v>2877.0</v>
      </c>
      <c r="O232" s="7">
        <v>509967.0</v>
      </c>
      <c r="P232" s="7" t="s">
        <v>409</v>
      </c>
      <c r="Q232" s="7">
        <v>524.56</v>
      </c>
      <c r="R232" s="3">
        <f t="shared" si="1"/>
        <v>524.56</v>
      </c>
    </row>
    <row r="233" ht="22.5" customHeight="1">
      <c r="B233" s="7" t="s">
        <v>360</v>
      </c>
      <c r="C233" s="7">
        <v>188962.0</v>
      </c>
      <c r="D233" s="7">
        <v>825894.0</v>
      </c>
      <c r="E233" s="7">
        <v>7813148.0</v>
      </c>
      <c r="F233" s="7">
        <v>7416300.0</v>
      </c>
      <c r="G233" s="7">
        <v>5.8957983E7</v>
      </c>
      <c r="H233" s="7">
        <v>8.689800418E9</v>
      </c>
      <c r="I233" s="7">
        <v>308483.0</v>
      </c>
      <c r="J233" s="7">
        <v>299898.0</v>
      </c>
      <c r="K233" s="7">
        <v>8585.0</v>
      </c>
      <c r="L233" s="7">
        <v>253.65</v>
      </c>
      <c r="M233" s="7">
        <v>-0.09</v>
      </c>
      <c r="N233" s="7">
        <v>12759.0</v>
      </c>
      <c r="O233" s="7">
        <v>5668619.0</v>
      </c>
      <c r="P233" s="7" t="s">
        <v>411</v>
      </c>
      <c r="Q233" s="7">
        <v>5003.84</v>
      </c>
      <c r="R233" s="3">
        <f t="shared" si="1"/>
        <v>10000</v>
      </c>
    </row>
    <row r="234" ht="22.5" customHeight="1">
      <c r="B234" s="7" t="s">
        <v>361</v>
      </c>
      <c r="C234" s="7">
        <v>164158.0</v>
      </c>
      <c r="D234" s="7">
        <v>717440.0</v>
      </c>
      <c r="E234" s="7">
        <v>1.1726972E7</v>
      </c>
      <c r="F234" s="7">
        <v>1.1279415E7</v>
      </c>
      <c r="G234" s="7">
        <v>6.6536547E7</v>
      </c>
      <c r="H234" s="7">
        <v>7.538537693E9</v>
      </c>
      <c r="I234" s="7">
        <v>388266.0</v>
      </c>
      <c r="J234" s="7">
        <v>368690.0</v>
      </c>
      <c r="K234" s="7">
        <v>19576.0</v>
      </c>
      <c r="L234" s="7">
        <v>160.7</v>
      </c>
      <c r="M234" s="7">
        <v>-0.07</v>
      </c>
      <c r="N234" s="7">
        <v>29158.0</v>
      </c>
      <c r="O234" s="7">
        <v>5020242.0</v>
      </c>
      <c r="P234" s="7" t="s">
        <v>411</v>
      </c>
      <c r="Q234" s="7">
        <v>5003.87</v>
      </c>
      <c r="R234" s="3">
        <f t="shared" si="1"/>
        <v>10000</v>
      </c>
    </row>
    <row r="235" ht="22.5" customHeight="1">
      <c r="B235" s="7" t="s">
        <v>147</v>
      </c>
      <c r="C235" s="7">
        <v>252328.0</v>
      </c>
      <c r="D235" s="7">
        <v>1169843.0</v>
      </c>
      <c r="E235" s="7">
        <v>7523283.0</v>
      </c>
      <c r="F235" s="7">
        <v>7182494.0</v>
      </c>
      <c r="G235" s="7">
        <v>7.9066841E7</v>
      </c>
      <c r="H235" s="7">
        <v>1.1262573356E10</v>
      </c>
      <c r="I235" s="7">
        <v>329946.0</v>
      </c>
      <c r="J235" s="7">
        <v>321357.0</v>
      </c>
      <c r="K235" s="7">
        <v>8589.0</v>
      </c>
      <c r="L235" s="7">
        <v>223.86</v>
      </c>
      <c r="M235" s="7">
        <v>-0.1</v>
      </c>
      <c r="N235" s="7">
        <v>12767.0</v>
      </c>
      <c r="O235" s="7">
        <v>5781973.0</v>
      </c>
      <c r="P235" s="7" t="s">
        <v>411</v>
      </c>
      <c r="Q235" s="7">
        <v>5003.74</v>
      </c>
      <c r="R235" s="3">
        <f t="shared" si="1"/>
        <v>10000</v>
      </c>
    </row>
    <row r="236" ht="22.5" customHeight="1">
      <c r="B236" s="7" t="s">
        <v>362</v>
      </c>
      <c r="C236" s="7">
        <v>262368.0</v>
      </c>
      <c r="D236" s="7">
        <v>1226585.0</v>
      </c>
      <c r="E236" s="7">
        <v>6955246.0</v>
      </c>
      <c r="F236" s="7">
        <v>6608423.0</v>
      </c>
      <c r="G236" s="7">
        <v>8.9693034E7</v>
      </c>
      <c r="H236" s="7">
        <v>1.0823928984E10</v>
      </c>
      <c r="I236" s="7">
        <v>313324.0</v>
      </c>
      <c r="J236" s="7">
        <v>304790.0</v>
      </c>
      <c r="K236" s="7">
        <v>8534.0</v>
      </c>
      <c r="L236" s="7">
        <v>280.04</v>
      </c>
      <c r="M236" s="7">
        <v>-0.11</v>
      </c>
      <c r="N236" s="7">
        <v>12711.0</v>
      </c>
      <c r="O236" s="7">
        <v>5794011.0</v>
      </c>
      <c r="P236" s="7" t="s">
        <v>411</v>
      </c>
      <c r="Q236" s="7">
        <v>5003.84</v>
      </c>
      <c r="R236" s="3">
        <f t="shared" si="1"/>
        <v>10000</v>
      </c>
    </row>
    <row r="237" ht="22.5" customHeight="1">
      <c r="B237" s="7" t="s">
        <v>86</v>
      </c>
      <c r="C237" s="7">
        <v>139915.0</v>
      </c>
      <c r="D237" s="7">
        <v>590682.0</v>
      </c>
      <c r="E237" s="7">
        <v>376278.0</v>
      </c>
      <c r="F237" s="7">
        <v>356142.0</v>
      </c>
      <c r="G237" s="7">
        <v>1602653.0</v>
      </c>
      <c r="H237" s="7">
        <v>2.57463161E8</v>
      </c>
      <c r="I237" s="7">
        <v>18220.0</v>
      </c>
      <c r="J237" s="7">
        <v>17819.0</v>
      </c>
      <c r="K237" s="7">
        <v>401.0</v>
      </c>
      <c r="L237" s="7">
        <v>36.68</v>
      </c>
      <c r="M237" s="7">
        <v>-0.16</v>
      </c>
      <c r="N237" s="7">
        <v>665.0</v>
      </c>
      <c r="O237" s="7">
        <v>291250.0</v>
      </c>
      <c r="P237" s="7" t="s">
        <v>410</v>
      </c>
      <c r="Q237" s="7">
        <v>98.68</v>
      </c>
      <c r="R237" s="3">
        <f t="shared" si="1"/>
        <v>98.68</v>
      </c>
    </row>
    <row r="238" ht="22.5" customHeight="1">
      <c r="B238" s="7" t="s">
        <v>363</v>
      </c>
      <c r="C238" s="7">
        <v>480.0</v>
      </c>
      <c r="D238" s="7">
        <v>3632.0</v>
      </c>
      <c r="E238" s="7">
        <v>3.0836824E7</v>
      </c>
      <c r="F238" s="7">
        <v>3.0627987E7</v>
      </c>
      <c r="G238" s="7">
        <v>3.558405E7</v>
      </c>
      <c r="H238" s="7">
        <v>5.19551006E8</v>
      </c>
      <c r="I238" s="7">
        <v>1216436.0</v>
      </c>
      <c r="J238" s="7">
        <v>1179565.0</v>
      </c>
      <c r="K238" s="7">
        <v>36871.0</v>
      </c>
      <c r="L238" s="7">
        <v>65.98</v>
      </c>
      <c r="M238" s="7">
        <v>-0.03</v>
      </c>
      <c r="N238" s="7">
        <v>53577.0</v>
      </c>
      <c r="O238" s="7">
        <v>1.6673354E7</v>
      </c>
      <c r="P238" s="7" t="s">
        <v>411</v>
      </c>
      <c r="Q238" s="7">
        <v>5003.88</v>
      </c>
      <c r="R238" s="3">
        <f t="shared" si="1"/>
        <v>10000</v>
      </c>
    </row>
    <row r="239" ht="22.5" customHeight="1">
      <c r="B239" s="7" t="s">
        <v>364</v>
      </c>
      <c r="C239" s="7">
        <v>840.0</v>
      </c>
      <c r="D239" s="7">
        <v>8442.0</v>
      </c>
      <c r="E239" s="7">
        <v>2.6995377E7</v>
      </c>
      <c r="F239" s="7">
        <v>2.6794069E7</v>
      </c>
      <c r="G239" s="7">
        <v>3.0280144E7</v>
      </c>
      <c r="H239" s="7">
        <v>6.26585814E8</v>
      </c>
      <c r="I239" s="7">
        <v>770947.0</v>
      </c>
      <c r="J239" s="7">
        <v>734226.0</v>
      </c>
      <c r="K239" s="7">
        <v>36721.0</v>
      </c>
      <c r="L239" s="7">
        <v>121.77</v>
      </c>
      <c r="M239" s="7">
        <v>-0.02</v>
      </c>
      <c r="N239" s="7">
        <v>53428.0</v>
      </c>
      <c r="O239" s="7">
        <v>1.4367477E7</v>
      </c>
      <c r="P239" s="7" t="s">
        <v>411</v>
      </c>
      <c r="Q239" s="7">
        <v>5003.84</v>
      </c>
      <c r="R239" s="3">
        <f t="shared" si="1"/>
        <v>10000</v>
      </c>
    </row>
    <row r="240" ht="22.5" customHeight="1">
      <c r="B240" s="7" t="s">
        <v>365</v>
      </c>
      <c r="C240" s="7">
        <v>5000.0</v>
      </c>
      <c r="D240" s="7">
        <v>21250.0</v>
      </c>
      <c r="E240" s="7">
        <v>2.1704733E7</v>
      </c>
      <c r="F240" s="7">
        <v>2.1172587E7</v>
      </c>
      <c r="G240" s="7">
        <v>5.3284353E7</v>
      </c>
      <c r="H240" s="7">
        <v>4.062162737E9</v>
      </c>
      <c r="I240" s="7">
        <v>773966.0</v>
      </c>
      <c r="J240" s="7">
        <v>746566.0</v>
      </c>
      <c r="K240" s="7">
        <v>27400.0</v>
      </c>
      <c r="L240" s="7">
        <v>33.86</v>
      </c>
      <c r="M240" s="7">
        <v>-0.06</v>
      </c>
      <c r="N240" s="7">
        <v>44209.0</v>
      </c>
      <c r="O240" s="7">
        <v>9296498.0</v>
      </c>
      <c r="P240" s="7" t="s">
        <v>411</v>
      </c>
      <c r="Q240" s="7">
        <v>5003.88</v>
      </c>
      <c r="R240" s="3">
        <f t="shared" si="1"/>
        <v>10000</v>
      </c>
    </row>
    <row r="241" ht="22.5" customHeight="1">
      <c r="B241" s="7" t="s">
        <v>180</v>
      </c>
      <c r="C241" s="7">
        <v>5000.0</v>
      </c>
      <c r="D241" s="7">
        <v>21250.0</v>
      </c>
      <c r="E241" s="7">
        <v>1.0568478E7</v>
      </c>
      <c r="F241" s="7">
        <v>1.0341338E7</v>
      </c>
      <c r="G241" s="7">
        <v>1.8115734E7</v>
      </c>
      <c r="H241" s="7">
        <v>1.783845603E9</v>
      </c>
      <c r="I241" s="7">
        <v>416310.0</v>
      </c>
      <c r="J241" s="7">
        <v>403925.0</v>
      </c>
      <c r="K241" s="7">
        <v>12385.0</v>
      </c>
      <c r="L241" s="7">
        <v>20.21</v>
      </c>
      <c r="M241" s="7">
        <v>-0.06</v>
      </c>
      <c r="N241" s="7">
        <v>20253.0</v>
      </c>
      <c r="O241" s="7">
        <v>4619294.0</v>
      </c>
      <c r="P241" s="7" t="s">
        <v>410</v>
      </c>
      <c r="Q241" s="7">
        <v>1268.44</v>
      </c>
      <c r="R241" s="3">
        <f t="shared" si="1"/>
        <v>1268.44</v>
      </c>
    </row>
    <row r="242" ht="22.5" customHeight="1">
      <c r="B242" s="7" t="s">
        <v>43</v>
      </c>
      <c r="C242" s="7">
        <v>2441.0</v>
      </c>
      <c r="D242" s="7">
        <v>15733.0</v>
      </c>
      <c r="E242" s="7">
        <v>789502.0</v>
      </c>
      <c r="F242" s="7">
        <v>775864.0</v>
      </c>
      <c r="G242" s="7">
        <v>1238569.0</v>
      </c>
      <c r="H242" s="7">
        <v>5.3176072E7</v>
      </c>
      <c r="I242" s="7">
        <v>23796.0</v>
      </c>
      <c r="J242" s="7">
        <v>22640.0</v>
      </c>
      <c r="K242" s="7">
        <v>1156.0</v>
      </c>
      <c r="L242" s="7">
        <v>26.68</v>
      </c>
      <c r="M242" s="7">
        <v>-0.06</v>
      </c>
      <c r="N242" s="7">
        <v>1849.0</v>
      </c>
      <c r="O242" s="7">
        <v>320308.0</v>
      </c>
      <c r="P242" s="7" t="s">
        <v>410</v>
      </c>
      <c r="Q242" s="7">
        <v>81.4</v>
      </c>
      <c r="R242" s="3">
        <f t="shared" si="1"/>
        <v>81.4</v>
      </c>
    </row>
    <row r="243" ht="22.5" customHeight="1">
      <c r="B243" s="7" t="s">
        <v>101</v>
      </c>
      <c r="C243" s="7">
        <v>2935.0</v>
      </c>
      <c r="D243" s="7">
        <v>18371.0</v>
      </c>
      <c r="E243" s="7">
        <v>2203939.0</v>
      </c>
      <c r="F243" s="7">
        <v>2182218.0</v>
      </c>
      <c r="G243" s="7">
        <v>3309213.0</v>
      </c>
      <c r="H243" s="7">
        <v>1.56821969E8</v>
      </c>
      <c r="I243" s="7">
        <v>87541.0</v>
      </c>
      <c r="J243" s="7">
        <v>85389.0</v>
      </c>
      <c r="K243" s="7">
        <v>2152.0</v>
      </c>
      <c r="L243" s="7">
        <v>35.08</v>
      </c>
      <c r="M243" s="7">
        <v>-0.05</v>
      </c>
      <c r="N243" s="7">
        <v>3446.0</v>
      </c>
      <c r="O243" s="7">
        <v>1185956.0</v>
      </c>
      <c r="P243" s="7" t="s">
        <v>410</v>
      </c>
      <c r="Q243" s="7">
        <v>591.63</v>
      </c>
      <c r="R243" s="3">
        <f t="shared" si="1"/>
        <v>591.63</v>
      </c>
    </row>
    <row r="244" ht="22.5" customHeight="1">
      <c r="B244" s="7" t="s">
        <v>366</v>
      </c>
      <c r="C244" s="7">
        <v>3220.0</v>
      </c>
      <c r="D244" s="7">
        <v>59525.0</v>
      </c>
      <c r="E244" s="7">
        <v>9249726.0</v>
      </c>
      <c r="F244" s="7">
        <v>9122809.0</v>
      </c>
      <c r="G244" s="7">
        <v>1.6288094E7</v>
      </c>
      <c r="H244" s="7">
        <v>2.452838384E9</v>
      </c>
      <c r="I244" s="7">
        <v>310416.0</v>
      </c>
      <c r="J244" s="7">
        <v>299931.0</v>
      </c>
      <c r="K244" s="7">
        <v>10485.0</v>
      </c>
      <c r="L244" s="7">
        <v>56.45</v>
      </c>
      <c r="M244" s="7">
        <v>-0.05</v>
      </c>
      <c r="N244" s="7">
        <v>16314.0</v>
      </c>
      <c r="O244" s="7">
        <v>4779523.0</v>
      </c>
      <c r="P244" s="7" t="s">
        <v>411</v>
      </c>
      <c r="Q244" s="7">
        <v>5003.85</v>
      </c>
      <c r="R244" s="3">
        <f t="shared" si="1"/>
        <v>10000</v>
      </c>
    </row>
    <row r="245" ht="22.5" customHeight="1">
      <c r="B245" s="7" t="s">
        <v>165</v>
      </c>
      <c r="C245" s="7">
        <v>5244.0</v>
      </c>
      <c r="D245" s="7">
        <v>118126.0</v>
      </c>
      <c r="E245" s="7">
        <v>3421809.0</v>
      </c>
      <c r="F245" s="7">
        <v>3358032.0</v>
      </c>
      <c r="G245" s="7">
        <v>1.0051515E7</v>
      </c>
      <c r="H245" s="7">
        <v>1.33500985E9</v>
      </c>
      <c r="I245" s="7">
        <v>114473.0</v>
      </c>
      <c r="J245" s="7">
        <v>108857.0</v>
      </c>
      <c r="K245" s="7">
        <v>5616.0</v>
      </c>
      <c r="L245" s="7">
        <v>86.62</v>
      </c>
      <c r="M245" s="7">
        <v>-0.07</v>
      </c>
      <c r="N245" s="7">
        <v>8781.0</v>
      </c>
      <c r="O245" s="7">
        <v>1338923.0</v>
      </c>
      <c r="P245" s="7" t="s">
        <v>409</v>
      </c>
      <c r="Q245" s="7">
        <v>1298.88</v>
      </c>
      <c r="R245" s="3">
        <f t="shared" si="1"/>
        <v>1298.88</v>
      </c>
    </row>
    <row r="246" ht="22.5" customHeight="1">
      <c r="B246" s="7" t="s">
        <v>367</v>
      </c>
      <c r="C246" s="7">
        <v>1740.0</v>
      </c>
      <c r="D246" s="7">
        <v>104640.0</v>
      </c>
      <c r="E246" s="7">
        <v>2.0016768E7</v>
      </c>
      <c r="F246" s="7">
        <v>1.9723925E7</v>
      </c>
      <c r="G246" s="7">
        <v>4.2838723E7</v>
      </c>
      <c r="H246" s="7">
        <v>1.488655839E9</v>
      </c>
      <c r="I246" s="7">
        <v>791026.0</v>
      </c>
      <c r="J246" s="7">
        <v>761112.0</v>
      </c>
      <c r="K246" s="7">
        <v>29914.0</v>
      </c>
      <c r="L246" s="7">
        <v>30.76</v>
      </c>
      <c r="M246" s="7">
        <v>-0.07</v>
      </c>
      <c r="N246" s="7">
        <v>46700.0</v>
      </c>
      <c r="O246" s="7">
        <v>7459679.0</v>
      </c>
      <c r="P246" s="7" t="s">
        <v>411</v>
      </c>
      <c r="Q246" s="7">
        <v>5003.89</v>
      </c>
      <c r="R246" s="3">
        <f t="shared" si="1"/>
        <v>10000</v>
      </c>
    </row>
    <row r="247" ht="22.5" customHeight="1">
      <c r="B247" s="7" t="s">
        <v>368</v>
      </c>
      <c r="C247" s="7">
        <v>2058.0</v>
      </c>
      <c r="D247" s="7">
        <v>133055.0</v>
      </c>
      <c r="E247" s="7">
        <v>2.1641328E7</v>
      </c>
      <c r="F247" s="7">
        <v>2.1337693E7</v>
      </c>
      <c r="G247" s="7">
        <v>5.0691654E7</v>
      </c>
      <c r="H247" s="7">
        <v>1.733257751E9</v>
      </c>
      <c r="I247" s="7">
        <v>851846.0</v>
      </c>
      <c r="J247" s="7">
        <v>821474.0</v>
      </c>
      <c r="K247" s="7">
        <v>30372.0</v>
      </c>
      <c r="L247" s="7">
        <v>37.76</v>
      </c>
      <c r="M247" s="7">
        <v>-0.07</v>
      </c>
      <c r="N247" s="7">
        <v>47150.0</v>
      </c>
      <c r="O247" s="7">
        <v>9055062.0</v>
      </c>
      <c r="P247" s="7" t="s">
        <v>411</v>
      </c>
      <c r="Q247" s="7">
        <v>5003.89</v>
      </c>
      <c r="R247" s="3">
        <f t="shared" si="1"/>
        <v>10000</v>
      </c>
    </row>
    <row r="248" ht="22.5" customHeight="1">
      <c r="B248" s="7" t="s">
        <v>369</v>
      </c>
      <c r="C248" s="7">
        <v>2100.0</v>
      </c>
      <c r="D248" s="7">
        <v>215164.0</v>
      </c>
      <c r="E248" s="7">
        <v>2.1798869E7</v>
      </c>
      <c r="F248" s="7">
        <v>2.1240026E7</v>
      </c>
      <c r="G248" s="7">
        <v>3.9024389E7</v>
      </c>
      <c r="H248" s="7">
        <v>3.23656529E9</v>
      </c>
      <c r="I248" s="7">
        <v>541333.0</v>
      </c>
      <c r="J248" s="7">
        <v>511586.0</v>
      </c>
      <c r="K248" s="7">
        <v>29747.0</v>
      </c>
      <c r="L248" s="7">
        <v>98.81</v>
      </c>
      <c r="M248" s="7">
        <v>-0.05</v>
      </c>
      <c r="N248" s="7">
        <v>46517.0</v>
      </c>
      <c r="O248" s="7">
        <v>1.1235889E7</v>
      </c>
      <c r="P248" s="7" t="s">
        <v>411</v>
      </c>
      <c r="Q248" s="7">
        <v>5003.88</v>
      </c>
      <c r="R248" s="3">
        <f t="shared" si="1"/>
        <v>10000</v>
      </c>
    </row>
    <row r="249" ht="22.5" customHeight="1">
      <c r="B249" s="7" t="s">
        <v>370</v>
      </c>
      <c r="C249" s="7">
        <v>2400.0</v>
      </c>
      <c r="D249" s="7">
        <v>266431.0</v>
      </c>
      <c r="E249" s="7">
        <v>2.4255127E7</v>
      </c>
      <c r="F249" s="7">
        <v>2.3603028E7</v>
      </c>
      <c r="G249" s="7">
        <v>4.4983472E7</v>
      </c>
      <c r="H249" s="7">
        <v>3.377521509E9</v>
      </c>
      <c r="I249" s="7">
        <v>550476.0</v>
      </c>
      <c r="J249" s="7">
        <v>520323.0</v>
      </c>
      <c r="K249" s="7">
        <v>30153.0</v>
      </c>
      <c r="L249" s="7">
        <v>127.63</v>
      </c>
      <c r="M249" s="7">
        <v>-0.06</v>
      </c>
      <c r="N249" s="7">
        <v>46922.0</v>
      </c>
      <c r="O249" s="7">
        <v>1.4204038E7</v>
      </c>
      <c r="P249" s="7" t="s">
        <v>411</v>
      </c>
      <c r="Q249" s="7">
        <v>5003.86</v>
      </c>
      <c r="R249" s="3">
        <f t="shared" si="1"/>
        <v>10000</v>
      </c>
    </row>
    <row r="250" ht="22.5" customHeight="1">
      <c r="B250" s="7" t="s">
        <v>49</v>
      </c>
      <c r="C250" s="7">
        <v>945.0</v>
      </c>
      <c r="D250" s="7">
        <v>61409.0</v>
      </c>
      <c r="E250" s="7">
        <v>1936614.0</v>
      </c>
      <c r="F250" s="7">
        <v>1893269.0</v>
      </c>
      <c r="G250" s="7">
        <v>2796353.0</v>
      </c>
      <c r="H250" s="7">
        <v>1.84407362E8</v>
      </c>
      <c r="I250" s="7">
        <v>71103.0</v>
      </c>
      <c r="J250" s="7">
        <v>69158.0</v>
      </c>
      <c r="K250" s="7">
        <v>1945.0</v>
      </c>
      <c r="L250" s="7">
        <v>54.45</v>
      </c>
      <c r="M250" s="7">
        <v>-0.05</v>
      </c>
      <c r="N250" s="7">
        <v>2995.0</v>
      </c>
      <c r="O250" s="7">
        <v>1197030.0</v>
      </c>
      <c r="P250" s="7" t="s">
        <v>409</v>
      </c>
      <c r="Q250" s="7">
        <v>246.58</v>
      </c>
      <c r="R250" s="3">
        <f t="shared" si="1"/>
        <v>246.58</v>
      </c>
    </row>
    <row r="251" ht="22.5" customHeight="1">
      <c r="B251" s="7" t="s">
        <v>371</v>
      </c>
      <c r="C251" s="7">
        <v>1000.0</v>
      </c>
      <c r="D251" s="7">
        <v>21405.0</v>
      </c>
      <c r="E251" s="7">
        <v>9.418588E7</v>
      </c>
      <c r="F251" s="7">
        <v>6.6968622E7</v>
      </c>
      <c r="G251" s="7">
        <v>9.50879812E8</v>
      </c>
      <c r="H251" s="7">
        <v>1.2343853889E10</v>
      </c>
      <c r="I251" s="7">
        <v>627988.0</v>
      </c>
      <c r="J251" s="7">
        <v>375329.0</v>
      </c>
      <c r="K251" s="7">
        <v>252659.0</v>
      </c>
      <c r="L251" s="7">
        <v>38.84</v>
      </c>
      <c r="M251" s="7">
        <v>-0.05</v>
      </c>
      <c r="N251" s="7">
        <v>314376.0</v>
      </c>
      <c r="O251" s="7">
        <v>2.92585065E8</v>
      </c>
      <c r="P251" s="7" t="s">
        <v>411</v>
      </c>
      <c r="Q251" s="7">
        <v>5003.79</v>
      </c>
      <c r="R251" s="3">
        <f t="shared" si="1"/>
        <v>10000</v>
      </c>
    </row>
    <row r="252" ht="22.5" customHeight="1">
      <c r="B252" s="7" t="s">
        <v>372</v>
      </c>
      <c r="C252" s="7">
        <v>1740.0</v>
      </c>
      <c r="D252" s="7">
        <v>114011.0</v>
      </c>
      <c r="E252" s="7">
        <v>2.0717539E7</v>
      </c>
      <c r="F252" s="7">
        <v>2.0447381E7</v>
      </c>
      <c r="G252" s="7">
        <v>3.8620944E7</v>
      </c>
      <c r="H252" s="7">
        <v>1.348729263E9</v>
      </c>
      <c r="I252" s="7">
        <v>777694.0</v>
      </c>
      <c r="J252" s="7">
        <v>747913.0</v>
      </c>
      <c r="K252" s="7">
        <v>29781.0</v>
      </c>
      <c r="L252" s="7">
        <v>28.18</v>
      </c>
      <c r="M252" s="7">
        <v>-0.06</v>
      </c>
      <c r="N252" s="7">
        <v>46571.0</v>
      </c>
      <c r="O252" s="7">
        <v>8193433.0</v>
      </c>
      <c r="P252" s="7" t="s">
        <v>411</v>
      </c>
      <c r="Q252" s="7">
        <v>5003.88</v>
      </c>
      <c r="R252" s="3">
        <f t="shared" si="1"/>
        <v>10000</v>
      </c>
    </row>
    <row r="253" ht="22.5" customHeight="1">
      <c r="B253" s="7" t="s">
        <v>373</v>
      </c>
      <c r="C253" s="7">
        <v>1898.0</v>
      </c>
      <c r="D253" s="7">
        <v>128735.0</v>
      </c>
      <c r="E253" s="7">
        <v>2.0316086E7</v>
      </c>
      <c r="F253" s="7">
        <v>2.0054637E7</v>
      </c>
      <c r="G253" s="7">
        <v>3.8753755E7</v>
      </c>
      <c r="H253" s="7">
        <v>1.368357223E9</v>
      </c>
      <c r="I253" s="7">
        <v>709710.0</v>
      </c>
      <c r="J253" s="7">
        <v>679726.0</v>
      </c>
      <c r="K253" s="7">
        <v>29984.0</v>
      </c>
      <c r="L253" s="7">
        <v>31.03</v>
      </c>
      <c r="M253" s="7">
        <v>-0.06</v>
      </c>
      <c r="N253" s="7">
        <v>46773.0</v>
      </c>
      <c r="O253" s="7">
        <v>8016290.0</v>
      </c>
      <c r="P253" s="7" t="s">
        <v>411</v>
      </c>
      <c r="Q253" s="7">
        <v>5003.88</v>
      </c>
      <c r="R253" s="3">
        <f t="shared" si="1"/>
        <v>10000</v>
      </c>
    </row>
    <row r="254" ht="22.5" customHeight="1">
      <c r="B254" s="7" t="s">
        <v>252</v>
      </c>
      <c r="C254" s="7">
        <v>3066.0</v>
      </c>
      <c r="D254" s="7">
        <v>59739.0</v>
      </c>
      <c r="E254" s="7">
        <v>6560226.0</v>
      </c>
      <c r="F254" s="7">
        <v>6480468.0</v>
      </c>
      <c r="G254" s="7">
        <v>1.0402961E7</v>
      </c>
      <c r="H254" s="7">
        <v>1.256408591E9</v>
      </c>
      <c r="I254" s="7">
        <v>294999.0</v>
      </c>
      <c r="J254" s="7">
        <v>288074.0</v>
      </c>
      <c r="K254" s="7">
        <v>6925.0</v>
      </c>
      <c r="L254" s="7">
        <v>20.21</v>
      </c>
      <c r="M254" s="7">
        <v>-0.06</v>
      </c>
      <c r="N254" s="7">
        <v>11129.0</v>
      </c>
      <c r="O254" s="7">
        <v>3057363.0</v>
      </c>
      <c r="P254" s="7" t="s">
        <v>410</v>
      </c>
      <c r="Q254" s="7">
        <v>2198.26</v>
      </c>
      <c r="R254" s="3">
        <f t="shared" si="1"/>
        <v>2198.26</v>
      </c>
    </row>
    <row r="255" ht="22.5" customHeight="1">
      <c r="B255" s="7" t="s">
        <v>374</v>
      </c>
      <c r="C255" s="7">
        <v>3090.0</v>
      </c>
      <c r="D255" s="7">
        <v>59825.0</v>
      </c>
      <c r="E255" s="7">
        <v>8205505.0</v>
      </c>
      <c r="F255" s="7">
        <v>8126021.0</v>
      </c>
      <c r="G255" s="7">
        <v>1.7040448E7</v>
      </c>
      <c r="H255" s="7">
        <v>1.230324221E9</v>
      </c>
      <c r="I255" s="7">
        <v>459387.0</v>
      </c>
      <c r="J255" s="7">
        <v>452630.0</v>
      </c>
      <c r="K255" s="7">
        <v>6757.0</v>
      </c>
      <c r="L255" s="7">
        <v>25.6</v>
      </c>
      <c r="M255" s="7">
        <v>-0.08</v>
      </c>
      <c r="N255" s="7">
        <v>10985.0</v>
      </c>
      <c r="O255" s="7">
        <v>4171867.0</v>
      </c>
      <c r="P255" s="7" t="s">
        <v>411</v>
      </c>
      <c r="Q255" s="7">
        <v>5003.89</v>
      </c>
      <c r="R255" s="3">
        <f t="shared" si="1"/>
        <v>10000</v>
      </c>
    </row>
    <row r="256" ht="22.5" customHeight="1">
      <c r="B256" s="7" t="s">
        <v>375</v>
      </c>
      <c r="C256" s="7">
        <v>130928.0</v>
      </c>
      <c r="D256" s="7">
        <v>437704.0</v>
      </c>
      <c r="E256" s="7">
        <v>3.5334485E7</v>
      </c>
      <c r="F256" s="7">
        <v>3.4913422E7</v>
      </c>
      <c r="G256" s="7">
        <v>1.38733513E8</v>
      </c>
      <c r="H256" s="7">
        <v>4.716042638E9</v>
      </c>
      <c r="I256" s="7">
        <v>1960253.0</v>
      </c>
      <c r="J256" s="7">
        <v>1922463.0</v>
      </c>
      <c r="K256" s="7">
        <v>37790.0</v>
      </c>
      <c r="L256" s="7">
        <v>46.82</v>
      </c>
      <c r="M256" s="7">
        <v>-0.09</v>
      </c>
      <c r="N256" s="7">
        <v>58514.0</v>
      </c>
      <c r="O256" s="7">
        <v>1.7545528E7</v>
      </c>
      <c r="P256" s="7" t="s">
        <v>411</v>
      </c>
      <c r="Q256" s="7">
        <v>5003.8</v>
      </c>
      <c r="R256" s="3">
        <f t="shared" si="1"/>
        <v>10000</v>
      </c>
    </row>
    <row r="257" ht="22.5" customHeight="1">
      <c r="B257" s="7" t="s">
        <v>13</v>
      </c>
      <c r="C257" s="7">
        <v>134780.0</v>
      </c>
      <c r="D257" s="7">
        <v>648622.0</v>
      </c>
      <c r="E257" s="7">
        <v>1012.0</v>
      </c>
      <c r="F257" s="7">
        <v>978.0</v>
      </c>
      <c r="G257" s="7">
        <v>30271.0</v>
      </c>
      <c r="H257" s="7">
        <v>1634482.0</v>
      </c>
      <c r="I257" s="7">
        <v>45.0</v>
      </c>
      <c r="J257" s="7">
        <v>45.0</v>
      </c>
      <c r="K257" s="7">
        <v>0.0</v>
      </c>
      <c r="L257" s="7">
        <v>26.63</v>
      </c>
      <c r="M257" s="7">
        <v>-0.24</v>
      </c>
      <c r="N257" s="7">
        <v>1.0</v>
      </c>
      <c r="O257" s="7">
        <v>4694.0</v>
      </c>
      <c r="P257" s="7" t="s">
        <v>409</v>
      </c>
      <c r="Q257" s="7">
        <v>1.15</v>
      </c>
      <c r="R257" s="3">
        <f t="shared" si="1"/>
        <v>1.15</v>
      </c>
    </row>
    <row r="258" ht="22.5" customHeight="1">
      <c r="B258" s="7" t="s">
        <v>92</v>
      </c>
      <c r="C258" s="7">
        <v>349350.0</v>
      </c>
      <c r="D258" s="7">
        <v>1419267.0</v>
      </c>
      <c r="E258" s="7">
        <v>1183723.0</v>
      </c>
      <c r="F258" s="7">
        <v>1154592.0</v>
      </c>
      <c r="G258" s="7">
        <v>3783254.0</v>
      </c>
      <c r="H258" s="7">
        <v>7.10997409E8</v>
      </c>
      <c r="I258" s="7">
        <v>58067.0</v>
      </c>
      <c r="J258" s="7">
        <v>56155.0</v>
      </c>
      <c r="K258" s="7">
        <v>1912.0</v>
      </c>
      <c r="L258" s="7">
        <v>33.17</v>
      </c>
      <c r="M258" s="7">
        <v>-0.14</v>
      </c>
      <c r="N258" s="7">
        <v>2962.0</v>
      </c>
      <c r="O258" s="7">
        <v>673995.0</v>
      </c>
      <c r="P258" s="7" t="s">
        <v>410</v>
      </c>
      <c r="Q258" s="7">
        <v>433.7</v>
      </c>
      <c r="R258" s="3">
        <f t="shared" si="1"/>
        <v>433.7</v>
      </c>
    </row>
    <row r="259" ht="22.5" customHeight="1">
      <c r="B259" s="7" t="s">
        <v>200</v>
      </c>
      <c r="C259" s="7">
        <v>1376707.0</v>
      </c>
      <c r="D259" s="7">
        <v>5351985.0</v>
      </c>
      <c r="E259" s="7">
        <v>1454386.0</v>
      </c>
      <c r="F259" s="7">
        <v>1412687.0</v>
      </c>
      <c r="G259" s="7">
        <v>6206016.0</v>
      </c>
      <c r="H259" s="7">
        <v>4.958685775E9</v>
      </c>
      <c r="I259" s="7">
        <v>92996.0</v>
      </c>
      <c r="J259" s="7">
        <v>91154.0</v>
      </c>
      <c r="K259" s="7">
        <v>1842.0</v>
      </c>
      <c r="L259" s="7">
        <v>44.88</v>
      </c>
      <c r="M259" s="7">
        <v>-0.16</v>
      </c>
      <c r="N259" s="7">
        <v>2892.0</v>
      </c>
      <c r="O259" s="7">
        <v>1111991.0</v>
      </c>
      <c r="P259" s="7" t="s">
        <v>410</v>
      </c>
      <c r="Q259" s="7">
        <v>2132.11</v>
      </c>
      <c r="R259" s="3">
        <f t="shared" si="1"/>
        <v>2132.11</v>
      </c>
    </row>
    <row r="260" ht="22.5" customHeight="1">
      <c r="B260" s="7" t="s">
        <v>156</v>
      </c>
      <c r="C260" s="7">
        <v>752.0</v>
      </c>
      <c r="D260" s="7">
        <v>27325.0</v>
      </c>
      <c r="E260" s="7">
        <v>2.3417885E7</v>
      </c>
      <c r="F260" s="7">
        <v>2.2806241E7</v>
      </c>
      <c r="G260" s="7">
        <v>4.3254265E7</v>
      </c>
      <c r="H260" s="7">
        <v>1.216015116E9</v>
      </c>
      <c r="I260" s="7">
        <v>831384.0</v>
      </c>
      <c r="J260" s="7">
        <v>801653.0</v>
      </c>
      <c r="K260" s="7">
        <v>29731.0</v>
      </c>
      <c r="L260" s="7">
        <v>43.8</v>
      </c>
      <c r="M260" s="7">
        <v>-0.07</v>
      </c>
      <c r="N260" s="7">
        <v>46514.0</v>
      </c>
      <c r="O260" s="7">
        <v>1.1429193E7</v>
      </c>
      <c r="P260" s="7" t="s">
        <v>409</v>
      </c>
      <c r="Q260" s="7">
        <v>3934.4</v>
      </c>
      <c r="R260" s="3">
        <f t="shared" si="1"/>
        <v>3934.4</v>
      </c>
    </row>
    <row r="261" ht="22.5" customHeight="1">
      <c r="B261" s="7" t="s">
        <v>376</v>
      </c>
      <c r="C261" s="7">
        <v>773.0</v>
      </c>
      <c r="D261" s="7">
        <v>29353.0</v>
      </c>
      <c r="E261" s="7">
        <v>2.9030312E7</v>
      </c>
      <c r="F261" s="7">
        <v>2.8369824E7</v>
      </c>
      <c r="G261" s="7">
        <v>5.7219118E7</v>
      </c>
      <c r="H261" s="7">
        <v>1.537585111E9</v>
      </c>
      <c r="I261" s="7">
        <v>1146767.0</v>
      </c>
      <c r="J261" s="7">
        <v>1117734.0</v>
      </c>
      <c r="K261" s="7">
        <v>29033.0</v>
      </c>
      <c r="L261" s="7">
        <v>41.23</v>
      </c>
      <c r="M261" s="7">
        <v>-0.07</v>
      </c>
      <c r="N261" s="7">
        <v>45822.0</v>
      </c>
      <c r="O261" s="7">
        <v>1.5787288E7</v>
      </c>
      <c r="P261" s="7" t="s">
        <v>411</v>
      </c>
      <c r="Q261" s="7">
        <v>5003.93</v>
      </c>
      <c r="R261" s="3">
        <f t="shared" si="1"/>
        <v>10000</v>
      </c>
    </row>
    <row r="262" ht="22.5" customHeight="1">
      <c r="B262" s="7" t="s">
        <v>236</v>
      </c>
      <c r="C262" s="7">
        <v>180.0</v>
      </c>
      <c r="D262" s="7">
        <v>432.0</v>
      </c>
      <c r="E262" s="7">
        <v>1.9049959E7</v>
      </c>
      <c r="F262" s="7">
        <v>1.875554E7</v>
      </c>
      <c r="G262" s="7">
        <v>2.7371817E7</v>
      </c>
      <c r="H262" s="7">
        <v>4.36957325E8</v>
      </c>
      <c r="I262" s="7">
        <v>580702.0</v>
      </c>
      <c r="J262" s="7">
        <v>552786.0</v>
      </c>
      <c r="K262" s="7">
        <v>27916.0</v>
      </c>
      <c r="L262" s="7">
        <v>23.42</v>
      </c>
      <c r="M262" s="7">
        <v>-0.05</v>
      </c>
      <c r="N262" s="7">
        <v>44723.0</v>
      </c>
      <c r="O262" s="7">
        <v>6682528.0</v>
      </c>
      <c r="P262" s="7" t="s">
        <v>411</v>
      </c>
      <c r="Q262" s="7">
        <v>5003.88</v>
      </c>
      <c r="R262" s="3">
        <f t="shared" si="1"/>
        <v>10000</v>
      </c>
    </row>
    <row r="263" ht="22.5" customHeight="1">
      <c r="B263" s="7" t="s">
        <v>377</v>
      </c>
      <c r="C263" s="7">
        <v>109.0</v>
      </c>
      <c r="D263" s="7">
        <v>228.0</v>
      </c>
      <c r="E263" s="7">
        <v>3.5356888E7</v>
      </c>
      <c r="F263" s="7">
        <v>3.5075318E7</v>
      </c>
      <c r="G263" s="7">
        <v>4.6642868E7</v>
      </c>
      <c r="H263" s="7">
        <v>5.32985151E8</v>
      </c>
      <c r="I263" s="7">
        <v>1929497.0</v>
      </c>
      <c r="J263" s="7">
        <v>1895501.0</v>
      </c>
      <c r="K263" s="7">
        <v>33996.0</v>
      </c>
      <c r="L263" s="7">
        <v>20.53</v>
      </c>
      <c r="M263" s="7">
        <v>-0.04</v>
      </c>
      <c r="N263" s="7">
        <v>54801.0</v>
      </c>
      <c r="O263" s="7">
        <v>1.6721045E7</v>
      </c>
      <c r="P263" s="7" t="s">
        <v>411</v>
      </c>
      <c r="Q263" s="7">
        <v>5003.92</v>
      </c>
      <c r="R263" s="3">
        <f t="shared" si="1"/>
        <v>10000</v>
      </c>
    </row>
    <row r="264" ht="22.5" customHeight="1">
      <c r="B264" s="7" t="s">
        <v>112</v>
      </c>
      <c r="C264" s="7">
        <v>720.0</v>
      </c>
      <c r="D264" s="7">
        <v>58758.0</v>
      </c>
      <c r="E264" s="7">
        <v>4633646.0</v>
      </c>
      <c r="F264" s="7">
        <v>4550204.0</v>
      </c>
      <c r="G264" s="7">
        <v>6126551.0</v>
      </c>
      <c r="H264" s="7">
        <v>2.51642272E8</v>
      </c>
      <c r="I264" s="7">
        <v>134096.0</v>
      </c>
      <c r="J264" s="7">
        <v>125403.0</v>
      </c>
      <c r="K264" s="7">
        <v>8693.0</v>
      </c>
      <c r="L264" s="7">
        <v>111.8</v>
      </c>
      <c r="M264" s="7">
        <v>-0.03</v>
      </c>
      <c r="N264" s="7">
        <v>12868.0</v>
      </c>
      <c r="O264" s="7">
        <v>1798421.0</v>
      </c>
      <c r="P264" s="7" t="s">
        <v>410</v>
      </c>
      <c r="Q264" s="7">
        <v>1386.93</v>
      </c>
      <c r="R264" s="3">
        <f t="shared" si="1"/>
        <v>1386.93</v>
      </c>
    </row>
    <row r="265" ht="22.5" customHeight="1">
      <c r="B265" s="7" t="s">
        <v>233</v>
      </c>
      <c r="C265" s="7">
        <v>840.0</v>
      </c>
      <c r="D265" s="7">
        <v>71206.0</v>
      </c>
      <c r="E265" s="7">
        <v>1.3167698E7</v>
      </c>
      <c r="F265" s="7">
        <v>1.2924625E7</v>
      </c>
      <c r="G265" s="7">
        <v>1.6798291E7</v>
      </c>
      <c r="H265" s="7">
        <v>8.14155318E8</v>
      </c>
      <c r="I265" s="7">
        <v>356936.0</v>
      </c>
      <c r="J265" s="7">
        <v>332751.0</v>
      </c>
      <c r="K265" s="7">
        <v>24185.0</v>
      </c>
      <c r="L265" s="7">
        <v>122.42</v>
      </c>
      <c r="M265" s="7">
        <v>-0.03</v>
      </c>
      <c r="N265" s="7">
        <v>35981.0</v>
      </c>
      <c r="O265" s="7">
        <v>5259027.0</v>
      </c>
      <c r="P265" s="7" t="s">
        <v>411</v>
      </c>
      <c r="Q265" s="7">
        <v>5003.87</v>
      </c>
      <c r="R265" s="3">
        <f t="shared" si="1"/>
        <v>10000</v>
      </c>
    </row>
    <row r="266" ht="22.5" customHeight="1">
      <c r="B266" s="7" t="s">
        <v>176</v>
      </c>
      <c r="C266" s="7">
        <v>3831.0</v>
      </c>
      <c r="D266" s="7">
        <v>15062.0</v>
      </c>
      <c r="E266" s="7">
        <v>6162299.0</v>
      </c>
      <c r="F266" s="7">
        <v>6075571.0</v>
      </c>
      <c r="G266" s="7">
        <v>1.2109803E7</v>
      </c>
      <c r="H266" s="7">
        <v>7.1412875E8</v>
      </c>
      <c r="I266" s="7">
        <v>327937.0</v>
      </c>
      <c r="J266" s="7">
        <v>321341.0</v>
      </c>
      <c r="K266" s="7">
        <v>6596.0</v>
      </c>
      <c r="L266" s="7">
        <v>38.24</v>
      </c>
      <c r="M266" s="7">
        <v>-0.08</v>
      </c>
      <c r="N266" s="7">
        <v>10804.0</v>
      </c>
      <c r="O266" s="7">
        <v>2663268.0</v>
      </c>
      <c r="P266" s="7" t="s">
        <v>409</v>
      </c>
      <c r="Q266" s="7">
        <v>1888.85</v>
      </c>
      <c r="R266" s="3">
        <f t="shared" si="1"/>
        <v>1888.85</v>
      </c>
    </row>
    <row r="267" ht="22.5" customHeight="1">
      <c r="B267" s="7" t="s">
        <v>239</v>
      </c>
      <c r="C267" s="7">
        <v>2715.0</v>
      </c>
      <c r="D267" s="7">
        <v>11371.0</v>
      </c>
      <c r="E267" s="7">
        <v>9039573.0</v>
      </c>
      <c r="F267" s="7">
        <v>8914376.0</v>
      </c>
      <c r="G267" s="7">
        <v>1.7603448E7</v>
      </c>
      <c r="H267" s="7">
        <v>1.043058761E9</v>
      </c>
      <c r="I267" s="7">
        <v>505184.0</v>
      </c>
      <c r="J267" s="7">
        <v>496481.0</v>
      </c>
      <c r="K267" s="7">
        <v>8703.0</v>
      </c>
      <c r="L267" s="7">
        <v>38.03</v>
      </c>
      <c r="M267" s="7">
        <v>-0.08</v>
      </c>
      <c r="N267" s="7">
        <v>14219.0</v>
      </c>
      <c r="O267" s="7">
        <v>4264908.0</v>
      </c>
      <c r="P267" s="7" t="s">
        <v>411</v>
      </c>
      <c r="Q267" s="7">
        <v>5003.94</v>
      </c>
      <c r="R267" s="3">
        <f t="shared" si="1"/>
        <v>10000</v>
      </c>
    </row>
    <row r="268" ht="22.5" customHeight="1">
      <c r="B268" s="7" t="s">
        <v>223</v>
      </c>
      <c r="C268" s="7">
        <v>3835.0</v>
      </c>
      <c r="D268" s="7">
        <v>15069.0</v>
      </c>
      <c r="E268" s="7">
        <v>5680605.0</v>
      </c>
      <c r="F268" s="7">
        <v>5599836.0</v>
      </c>
      <c r="G268" s="7">
        <v>1.1020511E7</v>
      </c>
      <c r="H268" s="7">
        <v>6.70644299E8</v>
      </c>
      <c r="I268" s="7">
        <v>279714.0</v>
      </c>
      <c r="J268" s="7">
        <v>272958.0</v>
      </c>
      <c r="K268" s="7">
        <v>6756.0</v>
      </c>
      <c r="L268" s="7">
        <v>38.03</v>
      </c>
      <c r="M268" s="7">
        <v>-0.08</v>
      </c>
      <c r="N268" s="7">
        <v>10963.0</v>
      </c>
      <c r="O268" s="7">
        <v>2319075.0</v>
      </c>
      <c r="P268" s="7" t="s">
        <v>409</v>
      </c>
      <c r="Q268" s="7">
        <v>2181.45</v>
      </c>
      <c r="R268" s="3">
        <f t="shared" si="1"/>
        <v>2181.45</v>
      </c>
    </row>
    <row r="269" ht="22.5" customHeight="1">
      <c r="B269" s="7" t="s">
        <v>208</v>
      </c>
      <c r="C269" s="7">
        <v>2719.0</v>
      </c>
      <c r="D269" s="7">
        <v>11388.0</v>
      </c>
      <c r="E269" s="7">
        <v>6398744.0</v>
      </c>
      <c r="F269" s="7">
        <v>6306682.0</v>
      </c>
      <c r="G269" s="7">
        <v>1.2537922E7</v>
      </c>
      <c r="H269" s="7">
        <v>7.48969265E8</v>
      </c>
      <c r="I269" s="7">
        <v>336221.0</v>
      </c>
      <c r="J269" s="7">
        <v>329520.0</v>
      </c>
      <c r="K269" s="7">
        <v>6701.0</v>
      </c>
      <c r="L269" s="7">
        <v>38.31</v>
      </c>
      <c r="M269" s="7">
        <v>-0.08</v>
      </c>
      <c r="N269" s="7">
        <v>10909.0</v>
      </c>
      <c r="O269" s="7">
        <v>2895322.0</v>
      </c>
      <c r="P269" s="7" t="s">
        <v>409</v>
      </c>
      <c r="Q269" s="7">
        <v>2628.19</v>
      </c>
      <c r="R269" s="3">
        <f t="shared" si="1"/>
        <v>2628.19</v>
      </c>
    </row>
    <row r="270" ht="22.5" customHeight="1">
      <c r="B270" s="7" t="s">
        <v>207</v>
      </c>
      <c r="C270" s="7">
        <v>3836.0</v>
      </c>
      <c r="D270" s="7">
        <v>15071.0</v>
      </c>
      <c r="E270" s="7">
        <v>7057351.0</v>
      </c>
      <c r="F270" s="7">
        <v>6956743.0</v>
      </c>
      <c r="G270" s="7">
        <v>1.4049538E7</v>
      </c>
      <c r="H270" s="7">
        <v>8.11231562E8</v>
      </c>
      <c r="I270" s="7">
        <v>402675.0</v>
      </c>
      <c r="J270" s="7">
        <v>395920.0</v>
      </c>
      <c r="K270" s="7">
        <v>6755.0</v>
      </c>
      <c r="L270" s="7">
        <v>38.49</v>
      </c>
      <c r="M270" s="7">
        <v>-0.08</v>
      </c>
      <c r="N270" s="7">
        <v>10962.0</v>
      </c>
      <c r="O270" s="7">
        <v>3375586.0</v>
      </c>
      <c r="P270" s="7" t="s">
        <v>409</v>
      </c>
      <c r="Q270" s="7">
        <v>2755.64</v>
      </c>
      <c r="R270" s="3">
        <f t="shared" si="1"/>
        <v>2755.64</v>
      </c>
    </row>
    <row r="271" ht="22.5" customHeight="1">
      <c r="B271" s="7" t="s">
        <v>234</v>
      </c>
      <c r="C271" s="7">
        <v>2720.0</v>
      </c>
      <c r="D271" s="7">
        <v>11392.0</v>
      </c>
      <c r="E271" s="7">
        <v>4558472.0</v>
      </c>
      <c r="F271" s="7">
        <v>4498178.0</v>
      </c>
      <c r="G271" s="7">
        <v>8210880.0</v>
      </c>
      <c r="H271" s="7">
        <v>5.23219625E8</v>
      </c>
      <c r="I271" s="7">
        <v>179143.0</v>
      </c>
      <c r="J271" s="7">
        <v>172294.0</v>
      </c>
      <c r="K271" s="7">
        <v>6849.0</v>
      </c>
      <c r="L271" s="7">
        <v>39.24</v>
      </c>
      <c r="M271" s="7">
        <v>-0.06</v>
      </c>
      <c r="N271" s="7">
        <v>11055.0</v>
      </c>
      <c r="O271" s="7">
        <v>1439681.0</v>
      </c>
      <c r="P271" s="7" t="s">
        <v>409</v>
      </c>
      <c r="Q271" s="7">
        <v>1357.25</v>
      </c>
      <c r="R271" s="3">
        <f t="shared" si="1"/>
        <v>1357.25</v>
      </c>
    </row>
    <row r="272" ht="22.5" customHeight="1">
      <c r="B272" s="7" t="s">
        <v>68</v>
      </c>
      <c r="C272" s="7">
        <v>3837.0</v>
      </c>
      <c r="D272" s="7">
        <v>15085.0</v>
      </c>
      <c r="E272" s="7">
        <v>6941690.0</v>
      </c>
      <c r="F272" s="7">
        <v>6840080.0</v>
      </c>
      <c r="G272" s="7">
        <v>1.3831676E7</v>
      </c>
      <c r="H272" s="7">
        <v>8.07326872E8</v>
      </c>
      <c r="I272" s="7">
        <v>387310.0</v>
      </c>
      <c r="J272" s="7">
        <v>380635.0</v>
      </c>
      <c r="K272" s="7">
        <v>6675.0</v>
      </c>
      <c r="L272" s="7">
        <v>38.19</v>
      </c>
      <c r="M272" s="7">
        <v>-0.08</v>
      </c>
      <c r="N272" s="7">
        <v>10883.0</v>
      </c>
      <c r="O272" s="7">
        <v>3307133.0</v>
      </c>
      <c r="P272" s="7" t="s">
        <v>409</v>
      </c>
      <c r="Q272" s="7">
        <v>3290.95</v>
      </c>
      <c r="R272" s="3">
        <f t="shared" si="1"/>
        <v>3290.95</v>
      </c>
    </row>
    <row r="273" ht="22.5" customHeight="1">
      <c r="B273" s="7" t="s">
        <v>225</v>
      </c>
      <c r="C273" s="7">
        <v>2721.0</v>
      </c>
      <c r="D273" s="7">
        <v>11396.0</v>
      </c>
      <c r="E273" s="7">
        <v>7377919.0</v>
      </c>
      <c r="F273" s="7">
        <v>7270700.0</v>
      </c>
      <c r="G273" s="7">
        <v>1.4849951E7</v>
      </c>
      <c r="H273" s="7">
        <v>8.52508558E8</v>
      </c>
      <c r="I273" s="7">
        <v>425698.0</v>
      </c>
      <c r="J273" s="7">
        <v>418916.0</v>
      </c>
      <c r="K273" s="7">
        <v>6782.0</v>
      </c>
      <c r="L273" s="7">
        <v>38.11</v>
      </c>
      <c r="M273" s="7">
        <v>-0.08</v>
      </c>
      <c r="N273" s="7">
        <v>10989.0</v>
      </c>
      <c r="O273" s="7">
        <v>3645039.0</v>
      </c>
      <c r="P273" s="7" t="s">
        <v>409</v>
      </c>
      <c r="Q273" s="7">
        <v>3847.53</v>
      </c>
      <c r="R273" s="3">
        <f t="shared" si="1"/>
        <v>3847.53</v>
      </c>
    </row>
    <row r="274" ht="22.5" customHeight="1">
      <c r="B274" s="7" t="s">
        <v>230</v>
      </c>
      <c r="C274" s="7">
        <v>3838.0</v>
      </c>
      <c r="D274" s="7">
        <v>15113.0</v>
      </c>
      <c r="E274" s="7">
        <v>6788633.0</v>
      </c>
      <c r="F274" s="7">
        <v>6690280.0</v>
      </c>
      <c r="G274" s="7">
        <v>1.3633756E7</v>
      </c>
      <c r="H274" s="7">
        <v>8.08439987E8</v>
      </c>
      <c r="I274" s="7">
        <v>370702.0</v>
      </c>
      <c r="J274" s="7">
        <v>363924.0</v>
      </c>
      <c r="K274" s="7">
        <v>6778.0</v>
      </c>
      <c r="L274" s="7">
        <v>39.36</v>
      </c>
      <c r="M274" s="7">
        <v>-0.08</v>
      </c>
      <c r="N274" s="7">
        <v>10986.0</v>
      </c>
      <c r="O274" s="7">
        <v>3199662.0</v>
      </c>
      <c r="P274" s="7" t="s">
        <v>409</v>
      </c>
      <c r="Q274" s="7">
        <v>2602.13</v>
      </c>
      <c r="R274" s="3">
        <f t="shared" si="1"/>
        <v>2602.13</v>
      </c>
    </row>
    <row r="275" ht="22.5" customHeight="1">
      <c r="B275" s="7" t="s">
        <v>229</v>
      </c>
      <c r="C275" s="7">
        <v>2722.0</v>
      </c>
      <c r="D275" s="7">
        <v>11400.0</v>
      </c>
      <c r="E275" s="7">
        <v>3076651.0</v>
      </c>
      <c r="F275" s="7">
        <v>3030290.0</v>
      </c>
      <c r="G275" s="7">
        <v>6073230.0</v>
      </c>
      <c r="H275" s="7">
        <v>3.77208372E8</v>
      </c>
      <c r="I275" s="7">
        <v>130343.0</v>
      </c>
      <c r="J275" s="7">
        <v>126115.0</v>
      </c>
      <c r="K275" s="7">
        <v>4228.0</v>
      </c>
      <c r="L275" s="7">
        <v>38.15</v>
      </c>
      <c r="M275" s="7">
        <v>-0.08</v>
      </c>
      <c r="N275" s="7">
        <v>6868.0</v>
      </c>
      <c r="O275" s="7">
        <v>1099993.0</v>
      </c>
      <c r="P275" s="7" t="s">
        <v>409</v>
      </c>
      <c r="Q275" s="7">
        <v>650.26</v>
      </c>
      <c r="R275" s="3">
        <f t="shared" si="1"/>
        <v>650.26</v>
      </c>
    </row>
    <row r="276" ht="22.5" customHeight="1">
      <c r="B276" s="7" t="s">
        <v>48</v>
      </c>
      <c r="C276" s="7">
        <v>3559.0</v>
      </c>
      <c r="D276" s="7">
        <v>14096.0</v>
      </c>
      <c r="E276" s="7">
        <v>188270.0</v>
      </c>
      <c r="F276" s="7">
        <v>184611.0</v>
      </c>
      <c r="G276" s="7">
        <v>440661.0</v>
      </c>
      <c r="H276" s="7">
        <v>3.1883982E7</v>
      </c>
      <c r="I276" s="7">
        <v>9003.0</v>
      </c>
      <c r="J276" s="7">
        <v>8719.0</v>
      </c>
      <c r="K276" s="7">
        <v>284.0</v>
      </c>
      <c r="L276" s="7">
        <v>31.71</v>
      </c>
      <c r="M276" s="7">
        <v>-0.1</v>
      </c>
      <c r="N276" s="7">
        <v>446.0</v>
      </c>
      <c r="O276" s="7">
        <v>72291.0</v>
      </c>
      <c r="P276" s="7" t="s">
        <v>409</v>
      </c>
      <c r="Q276" s="7">
        <v>13.36</v>
      </c>
      <c r="R276" s="3">
        <f t="shared" si="1"/>
        <v>13.36</v>
      </c>
    </row>
    <row r="277" ht="22.5" customHeight="1">
      <c r="B277" s="7" t="s">
        <v>129</v>
      </c>
      <c r="C277" s="7">
        <v>2470.0</v>
      </c>
      <c r="D277" s="7">
        <v>10585.0</v>
      </c>
      <c r="E277" s="7">
        <v>2594243.0</v>
      </c>
      <c r="F277" s="7">
        <v>2559533.0</v>
      </c>
      <c r="G277" s="7">
        <v>4952133.0</v>
      </c>
      <c r="H277" s="7">
        <v>2.75444539E8</v>
      </c>
      <c r="I277" s="7">
        <v>125879.0</v>
      </c>
      <c r="J277" s="7">
        <v>122745.0</v>
      </c>
      <c r="K277" s="7">
        <v>3134.0</v>
      </c>
      <c r="L277" s="7">
        <v>33.81</v>
      </c>
      <c r="M277" s="7">
        <v>-0.07</v>
      </c>
      <c r="N277" s="7">
        <v>5030.0</v>
      </c>
      <c r="O277" s="7">
        <v>1083186.0</v>
      </c>
      <c r="P277" s="7" t="s">
        <v>409</v>
      </c>
      <c r="Q277" s="7">
        <v>437.03</v>
      </c>
      <c r="R277" s="3">
        <f t="shared" si="1"/>
        <v>437.03</v>
      </c>
    </row>
    <row r="278" ht="22.5" customHeight="1">
      <c r="B278" s="7" t="s">
        <v>22</v>
      </c>
      <c r="C278" s="7">
        <v>3566.0</v>
      </c>
      <c r="D278" s="7">
        <v>14138.0</v>
      </c>
      <c r="E278" s="7">
        <v>2093280.0</v>
      </c>
      <c r="F278" s="7">
        <v>2058621.0</v>
      </c>
      <c r="G278" s="7">
        <v>4572047.0</v>
      </c>
      <c r="H278" s="7">
        <v>2.05901463E8</v>
      </c>
      <c r="I278" s="7">
        <v>124795.0</v>
      </c>
      <c r="J278" s="7">
        <v>122980.0</v>
      </c>
      <c r="K278" s="7">
        <v>1815.0</v>
      </c>
      <c r="L278" s="7">
        <v>33.76</v>
      </c>
      <c r="M278" s="7">
        <v>-0.09</v>
      </c>
      <c r="N278" s="7">
        <v>2940.0</v>
      </c>
      <c r="O278" s="7">
        <v>1080074.0</v>
      </c>
      <c r="P278" s="7" t="s">
        <v>409</v>
      </c>
      <c r="Q278" s="7">
        <v>310.03</v>
      </c>
      <c r="R278" s="3">
        <f t="shared" si="1"/>
        <v>310.03</v>
      </c>
    </row>
    <row r="279" ht="22.5" customHeight="1">
      <c r="B279" s="7" t="s">
        <v>78</v>
      </c>
      <c r="C279" s="7">
        <v>2477.0</v>
      </c>
      <c r="D279" s="7">
        <v>10608.0</v>
      </c>
      <c r="E279" s="7">
        <v>3376623.0</v>
      </c>
      <c r="F279" s="7">
        <v>3338081.0</v>
      </c>
      <c r="G279" s="7">
        <v>5858711.0</v>
      </c>
      <c r="H279" s="7">
        <v>3.47366906E8</v>
      </c>
      <c r="I279" s="7">
        <v>127966.0</v>
      </c>
      <c r="J279" s="7">
        <v>122707.0</v>
      </c>
      <c r="K279" s="7">
        <v>5259.0</v>
      </c>
      <c r="L279" s="7">
        <v>34.84</v>
      </c>
      <c r="M279" s="7">
        <v>-0.06</v>
      </c>
      <c r="N279" s="7">
        <v>8360.0</v>
      </c>
      <c r="O279" s="7">
        <v>1082860.0</v>
      </c>
      <c r="P279" s="7" t="s">
        <v>409</v>
      </c>
      <c r="Q279" s="7">
        <v>700.03</v>
      </c>
      <c r="R279" s="3">
        <f t="shared" si="1"/>
        <v>700.03</v>
      </c>
    </row>
    <row r="280" ht="22.5" customHeight="1">
      <c r="B280" s="7" t="s">
        <v>138</v>
      </c>
      <c r="C280" s="7">
        <v>3573.0</v>
      </c>
      <c r="D280" s="7">
        <v>14128.0</v>
      </c>
      <c r="E280" s="7">
        <v>145104.0</v>
      </c>
      <c r="F280" s="7">
        <v>141872.0</v>
      </c>
      <c r="G280" s="7">
        <v>359160.0</v>
      </c>
      <c r="H280" s="7">
        <v>2.4911379E7</v>
      </c>
      <c r="I280" s="7">
        <v>7650.0</v>
      </c>
      <c r="J280" s="7">
        <v>7496.0</v>
      </c>
      <c r="K280" s="7">
        <v>154.0</v>
      </c>
      <c r="L280" s="7">
        <v>31.9</v>
      </c>
      <c r="M280" s="7">
        <v>-0.11</v>
      </c>
      <c r="N280" s="7">
        <v>249.0</v>
      </c>
      <c r="O280" s="7">
        <v>75120.0</v>
      </c>
      <c r="P280" s="7" t="s">
        <v>409</v>
      </c>
      <c r="Q280" s="7">
        <v>11.42</v>
      </c>
      <c r="R280" s="3">
        <f t="shared" si="1"/>
        <v>11.42</v>
      </c>
    </row>
    <row r="281" ht="22.5" customHeight="1">
      <c r="B281" s="7" t="s">
        <v>140</v>
      </c>
      <c r="C281" s="7">
        <v>2484.0</v>
      </c>
      <c r="D281" s="7">
        <v>10627.0</v>
      </c>
      <c r="E281" s="7">
        <v>2216428.0</v>
      </c>
      <c r="F281" s="7">
        <v>2184492.0</v>
      </c>
      <c r="G281" s="7">
        <v>4376693.0</v>
      </c>
      <c r="H281" s="7">
        <v>2.3597449E8</v>
      </c>
      <c r="I281" s="7">
        <v>121447.0</v>
      </c>
      <c r="J281" s="7">
        <v>119258.0</v>
      </c>
      <c r="K281" s="7">
        <v>2189.0</v>
      </c>
      <c r="L281" s="7">
        <v>33.91</v>
      </c>
      <c r="M281" s="7">
        <v>-0.08</v>
      </c>
      <c r="N281" s="7">
        <v>3504.0</v>
      </c>
      <c r="O281" s="7">
        <v>1094128.0</v>
      </c>
      <c r="P281" s="7" t="s">
        <v>409</v>
      </c>
      <c r="Q281" s="7">
        <v>382.56</v>
      </c>
      <c r="R281" s="3">
        <f t="shared" si="1"/>
        <v>382.56</v>
      </c>
    </row>
    <row r="282" ht="22.5" customHeight="1">
      <c r="B282" s="7" t="s">
        <v>94</v>
      </c>
      <c r="C282" s="7">
        <v>3593.0</v>
      </c>
      <c r="D282" s="7">
        <v>14282.0</v>
      </c>
      <c r="E282" s="7">
        <v>2316162.0</v>
      </c>
      <c r="F282" s="7">
        <v>2279569.0</v>
      </c>
      <c r="G282" s="7">
        <v>4725360.0</v>
      </c>
      <c r="H282" s="7">
        <v>2.34563328E8</v>
      </c>
      <c r="I282" s="7">
        <v>120741.0</v>
      </c>
      <c r="J282" s="7">
        <v>118293.0</v>
      </c>
      <c r="K282" s="7">
        <v>2448.0</v>
      </c>
      <c r="L282" s="7">
        <v>35.01</v>
      </c>
      <c r="M282" s="7">
        <v>-0.08</v>
      </c>
      <c r="N282" s="7">
        <v>3916.0</v>
      </c>
      <c r="O282" s="7">
        <v>1100256.0</v>
      </c>
      <c r="P282" s="7" t="s">
        <v>409</v>
      </c>
      <c r="Q282" s="7">
        <v>323.68</v>
      </c>
      <c r="R282" s="3">
        <f t="shared" si="1"/>
        <v>323.68</v>
      </c>
    </row>
    <row r="283" ht="22.5" customHeight="1">
      <c r="B283" s="7" t="s">
        <v>144</v>
      </c>
      <c r="C283" s="7">
        <v>2504.0</v>
      </c>
      <c r="D283" s="7">
        <v>10705.0</v>
      </c>
      <c r="E283" s="7">
        <v>1987967.0</v>
      </c>
      <c r="F283" s="7">
        <v>1957016.0</v>
      </c>
      <c r="G283" s="7">
        <v>4127871.0</v>
      </c>
      <c r="H283" s="7">
        <v>2.01990366E8</v>
      </c>
      <c r="I283" s="7">
        <v>120320.0</v>
      </c>
      <c r="J283" s="7">
        <v>118553.0</v>
      </c>
      <c r="K283" s="7">
        <v>1767.0</v>
      </c>
      <c r="L283" s="7">
        <v>34.19</v>
      </c>
      <c r="M283" s="7">
        <v>-0.09</v>
      </c>
      <c r="N283" s="7">
        <v>2821.0</v>
      </c>
      <c r="O283" s="7">
        <v>1033835.0</v>
      </c>
      <c r="P283" s="7" t="s">
        <v>409</v>
      </c>
      <c r="Q283" s="7">
        <v>330.25</v>
      </c>
      <c r="R283" s="3">
        <f t="shared" si="1"/>
        <v>330.25</v>
      </c>
    </row>
    <row r="284" ht="22.5" customHeight="1">
      <c r="B284" s="7" t="s">
        <v>119</v>
      </c>
      <c r="C284" s="7">
        <v>3603.0</v>
      </c>
      <c r="D284" s="7">
        <v>14304.0</v>
      </c>
      <c r="E284" s="7">
        <v>921872.0</v>
      </c>
      <c r="F284" s="7">
        <v>908494.0</v>
      </c>
      <c r="G284" s="7">
        <v>1727684.0</v>
      </c>
      <c r="H284" s="7">
        <v>1.25087166E8</v>
      </c>
      <c r="I284" s="7">
        <v>33590.0</v>
      </c>
      <c r="J284" s="7">
        <v>32020.0</v>
      </c>
      <c r="K284" s="7">
        <v>1570.0</v>
      </c>
      <c r="L284" s="7">
        <v>33.66</v>
      </c>
      <c r="M284" s="7">
        <v>-0.07</v>
      </c>
      <c r="N284" s="7">
        <v>2467.0</v>
      </c>
      <c r="O284" s="7">
        <v>279112.0</v>
      </c>
      <c r="P284" s="7" t="s">
        <v>409</v>
      </c>
      <c r="Q284" s="7">
        <v>108.86</v>
      </c>
      <c r="R284" s="3">
        <f t="shared" si="1"/>
        <v>108.86</v>
      </c>
    </row>
    <row r="285" ht="22.5" customHeight="1">
      <c r="B285" s="7" t="s">
        <v>73</v>
      </c>
      <c r="C285" s="7">
        <v>2514.0</v>
      </c>
      <c r="D285" s="7">
        <v>10733.0</v>
      </c>
      <c r="E285" s="7">
        <v>1868836.0</v>
      </c>
      <c r="F285" s="7">
        <v>1840853.0</v>
      </c>
      <c r="G285" s="7">
        <v>3781986.0</v>
      </c>
      <c r="H285" s="7">
        <v>1.92632892E8</v>
      </c>
      <c r="I285" s="7">
        <v>105163.0</v>
      </c>
      <c r="J285" s="7">
        <v>103369.0</v>
      </c>
      <c r="K285" s="7">
        <v>1794.0</v>
      </c>
      <c r="L285" s="7">
        <v>33.92</v>
      </c>
      <c r="M285" s="7">
        <v>-0.08</v>
      </c>
      <c r="N285" s="7">
        <v>2847.0</v>
      </c>
      <c r="O285" s="7">
        <v>958282.0</v>
      </c>
      <c r="P285" s="7" t="s">
        <v>409</v>
      </c>
      <c r="Q285" s="7">
        <v>288.39</v>
      </c>
      <c r="R285" s="3">
        <f t="shared" si="1"/>
        <v>288.39</v>
      </c>
    </row>
    <row r="286" ht="22.5" customHeight="1">
      <c r="B286" s="7" t="s">
        <v>378</v>
      </c>
      <c r="C286" s="7">
        <v>61377.0</v>
      </c>
      <c r="D286" s="7">
        <v>235249.0</v>
      </c>
      <c r="E286" s="7">
        <v>4220475.0</v>
      </c>
      <c r="F286" s="7">
        <v>4144817.0</v>
      </c>
      <c r="G286" s="7">
        <v>1.3976987E7</v>
      </c>
      <c r="H286" s="7">
        <v>6.40555313E9</v>
      </c>
      <c r="I286" s="7">
        <v>76270.0</v>
      </c>
      <c r="J286" s="7">
        <v>65475.0</v>
      </c>
      <c r="K286" s="7">
        <v>10795.0</v>
      </c>
      <c r="L286" s="7">
        <v>419.72</v>
      </c>
      <c r="M286" s="7">
        <v>-0.04</v>
      </c>
      <c r="N286" s="7">
        <v>14960.0</v>
      </c>
      <c r="O286" s="7">
        <v>1928903.0</v>
      </c>
      <c r="P286" s="7" t="s">
        <v>411</v>
      </c>
      <c r="Q286" s="7">
        <v>5003.92</v>
      </c>
      <c r="R286" s="3">
        <f t="shared" si="1"/>
        <v>10000</v>
      </c>
    </row>
    <row r="287" ht="22.5" customHeight="1">
      <c r="B287" s="7" t="s">
        <v>379</v>
      </c>
      <c r="C287" s="7">
        <v>7916927.0</v>
      </c>
      <c r="D287" s="7">
        <v>3.2591905E7</v>
      </c>
      <c r="E287" s="7">
        <v>2292643.0</v>
      </c>
      <c r="F287" s="7">
        <v>2218690.0</v>
      </c>
      <c r="G287" s="7">
        <v>1.4515719E7</v>
      </c>
      <c r="H287" s="7">
        <v>2.370689767E9</v>
      </c>
      <c r="I287" s="7">
        <v>133690.0</v>
      </c>
      <c r="J287" s="7">
        <v>131463.0</v>
      </c>
      <c r="K287" s="7">
        <v>2227.0</v>
      </c>
      <c r="L287" s="7">
        <v>22.94</v>
      </c>
      <c r="M287" s="7">
        <v>-0.18</v>
      </c>
      <c r="N287" s="7">
        <v>3660.0</v>
      </c>
      <c r="O287" s="7">
        <v>2569927.0</v>
      </c>
      <c r="P287" s="7" t="s">
        <v>411</v>
      </c>
      <c r="Q287" s="7">
        <v>5009.25</v>
      </c>
      <c r="R287" s="3">
        <f t="shared" si="1"/>
        <v>10000</v>
      </c>
    </row>
    <row r="288" ht="22.5" customHeight="1">
      <c r="B288" s="7" t="s">
        <v>74</v>
      </c>
      <c r="C288" s="7">
        <v>1140.0</v>
      </c>
      <c r="D288" s="7">
        <v>4253.0</v>
      </c>
      <c r="E288" s="7">
        <v>2124218.0</v>
      </c>
      <c r="F288" s="7">
        <v>2096937.0</v>
      </c>
      <c r="G288" s="7">
        <v>3616085.0</v>
      </c>
      <c r="H288" s="7">
        <v>8.8999716E7</v>
      </c>
      <c r="I288" s="7">
        <v>106485.0</v>
      </c>
      <c r="J288" s="7">
        <v>104542.0</v>
      </c>
      <c r="K288" s="7">
        <v>1943.0</v>
      </c>
      <c r="L288" s="7">
        <v>19.03</v>
      </c>
      <c r="M288" s="7">
        <v>-0.08</v>
      </c>
      <c r="N288" s="7">
        <v>3115.0</v>
      </c>
      <c r="O288" s="7">
        <v>1127840.0</v>
      </c>
      <c r="P288" s="7" t="s">
        <v>410</v>
      </c>
      <c r="Q288" s="7">
        <v>188.29</v>
      </c>
      <c r="R288" s="3">
        <f t="shared" si="1"/>
        <v>188.29</v>
      </c>
    </row>
    <row r="289" ht="22.5" customHeight="1">
      <c r="B289" s="7" t="s">
        <v>131</v>
      </c>
      <c r="C289" s="7">
        <v>1140.0</v>
      </c>
      <c r="D289" s="7">
        <v>4253.0</v>
      </c>
      <c r="E289" s="7">
        <v>4777073.0</v>
      </c>
      <c r="F289" s="7">
        <v>4726820.0</v>
      </c>
      <c r="G289" s="7">
        <v>6988185.0</v>
      </c>
      <c r="H289" s="7">
        <v>1.9990729E8</v>
      </c>
      <c r="I289" s="7">
        <v>160165.0</v>
      </c>
      <c r="J289" s="7">
        <v>153246.0</v>
      </c>
      <c r="K289" s="7">
        <v>6919.0</v>
      </c>
      <c r="L289" s="7">
        <v>19.95</v>
      </c>
      <c r="M289" s="7">
        <v>-0.05</v>
      </c>
      <c r="N289" s="7">
        <v>11126.0</v>
      </c>
      <c r="O289" s="7">
        <v>1690406.0</v>
      </c>
      <c r="P289" s="7" t="s">
        <v>410</v>
      </c>
      <c r="Q289" s="7">
        <v>602.87</v>
      </c>
      <c r="R289" s="3">
        <f t="shared" si="1"/>
        <v>602.87</v>
      </c>
    </row>
    <row r="290" ht="22.5" customHeight="1">
      <c r="B290" s="7" t="s">
        <v>121</v>
      </c>
      <c r="C290" s="7">
        <v>1140.0</v>
      </c>
      <c r="D290" s="7">
        <v>4253.0</v>
      </c>
      <c r="E290" s="7">
        <v>2976612.0</v>
      </c>
      <c r="F290" s="7">
        <v>2942568.0</v>
      </c>
      <c r="G290" s="7">
        <v>4716511.0</v>
      </c>
      <c r="H290" s="7">
        <v>1.31901203E8</v>
      </c>
      <c r="I290" s="7">
        <v>114784.0</v>
      </c>
      <c r="J290" s="7">
        <v>110737.0</v>
      </c>
      <c r="K290" s="7">
        <v>4047.0</v>
      </c>
      <c r="L290" s="7">
        <v>20.67</v>
      </c>
      <c r="M290" s="7">
        <v>-0.06</v>
      </c>
      <c r="N290" s="7">
        <v>6531.0</v>
      </c>
      <c r="O290" s="7">
        <v>1102850.0</v>
      </c>
      <c r="P290" s="7" t="s">
        <v>410</v>
      </c>
      <c r="Q290" s="7">
        <v>374.19</v>
      </c>
      <c r="R290" s="3">
        <f t="shared" si="1"/>
        <v>374.19</v>
      </c>
    </row>
    <row r="291" ht="22.5" customHeight="1">
      <c r="B291" s="7" t="s">
        <v>120</v>
      </c>
      <c r="C291" s="7">
        <v>1140.0</v>
      </c>
      <c r="D291" s="7">
        <v>4253.0</v>
      </c>
      <c r="E291" s="7">
        <v>4525835.0</v>
      </c>
      <c r="F291" s="7">
        <v>4477601.0</v>
      </c>
      <c r="G291" s="7">
        <v>6530031.0</v>
      </c>
      <c r="H291" s="7">
        <v>1.91064903E8</v>
      </c>
      <c r="I291" s="7">
        <v>141907.0</v>
      </c>
      <c r="J291" s="7">
        <v>134946.0</v>
      </c>
      <c r="K291" s="7">
        <v>6961.0</v>
      </c>
      <c r="L291" s="7">
        <v>19.69</v>
      </c>
      <c r="M291" s="7">
        <v>-0.05</v>
      </c>
      <c r="N291" s="7">
        <v>11168.0</v>
      </c>
      <c r="O291" s="7">
        <v>1485328.0</v>
      </c>
      <c r="P291" s="7" t="s">
        <v>410</v>
      </c>
      <c r="Q291" s="7">
        <v>489.7</v>
      </c>
      <c r="R291" s="3">
        <f t="shared" si="1"/>
        <v>489.7</v>
      </c>
    </row>
    <row r="292" ht="22.5" customHeight="1">
      <c r="B292" s="7" t="s">
        <v>104</v>
      </c>
      <c r="C292" s="7">
        <v>1140.0</v>
      </c>
      <c r="D292" s="7">
        <v>4253.0</v>
      </c>
      <c r="E292" s="7">
        <v>2805469.0</v>
      </c>
      <c r="F292" s="7">
        <v>2772058.0</v>
      </c>
      <c r="G292" s="7">
        <v>4506083.0</v>
      </c>
      <c r="H292" s="7">
        <v>1.2335407E8</v>
      </c>
      <c r="I292" s="7">
        <v>114421.0</v>
      </c>
      <c r="J292" s="7">
        <v>110808.0</v>
      </c>
      <c r="K292" s="7">
        <v>3613.0</v>
      </c>
      <c r="L292" s="7">
        <v>19.43</v>
      </c>
      <c r="M292" s="7">
        <v>-0.06</v>
      </c>
      <c r="N292" s="7">
        <v>5835.0</v>
      </c>
      <c r="O292" s="7">
        <v>1105653.0</v>
      </c>
      <c r="P292" s="7" t="s">
        <v>410</v>
      </c>
      <c r="Q292" s="7">
        <v>295.86</v>
      </c>
      <c r="R292" s="3">
        <f t="shared" si="1"/>
        <v>295.86</v>
      </c>
    </row>
    <row r="293" ht="22.5" customHeight="1">
      <c r="B293" s="7" t="s">
        <v>65</v>
      </c>
      <c r="C293" s="7">
        <v>1140.0</v>
      </c>
      <c r="D293" s="7">
        <v>4253.0</v>
      </c>
      <c r="E293" s="7">
        <v>2132416.0</v>
      </c>
      <c r="F293" s="7">
        <v>2106462.0</v>
      </c>
      <c r="G293" s="7">
        <v>3641038.0</v>
      </c>
      <c r="H293" s="7">
        <v>9.1621974E7</v>
      </c>
      <c r="I293" s="7">
        <v>108917.0</v>
      </c>
      <c r="J293" s="7">
        <v>106907.0</v>
      </c>
      <c r="K293" s="7">
        <v>2010.0</v>
      </c>
      <c r="L293" s="7">
        <v>19.24</v>
      </c>
      <c r="M293" s="7">
        <v>-0.08</v>
      </c>
      <c r="N293" s="7">
        <v>3194.0</v>
      </c>
      <c r="O293" s="7">
        <v>1116166.0</v>
      </c>
      <c r="P293" s="7" t="s">
        <v>410</v>
      </c>
      <c r="Q293" s="7">
        <v>210.33</v>
      </c>
      <c r="R293" s="3">
        <f t="shared" si="1"/>
        <v>210.33</v>
      </c>
    </row>
    <row r="294" ht="22.5" customHeight="1">
      <c r="B294" s="7" t="s">
        <v>113</v>
      </c>
      <c r="C294" s="7">
        <v>1140.0</v>
      </c>
      <c r="D294" s="7">
        <v>4253.0</v>
      </c>
      <c r="E294" s="7">
        <v>2813716.0</v>
      </c>
      <c r="F294" s="7">
        <v>2780212.0</v>
      </c>
      <c r="G294" s="7">
        <v>4566837.0</v>
      </c>
      <c r="H294" s="7">
        <v>1.22285211E8</v>
      </c>
      <c r="I294" s="7">
        <v>117010.0</v>
      </c>
      <c r="J294" s="7">
        <v>113421.0</v>
      </c>
      <c r="K294" s="7">
        <v>3589.0</v>
      </c>
      <c r="L294" s="7">
        <v>20.09</v>
      </c>
      <c r="M294" s="7">
        <v>-0.07</v>
      </c>
      <c r="N294" s="7">
        <v>5824.0</v>
      </c>
      <c r="O294" s="7">
        <v>1097370.0</v>
      </c>
      <c r="P294" s="7" t="s">
        <v>410</v>
      </c>
      <c r="Q294" s="7">
        <v>310.23</v>
      </c>
      <c r="R294" s="3">
        <f t="shared" si="1"/>
        <v>310.23</v>
      </c>
    </row>
    <row r="295" ht="22.5" customHeight="1">
      <c r="B295" s="7" t="s">
        <v>118</v>
      </c>
      <c r="C295" s="7">
        <v>1140.0</v>
      </c>
      <c r="D295" s="7">
        <v>4253.0</v>
      </c>
      <c r="E295" s="7">
        <v>4205375.0</v>
      </c>
      <c r="F295" s="7">
        <v>4161160.0</v>
      </c>
      <c r="G295" s="7">
        <v>5960296.0</v>
      </c>
      <c r="H295" s="7">
        <v>1.73231291E8</v>
      </c>
      <c r="I295" s="7">
        <v>117479.0</v>
      </c>
      <c r="J295" s="7">
        <v>110537.0</v>
      </c>
      <c r="K295" s="7">
        <v>6942.0</v>
      </c>
      <c r="L295" s="7">
        <v>19.7</v>
      </c>
      <c r="M295" s="7">
        <v>-0.05</v>
      </c>
      <c r="N295" s="7">
        <v>11148.0</v>
      </c>
      <c r="O295" s="7">
        <v>1227444.0</v>
      </c>
      <c r="P295" s="7" t="s">
        <v>410</v>
      </c>
      <c r="Q295" s="7">
        <v>457.31</v>
      </c>
      <c r="R295" s="3">
        <f t="shared" si="1"/>
        <v>457.31</v>
      </c>
    </row>
    <row r="296" ht="22.5" customHeight="1">
      <c r="B296" s="7" t="s">
        <v>380</v>
      </c>
      <c r="C296" s="7">
        <v>3220.0</v>
      </c>
      <c r="D296" s="7">
        <v>12314.0</v>
      </c>
      <c r="E296" s="7">
        <v>1.1740575E7</v>
      </c>
      <c r="F296" s="7">
        <v>1.1573771E7</v>
      </c>
      <c r="G296" s="7">
        <v>2.9280627E7</v>
      </c>
      <c r="H296" s="7">
        <v>8.19593992E8</v>
      </c>
      <c r="I296" s="7">
        <v>468318.0</v>
      </c>
      <c r="J296" s="7">
        <v>451913.0</v>
      </c>
      <c r="K296" s="7">
        <v>16405.0</v>
      </c>
      <c r="L296" s="7">
        <v>34.57</v>
      </c>
      <c r="M296" s="7">
        <v>-0.08</v>
      </c>
      <c r="N296" s="7">
        <v>26072.0</v>
      </c>
      <c r="O296" s="7">
        <v>4872438.0</v>
      </c>
      <c r="P296" s="7" t="s">
        <v>409</v>
      </c>
      <c r="Q296" s="7">
        <v>1875.1</v>
      </c>
      <c r="R296" s="3">
        <f t="shared" si="1"/>
        <v>1875.1</v>
      </c>
    </row>
    <row r="297" ht="22.5" customHeight="1">
      <c r="B297" s="7" t="s">
        <v>222</v>
      </c>
      <c r="C297" s="7">
        <v>3220.0</v>
      </c>
      <c r="D297" s="7">
        <v>12314.0</v>
      </c>
      <c r="E297" s="7">
        <v>1.0477151E7</v>
      </c>
      <c r="F297" s="7">
        <v>1.0325634E7</v>
      </c>
      <c r="G297" s="7">
        <v>2.7467066E7</v>
      </c>
      <c r="H297" s="7">
        <v>6.78016385E8</v>
      </c>
      <c r="I297" s="7">
        <v>473959.0</v>
      </c>
      <c r="J297" s="7">
        <v>460475.0</v>
      </c>
      <c r="K297" s="7">
        <v>13484.0</v>
      </c>
      <c r="L297" s="7">
        <v>32.82</v>
      </c>
      <c r="M297" s="7">
        <v>-0.09</v>
      </c>
      <c r="N297" s="7">
        <v>21204.0</v>
      </c>
      <c r="O297" s="7">
        <v>4821331.0</v>
      </c>
      <c r="P297" s="7" t="s">
        <v>409</v>
      </c>
      <c r="Q297" s="7">
        <v>1620.27</v>
      </c>
      <c r="R297" s="3">
        <f t="shared" si="1"/>
        <v>1620.27</v>
      </c>
    </row>
    <row r="298" ht="22.5" customHeight="1">
      <c r="B298" s="7" t="s">
        <v>231</v>
      </c>
      <c r="C298" s="7">
        <v>3220.0</v>
      </c>
      <c r="D298" s="7">
        <v>12314.0</v>
      </c>
      <c r="E298" s="7">
        <v>1.5229757E7</v>
      </c>
      <c r="F298" s="7">
        <v>1.5023604E7</v>
      </c>
      <c r="G298" s="7">
        <v>3.4925484E7</v>
      </c>
      <c r="H298" s="7">
        <v>1.081477629E9</v>
      </c>
      <c r="I298" s="7">
        <v>501307.0</v>
      </c>
      <c r="J298" s="7">
        <v>475590.0</v>
      </c>
      <c r="K298" s="7">
        <v>25717.0</v>
      </c>
      <c r="L298" s="7">
        <v>39.25</v>
      </c>
      <c r="M298" s="7">
        <v>-0.07</v>
      </c>
      <c r="N298" s="7">
        <v>40750.0</v>
      </c>
      <c r="O298" s="7">
        <v>4824126.0</v>
      </c>
      <c r="P298" s="7" t="s">
        <v>409</v>
      </c>
      <c r="Q298" s="7">
        <v>2894.39</v>
      </c>
      <c r="R298" s="3">
        <f t="shared" si="1"/>
        <v>2894.39</v>
      </c>
    </row>
    <row r="299" ht="22.5" customHeight="1">
      <c r="B299" s="7" t="s">
        <v>197</v>
      </c>
      <c r="C299" s="7">
        <v>3220.0</v>
      </c>
      <c r="D299" s="7">
        <v>12314.0</v>
      </c>
      <c r="E299" s="7">
        <v>857011.0</v>
      </c>
      <c r="F299" s="7">
        <v>842717.0</v>
      </c>
      <c r="G299" s="7">
        <v>2705942.0</v>
      </c>
      <c r="H299" s="7">
        <v>6.9775677E7</v>
      </c>
      <c r="I299" s="7">
        <v>39044.0</v>
      </c>
      <c r="J299" s="7">
        <v>37665.0</v>
      </c>
      <c r="K299" s="7">
        <v>1379.0</v>
      </c>
      <c r="L299" s="7">
        <v>35.68</v>
      </c>
      <c r="M299" s="7">
        <v>-0.1</v>
      </c>
      <c r="N299" s="7">
        <v>2176.0</v>
      </c>
      <c r="O299" s="7">
        <v>299956.0</v>
      </c>
      <c r="P299" s="7" t="s">
        <v>409</v>
      </c>
      <c r="Q299" s="7">
        <v>60.84</v>
      </c>
      <c r="R299" s="3">
        <f t="shared" si="1"/>
        <v>60.84</v>
      </c>
    </row>
    <row r="300" ht="22.5" customHeight="1">
      <c r="B300" s="7" t="s">
        <v>204</v>
      </c>
      <c r="C300" s="7">
        <v>3220.0</v>
      </c>
      <c r="D300" s="7">
        <v>12314.0</v>
      </c>
      <c r="E300" s="7">
        <v>9605161.0</v>
      </c>
      <c r="F300" s="7">
        <v>9462200.0</v>
      </c>
      <c r="G300" s="7">
        <v>2.8103863E7</v>
      </c>
      <c r="H300" s="7">
        <v>6.78207175E8</v>
      </c>
      <c r="I300" s="7">
        <v>480743.0</v>
      </c>
      <c r="J300" s="7">
        <v>469770.0</v>
      </c>
      <c r="K300" s="7">
        <v>10973.0</v>
      </c>
      <c r="L300" s="7">
        <v>33.53</v>
      </c>
      <c r="M300" s="7">
        <v>-0.1</v>
      </c>
      <c r="N300" s="7">
        <v>17353.0</v>
      </c>
      <c r="O300" s="7">
        <v>4798696.0</v>
      </c>
      <c r="P300" s="7" t="s">
        <v>409</v>
      </c>
      <c r="Q300" s="7">
        <v>1572.05</v>
      </c>
      <c r="R300" s="3">
        <f t="shared" si="1"/>
        <v>1572.05</v>
      </c>
    </row>
    <row r="301" ht="22.5" customHeight="1">
      <c r="B301" s="7" t="s">
        <v>381</v>
      </c>
      <c r="C301" s="7">
        <v>3220.0</v>
      </c>
      <c r="D301" s="7">
        <v>12314.0</v>
      </c>
      <c r="E301" s="7">
        <v>3595169.0</v>
      </c>
      <c r="F301" s="7">
        <v>3543889.0</v>
      </c>
      <c r="G301" s="7">
        <v>9228880.0</v>
      </c>
      <c r="H301" s="7">
        <v>2.60670738E8</v>
      </c>
      <c r="I301" s="7">
        <v>137163.0</v>
      </c>
      <c r="J301" s="7">
        <v>131133.0</v>
      </c>
      <c r="K301" s="7">
        <v>6030.0</v>
      </c>
      <c r="L301" s="7">
        <v>37.51</v>
      </c>
      <c r="M301" s="7">
        <v>-0.08</v>
      </c>
      <c r="N301" s="7">
        <v>9464.0</v>
      </c>
      <c r="O301" s="7">
        <v>1178508.0</v>
      </c>
      <c r="P301" s="7" t="s">
        <v>409</v>
      </c>
      <c r="Q301" s="7">
        <v>378.24</v>
      </c>
      <c r="R301" s="3">
        <f t="shared" si="1"/>
        <v>378.24</v>
      </c>
    </row>
    <row r="302" ht="22.5" customHeight="1">
      <c r="B302" s="7" t="s">
        <v>224</v>
      </c>
      <c r="C302" s="7">
        <v>3220.0</v>
      </c>
      <c r="D302" s="7">
        <v>12314.0</v>
      </c>
      <c r="E302" s="7">
        <v>2576212.0</v>
      </c>
      <c r="F302" s="7">
        <v>2534783.0</v>
      </c>
      <c r="G302" s="7">
        <v>8007242.0</v>
      </c>
      <c r="H302" s="7">
        <v>1.80450347E8</v>
      </c>
      <c r="I302" s="7">
        <v>129281.0</v>
      </c>
      <c r="J302" s="7">
        <v>126005.0</v>
      </c>
      <c r="K302" s="7">
        <v>3276.0</v>
      </c>
      <c r="L302" s="7">
        <v>32.67</v>
      </c>
      <c r="M302" s="7">
        <v>-0.1</v>
      </c>
      <c r="N302" s="7">
        <v>5142.0</v>
      </c>
      <c r="O302" s="7">
        <v>1205535.0</v>
      </c>
      <c r="P302" s="7" t="s">
        <v>409</v>
      </c>
      <c r="Q302" s="7">
        <v>233.3</v>
      </c>
      <c r="R302" s="3">
        <f t="shared" si="1"/>
        <v>233.3</v>
      </c>
    </row>
    <row r="303" ht="22.5" customHeight="1">
      <c r="B303" s="7" t="s">
        <v>105</v>
      </c>
      <c r="C303" s="7">
        <v>3220.0</v>
      </c>
      <c r="D303" s="7">
        <v>12314.0</v>
      </c>
      <c r="E303" s="7">
        <v>4025316.0</v>
      </c>
      <c r="F303" s="7">
        <v>3967409.0</v>
      </c>
      <c r="G303" s="7">
        <v>1.0426796E7</v>
      </c>
      <c r="H303" s="7">
        <v>3.07948722E8</v>
      </c>
      <c r="I303" s="7">
        <v>145151.0</v>
      </c>
      <c r="J303" s="7">
        <v>138011.0</v>
      </c>
      <c r="K303" s="7">
        <v>7140.0</v>
      </c>
      <c r="L303" s="7">
        <v>36.61</v>
      </c>
      <c r="M303" s="7">
        <v>-0.08</v>
      </c>
      <c r="N303" s="7">
        <v>11236.0</v>
      </c>
      <c r="O303" s="7">
        <v>1171323.0</v>
      </c>
      <c r="P303" s="7" t="s">
        <v>409</v>
      </c>
      <c r="Q303" s="7">
        <v>494.54</v>
      </c>
      <c r="R303" s="3">
        <f t="shared" si="1"/>
        <v>494.54</v>
      </c>
    </row>
    <row r="304" ht="22.5" customHeight="1">
      <c r="B304" s="7" t="s">
        <v>202</v>
      </c>
      <c r="C304" s="7">
        <v>3220.0</v>
      </c>
      <c r="D304" s="7">
        <v>12314.0</v>
      </c>
      <c r="E304" s="7">
        <v>9155402.0</v>
      </c>
      <c r="F304" s="7">
        <v>9012823.0</v>
      </c>
      <c r="G304" s="7">
        <v>2.810787E7</v>
      </c>
      <c r="H304" s="7">
        <v>6.19737581E8</v>
      </c>
      <c r="I304" s="7">
        <v>467966.0</v>
      </c>
      <c r="J304" s="7">
        <v>458238.0</v>
      </c>
      <c r="K304" s="7">
        <v>9728.0</v>
      </c>
      <c r="L304" s="7">
        <v>33.17</v>
      </c>
      <c r="M304" s="7">
        <v>-0.1</v>
      </c>
      <c r="N304" s="7">
        <v>15416.0</v>
      </c>
      <c r="O304" s="7">
        <v>4953703.0</v>
      </c>
      <c r="P304" s="7" t="s">
        <v>409</v>
      </c>
      <c r="Q304" s="7">
        <v>1570.34</v>
      </c>
      <c r="R304" s="3">
        <f t="shared" si="1"/>
        <v>1570.34</v>
      </c>
    </row>
    <row r="305" ht="22.5" customHeight="1">
      <c r="B305" s="7" t="s">
        <v>228</v>
      </c>
      <c r="C305" s="7">
        <v>3220.0</v>
      </c>
      <c r="D305" s="7">
        <v>12314.0</v>
      </c>
      <c r="E305" s="7">
        <v>2.2291704E7</v>
      </c>
      <c r="F305" s="7">
        <v>2.1968744E7</v>
      </c>
      <c r="G305" s="7">
        <v>5.9118133E7</v>
      </c>
      <c r="H305" s="7">
        <v>1.512462044E9</v>
      </c>
      <c r="I305" s="7">
        <v>995493.0</v>
      </c>
      <c r="J305" s="7">
        <v>966905.0</v>
      </c>
      <c r="K305" s="7">
        <v>28588.0</v>
      </c>
      <c r="L305" s="7">
        <v>34.96</v>
      </c>
      <c r="M305" s="7">
        <v>-0.09</v>
      </c>
      <c r="N305" s="7">
        <v>45398.0</v>
      </c>
      <c r="O305" s="7">
        <v>1.002053E7</v>
      </c>
      <c r="P305" s="7" t="s">
        <v>411</v>
      </c>
      <c r="Q305" s="7">
        <v>5003.93</v>
      </c>
      <c r="R305" s="3">
        <f t="shared" si="1"/>
        <v>10000</v>
      </c>
    </row>
    <row r="306" ht="22.5" customHeight="1">
      <c r="B306" s="7" t="s">
        <v>216</v>
      </c>
      <c r="C306" s="7">
        <v>3220.0</v>
      </c>
      <c r="D306" s="7">
        <v>12314.0</v>
      </c>
      <c r="E306" s="7">
        <v>2199873.0</v>
      </c>
      <c r="F306" s="7">
        <v>2166145.0</v>
      </c>
      <c r="G306" s="7">
        <v>6643938.0</v>
      </c>
      <c r="H306" s="7">
        <v>1.39379729E8</v>
      </c>
      <c r="I306" s="7">
        <v>125570.0</v>
      </c>
      <c r="J306" s="7">
        <v>123347.0</v>
      </c>
      <c r="K306" s="7">
        <v>2223.0</v>
      </c>
      <c r="L306" s="7">
        <v>27.98</v>
      </c>
      <c r="M306" s="7">
        <v>-0.1</v>
      </c>
      <c r="N306" s="7">
        <v>3510.0</v>
      </c>
      <c r="O306" s="7">
        <v>1156656.0</v>
      </c>
      <c r="P306" s="7" t="s">
        <v>409</v>
      </c>
      <c r="Q306" s="7">
        <v>156.0</v>
      </c>
      <c r="R306" s="3">
        <f t="shared" si="1"/>
        <v>156</v>
      </c>
    </row>
    <row r="307" ht="22.5" customHeight="1">
      <c r="B307" s="7" t="s">
        <v>206</v>
      </c>
      <c r="C307" s="7">
        <v>3220.0</v>
      </c>
      <c r="D307" s="7">
        <v>12314.0</v>
      </c>
      <c r="E307" s="7">
        <v>3158411.0</v>
      </c>
      <c r="F307" s="7">
        <v>3110983.0</v>
      </c>
      <c r="G307" s="7">
        <v>8797192.0</v>
      </c>
      <c r="H307" s="7">
        <v>2.47720724E8</v>
      </c>
      <c r="I307" s="7">
        <v>133314.0</v>
      </c>
      <c r="J307" s="7">
        <v>128580.0</v>
      </c>
      <c r="K307" s="7">
        <v>4734.0</v>
      </c>
      <c r="L307" s="7">
        <v>35.37</v>
      </c>
      <c r="M307" s="7">
        <v>-0.09</v>
      </c>
      <c r="N307" s="7">
        <v>7496.0</v>
      </c>
      <c r="O307" s="7">
        <v>1182357.0</v>
      </c>
      <c r="P307" s="7" t="s">
        <v>409</v>
      </c>
      <c r="Q307" s="7">
        <v>341.86</v>
      </c>
      <c r="R307" s="3">
        <f t="shared" si="1"/>
        <v>341.86</v>
      </c>
    </row>
    <row r="308" ht="22.5" customHeight="1">
      <c r="B308" s="7" t="s">
        <v>39</v>
      </c>
      <c r="C308" s="7">
        <v>19995.0</v>
      </c>
      <c r="D308" s="7">
        <v>62866.0</v>
      </c>
      <c r="E308" s="7">
        <v>380252.0</v>
      </c>
      <c r="F308" s="7">
        <v>370868.0</v>
      </c>
      <c r="G308" s="7">
        <v>814157.0</v>
      </c>
      <c r="H308" s="7">
        <v>9.1944126E7</v>
      </c>
      <c r="I308" s="7">
        <v>14099.0</v>
      </c>
      <c r="J308" s="7">
        <v>13601.0</v>
      </c>
      <c r="K308" s="7">
        <v>498.0</v>
      </c>
      <c r="L308" s="7">
        <v>31.29</v>
      </c>
      <c r="M308" s="7">
        <v>-0.08</v>
      </c>
      <c r="N308" s="7">
        <v>762.0</v>
      </c>
      <c r="O308" s="7">
        <v>191636.0</v>
      </c>
      <c r="P308" s="7" t="s">
        <v>410</v>
      </c>
      <c r="Q308" s="7">
        <v>38.75</v>
      </c>
      <c r="R308" s="3">
        <f t="shared" si="1"/>
        <v>38.75</v>
      </c>
    </row>
    <row r="309" ht="22.5" customHeight="1">
      <c r="B309" s="7" t="s">
        <v>382</v>
      </c>
      <c r="C309" s="7">
        <v>36410.0</v>
      </c>
      <c r="D309" s="7">
        <v>115054.0</v>
      </c>
      <c r="E309" s="7">
        <v>1.4974141E7</v>
      </c>
      <c r="F309" s="7">
        <v>1.4693526E7</v>
      </c>
      <c r="G309" s="7">
        <v>3.4403485E7</v>
      </c>
      <c r="H309" s="7">
        <v>3.890529186E9</v>
      </c>
      <c r="I309" s="7">
        <v>471804.0</v>
      </c>
      <c r="J309" s="7">
        <v>445798.0</v>
      </c>
      <c r="K309" s="7">
        <v>26006.0</v>
      </c>
      <c r="L309" s="7">
        <v>57.31</v>
      </c>
      <c r="M309" s="7">
        <v>-0.07</v>
      </c>
      <c r="N309" s="7">
        <v>40619.0</v>
      </c>
      <c r="O309" s="7">
        <v>4625747.0</v>
      </c>
      <c r="P309" s="7" t="s">
        <v>411</v>
      </c>
      <c r="Q309" s="7">
        <v>5003.89</v>
      </c>
      <c r="R309" s="3">
        <f t="shared" si="1"/>
        <v>10000</v>
      </c>
    </row>
    <row r="310" ht="22.5" customHeight="1">
      <c r="B310" s="7" t="s">
        <v>383</v>
      </c>
      <c r="C310" s="7">
        <v>53118.0</v>
      </c>
      <c r="D310" s="7">
        <v>168346.0</v>
      </c>
      <c r="E310" s="7">
        <v>1.6746875E7</v>
      </c>
      <c r="F310" s="7">
        <v>1.6412236E7</v>
      </c>
      <c r="G310" s="7">
        <v>4.9843622E7</v>
      </c>
      <c r="H310" s="7">
        <v>6.298804723E9</v>
      </c>
      <c r="I310" s="7">
        <v>524552.0</v>
      </c>
      <c r="J310" s="7">
        <v>493839.0</v>
      </c>
      <c r="K310" s="7">
        <v>30713.0</v>
      </c>
      <c r="L310" s="7">
        <v>68.27</v>
      </c>
      <c r="M310" s="7">
        <v>-0.08</v>
      </c>
      <c r="N310" s="7">
        <v>47485.0</v>
      </c>
      <c r="O310" s="7">
        <v>5217308.0</v>
      </c>
      <c r="P310" s="7" t="s">
        <v>411</v>
      </c>
      <c r="Q310" s="7">
        <v>5003.75</v>
      </c>
      <c r="R310" s="3">
        <f t="shared" si="1"/>
        <v>10000</v>
      </c>
    </row>
    <row r="311" ht="22.5" customHeight="1">
      <c r="B311" s="7" t="s">
        <v>384</v>
      </c>
      <c r="C311" s="7">
        <v>73074.0</v>
      </c>
      <c r="D311" s="7">
        <v>231921.0</v>
      </c>
      <c r="E311" s="7">
        <v>1.7076999E7</v>
      </c>
      <c r="F311" s="7">
        <v>1.6719518E7</v>
      </c>
      <c r="G311" s="7">
        <v>5.9340693E7</v>
      </c>
      <c r="H311" s="7">
        <v>8.424876602E9</v>
      </c>
      <c r="I311" s="7">
        <v>566538.0</v>
      </c>
      <c r="J311" s="7">
        <v>535116.0</v>
      </c>
      <c r="K311" s="7">
        <v>31422.0</v>
      </c>
      <c r="L311" s="7">
        <v>86.56</v>
      </c>
      <c r="M311" s="7">
        <v>-0.08</v>
      </c>
      <c r="N311" s="7">
        <v>48188.0</v>
      </c>
      <c r="O311" s="7">
        <v>5682877.0</v>
      </c>
      <c r="P311" s="7" t="s">
        <v>411</v>
      </c>
      <c r="Q311" s="7">
        <v>5003.97</v>
      </c>
      <c r="R311" s="3">
        <f t="shared" si="1"/>
        <v>10000</v>
      </c>
    </row>
    <row r="312" ht="22.5" customHeight="1">
      <c r="B312" s="7" t="s">
        <v>385</v>
      </c>
      <c r="C312" s="7">
        <v>51138.0</v>
      </c>
      <c r="D312" s="7">
        <v>153348.0</v>
      </c>
      <c r="E312" s="7">
        <v>2.0406281E7</v>
      </c>
      <c r="F312" s="7">
        <v>2.0112626E7</v>
      </c>
      <c r="G312" s="7">
        <v>3.3484197E7</v>
      </c>
      <c r="H312" s="7">
        <v>2.521852905E9</v>
      </c>
      <c r="I312" s="7">
        <v>718368.0</v>
      </c>
      <c r="J312" s="7">
        <v>690883.0</v>
      </c>
      <c r="K312" s="7">
        <v>27485.0</v>
      </c>
      <c r="L312" s="7">
        <v>28.59</v>
      </c>
      <c r="M312" s="7">
        <v>-0.06</v>
      </c>
      <c r="N312" s="7">
        <v>44291.0</v>
      </c>
      <c r="O312" s="7">
        <v>8143465.0</v>
      </c>
      <c r="P312" s="7" t="s">
        <v>411</v>
      </c>
      <c r="Q312" s="7">
        <v>5003.94</v>
      </c>
      <c r="R312" s="3">
        <f t="shared" si="1"/>
        <v>10000</v>
      </c>
    </row>
    <row r="313" ht="22.5" customHeight="1">
      <c r="B313" s="7" t="s">
        <v>42</v>
      </c>
      <c r="C313" s="7">
        <v>76943.0</v>
      </c>
      <c r="D313" s="7">
        <v>231299.0</v>
      </c>
      <c r="E313" s="7">
        <v>564821.0</v>
      </c>
      <c r="F313" s="7">
        <v>551445.0</v>
      </c>
      <c r="G313" s="7">
        <v>2622376.0</v>
      </c>
      <c r="H313" s="7">
        <v>2.88504011E8</v>
      </c>
      <c r="I313" s="7">
        <v>40189.0</v>
      </c>
      <c r="J313" s="7">
        <v>39519.0</v>
      </c>
      <c r="K313" s="7">
        <v>670.0</v>
      </c>
      <c r="L313" s="7">
        <v>37.93</v>
      </c>
      <c r="M313" s="7">
        <v>-0.17</v>
      </c>
      <c r="N313" s="7">
        <v>1017.0</v>
      </c>
      <c r="O313" s="7">
        <v>381241.0</v>
      </c>
      <c r="P313" s="7" t="s">
        <v>409</v>
      </c>
      <c r="Q313" s="7">
        <v>123.53</v>
      </c>
      <c r="R313" s="3">
        <f t="shared" si="1"/>
        <v>123.53</v>
      </c>
    </row>
    <row r="314" ht="22.5" customHeight="1">
      <c r="B314" s="7" t="s">
        <v>386</v>
      </c>
      <c r="C314" s="7">
        <v>95810.0</v>
      </c>
      <c r="D314" s="7">
        <v>287043.0</v>
      </c>
      <c r="E314" s="7">
        <v>5742506.0</v>
      </c>
      <c r="F314" s="7">
        <v>5631088.0</v>
      </c>
      <c r="G314" s="7">
        <v>1.5709824E7</v>
      </c>
      <c r="H314" s="7">
        <v>2.070789557E9</v>
      </c>
      <c r="I314" s="7">
        <v>247450.0</v>
      </c>
      <c r="J314" s="7">
        <v>239956.0</v>
      </c>
      <c r="K314" s="7">
        <v>7494.0</v>
      </c>
      <c r="L314" s="7">
        <v>80.21</v>
      </c>
      <c r="M314" s="7">
        <v>-0.1</v>
      </c>
      <c r="N314" s="7">
        <v>11692.0</v>
      </c>
      <c r="O314" s="7">
        <v>3044770.0</v>
      </c>
      <c r="P314" s="7" t="s">
        <v>410</v>
      </c>
      <c r="Q314" s="7">
        <v>1359.46</v>
      </c>
      <c r="R314" s="3">
        <f t="shared" si="1"/>
        <v>1359.46</v>
      </c>
    </row>
    <row r="315" ht="22.5" customHeight="1">
      <c r="B315" s="7" t="s">
        <v>87</v>
      </c>
      <c r="C315" s="7">
        <v>11785.0</v>
      </c>
      <c r="D315" s="7">
        <v>35160.0</v>
      </c>
      <c r="E315" s="7">
        <v>1427870.0</v>
      </c>
      <c r="F315" s="7">
        <v>1398711.0</v>
      </c>
      <c r="G315" s="7">
        <v>3038556.0</v>
      </c>
      <c r="H315" s="7">
        <v>3.05880821E8</v>
      </c>
      <c r="I315" s="7">
        <v>65605.0</v>
      </c>
      <c r="J315" s="7">
        <v>63707.0</v>
      </c>
      <c r="K315" s="7">
        <v>1898.0</v>
      </c>
      <c r="L315" s="7">
        <v>28.19</v>
      </c>
      <c r="M315" s="7">
        <v>-0.09</v>
      </c>
      <c r="N315" s="7">
        <v>2950.0</v>
      </c>
      <c r="O315" s="7">
        <v>674871.0</v>
      </c>
      <c r="P315" s="7" t="s">
        <v>410</v>
      </c>
      <c r="Q315" s="7">
        <v>188.36</v>
      </c>
      <c r="R315" s="3">
        <f t="shared" si="1"/>
        <v>188.36</v>
      </c>
    </row>
    <row r="316" ht="22.5" customHeight="1">
      <c r="B316" s="7" t="s">
        <v>201</v>
      </c>
      <c r="C316" s="7">
        <v>20446.0</v>
      </c>
      <c r="D316" s="7">
        <v>689272.0</v>
      </c>
      <c r="E316" s="7">
        <v>1815270.0</v>
      </c>
      <c r="F316" s="7">
        <v>1772288.0</v>
      </c>
      <c r="G316" s="7">
        <v>3189050.0</v>
      </c>
      <c r="H316" s="7">
        <v>3.515414115E9</v>
      </c>
      <c r="I316" s="7">
        <v>79518.0</v>
      </c>
      <c r="J316" s="7">
        <v>77758.0</v>
      </c>
      <c r="K316" s="7">
        <v>1760.0</v>
      </c>
      <c r="L316" s="7">
        <v>25.69</v>
      </c>
      <c r="M316" s="7">
        <v>-0.08</v>
      </c>
      <c r="N316" s="7">
        <v>2811.0</v>
      </c>
      <c r="O316" s="7">
        <v>1074955.0</v>
      </c>
      <c r="P316" s="7" t="s">
        <v>410</v>
      </c>
      <c r="Q316" s="7">
        <v>1457.64</v>
      </c>
      <c r="R316" s="3">
        <f t="shared" si="1"/>
        <v>1457.64</v>
      </c>
    </row>
    <row r="317" ht="22.5" customHeight="1">
      <c r="B317" s="7" t="s">
        <v>387</v>
      </c>
      <c r="C317" s="7">
        <v>103136.0</v>
      </c>
      <c r="D317" s="7">
        <v>4673415.0</v>
      </c>
      <c r="E317" s="7">
        <v>1224843.0</v>
      </c>
      <c r="F317" s="7">
        <v>1189868.0</v>
      </c>
      <c r="G317" s="7">
        <v>2176855.0</v>
      </c>
      <c r="H317" s="7">
        <v>6.075477567E9</v>
      </c>
      <c r="I317" s="7">
        <v>33799.0</v>
      </c>
      <c r="J317" s="7">
        <v>32100.0</v>
      </c>
      <c r="K317" s="7">
        <v>1699.0</v>
      </c>
      <c r="L317" s="7">
        <v>27.86</v>
      </c>
      <c r="M317" s="7">
        <v>-0.07</v>
      </c>
      <c r="N317" s="7">
        <v>2751.0</v>
      </c>
      <c r="O317" s="7">
        <v>639886.0</v>
      </c>
      <c r="P317" s="7" t="s">
        <v>410</v>
      </c>
      <c r="Q317" s="7">
        <v>3645.44</v>
      </c>
      <c r="R317" s="3">
        <f t="shared" si="1"/>
        <v>3645.44</v>
      </c>
    </row>
    <row r="318" ht="22.5" customHeight="1">
      <c r="B318" s="7" t="s">
        <v>253</v>
      </c>
      <c r="C318" s="7">
        <v>76006.0</v>
      </c>
      <c r="D318" s="7">
        <v>3192315.0</v>
      </c>
      <c r="E318" s="7">
        <v>1012546.0</v>
      </c>
      <c r="F318" s="7">
        <v>986098.0</v>
      </c>
      <c r="G318" s="7">
        <v>1754275.0</v>
      </c>
      <c r="H318" s="7">
        <v>5.026226756E9</v>
      </c>
      <c r="I318" s="7">
        <v>25865.0</v>
      </c>
      <c r="J318" s="7">
        <v>24141.0</v>
      </c>
      <c r="K318" s="7">
        <v>1724.0</v>
      </c>
      <c r="L318" s="7">
        <v>26.7</v>
      </c>
      <c r="M318" s="7">
        <v>-0.07</v>
      </c>
      <c r="N318" s="7">
        <v>2759.0</v>
      </c>
      <c r="O318" s="7">
        <v>391658.0</v>
      </c>
      <c r="P318" s="7" t="s">
        <v>410</v>
      </c>
      <c r="Q318" s="7">
        <v>3130.4</v>
      </c>
      <c r="R318" s="3">
        <f t="shared" si="1"/>
        <v>3130.4</v>
      </c>
    </row>
    <row r="319" ht="22.5" customHeight="1">
      <c r="B319" s="7" t="s">
        <v>388</v>
      </c>
      <c r="C319" s="7">
        <v>9188.0</v>
      </c>
      <c r="D319" s="7">
        <v>81017.0</v>
      </c>
      <c r="E319" s="7">
        <v>1.2843297E7</v>
      </c>
      <c r="F319" s="7">
        <v>1.2675709E7</v>
      </c>
      <c r="G319" s="7">
        <v>2.6842939E7</v>
      </c>
      <c r="H319" s="7">
        <v>1.708946355E9</v>
      </c>
      <c r="I319" s="7">
        <v>448240.0</v>
      </c>
      <c r="J319" s="7">
        <v>428148.0</v>
      </c>
      <c r="K319" s="7">
        <v>20092.0</v>
      </c>
      <c r="L319" s="7">
        <v>36.02</v>
      </c>
      <c r="M319" s="7">
        <v>-0.08</v>
      </c>
      <c r="N319" s="7">
        <v>31448.0</v>
      </c>
      <c r="O319" s="7">
        <v>5053926.0</v>
      </c>
      <c r="P319" s="7" t="s">
        <v>411</v>
      </c>
      <c r="Q319" s="7">
        <v>5003.92</v>
      </c>
      <c r="R319" s="3">
        <f t="shared" si="1"/>
        <v>10000</v>
      </c>
    </row>
    <row r="320" ht="22.5" customHeight="1">
      <c r="B320" s="7" t="s">
        <v>389</v>
      </c>
      <c r="C320" s="7">
        <v>11244.0</v>
      </c>
      <c r="D320" s="7">
        <v>99730.0</v>
      </c>
      <c r="E320" s="7">
        <v>2.0021548E7</v>
      </c>
      <c r="F320" s="7">
        <v>1.9818155E7</v>
      </c>
      <c r="G320" s="7">
        <v>3.4468042E7</v>
      </c>
      <c r="H320" s="7">
        <v>1.032284287E9</v>
      </c>
      <c r="I320" s="7">
        <v>695860.0</v>
      </c>
      <c r="J320" s="7">
        <v>665667.0</v>
      </c>
      <c r="K320" s="7">
        <v>30193.0</v>
      </c>
      <c r="L320" s="7">
        <v>28.06</v>
      </c>
      <c r="M320" s="7">
        <v>-0.06</v>
      </c>
      <c r="N320" s="7">
        <v>46981.0</v>
      </c>
      <c r="O320" s="7">
        <v>8182707.0</v>
      </c>
      <c r="P320" s="7" t="s">
        <v>411</v>
      </c>
      <c r="Q320" s="7">
        <v>5003.91</v>
      </c>
      <c r="R320" s="3">
        <f t="shared" si="1"/>
        <v>10000</v>
      </c>
    </row>
    <row r="321" ht="22.5" customHeight="1">
      <c r="B321" s="7" t="s">
        <v>181</v>
      </c>
      <c r="C321" s="7">
        <v>2343808.0</v>
      </c>
      <c r="D321" s="7">
        <v>5010575.0</v>
      </c>
      <c r="E321" s="7">
        <v>1146408.0</v>
      </c>
      <c r="F321" s="7">
        <v>1040477.0</v>
      </c>
      <c r="G321" s="7">
        <v>9365838.0</v>
      </c>
      <c r="H321" s="7">
        <v>1.304903787E9</v>
      </c>
      <c r="I321" s="7">
        <v>20649.0</v>
      </c>
      <c r="J321" s="7">
        <v>18322.0</v>
      </c>
      <c r="K321" s="7">
        <v>2327.0</v>
      </c>
      <c r="L321" s="7">
        <v>384.78</v>
      </c>
      <c r="M321" s="7">
        <v>-0.07</v>
      </c>
      <c r="N321" s="7">
        <v>3366.0</v>
      </c>
      <c r="O321" s="7">
        <v>1304754.0</v>
      </c>
      <c r="P321" s="7" t="s">
        <v>410</v>
      </c>
      <c r="Q321" s="7">
        <v>921.39</v>
      </c>
      <c r="R321" s="3">
        <f t="shared" si="1"/>
        <v>921.39</v>
      </c>
    </row>
    <row r="322" ht="22.5" customHeight="1">
      <c r="B322" s="7" t="s">
        <v>390</v>
      </c>
      <c r="C322" s="7">
        <v>2929760.0</v>
      </c>
      <c r="D322" s="7">
        <v>6277585.0</v>
      </c>
      <c r="E322" s="7">
        <v>3373246.0</v>
      </c>
      <c r="F322" s="7">
        <v>3046734.0</v>
      </c>
      <c r="G322" s="7">
        <v>3.3531783E7</v>
      </c>
      <c r="H322" s="7">
        <v>4.125079662E9</v>
      </c>
      <c r="I322" s="7">
        <v>58322.0</v>
      </c>
      <c r="J322" s="7">
        <v>51041.0</v>
      </c>
      <c r="K322" s="7">
        <v>7281.0</v>
      </c>
      <c r="L322" s="7">
        <v>609.68</v>
      </c>
      <c r="M322" s="7">
        <v>-0.07</v>
      </c>
      <c r="N322" s="7">
        <v>10323.0</v>
      </c>
      <c r="O322" s="7">
        <v>4081166.0</v>
      </c>
      <c r="P322" s="7" t="s">
        <v>411</v>
      </c>
      <c r="Q322" s="7">
        <v>5003.87</v>
      </c>
      <c r="R322" s="3">
        <f t="shared" si="1"/>
        <v>10000</v>
      </c>
    </row>
    <row r="323" ht="22.5" customHeight="1">
      <c r="B323" s="7" t="s">
        <v>391</v>
      </c>
      <c r="C323" s="7">
        <v>3222736.0</v>
      </c>
      <c r="D323" s="7">
        <v>6910393.0</v>
      </c>
      <c r="E323" s="7">
        <v>3837723.0</v>
      </c>
      <c r="F323" s="7">
        <v>3453994.0</v>
      </c>
      <c r="G323" s="7">
        <v>4.1728852E7</v>
      </c>
      <c r="H323" s="7">
        <v>4.709626434E9</v>
      </c>
      <c r="I323" s="7">
        <v>61878.0</v>
      </c>
      <c r="J323" s="7">
        <v>52759.0</v>
      </c>
      <c r="K323" s="7">
        <v>9119.0</v>
      </c>
      <c r="L323" s="7">
        <v>672.03</v>
      </c>
      <c r="M323" s="7">
        <v>-0.07</v>
      </c>
      <c r="N323" s="7">
        <v>12864.0</v>
      </c>
      <c r="O323" s="7">
        <v>4507110.0</v>
      </c>
      <c r="P323" s="7" t="s">
        <v>411</v>
      </c>
      <c r="Q323" s="7">
        <v>5003.91</v>
      </c>
      <c r="R323" s="3">
        <f t="shared" si="1"/>
        <v>10000</v>
      </c>
    </row>
    <row r="324" ht="22.5" customHeight="1">
      <c r="B324" s="7" t="s">
        <v>392</v>
      </c>
      <c r="C324" s="7">
        <v>3515712.0</v>
      </c>
      <c r="D324" s="7">
        <v>7543854.0</v>
      </c>
      <c r="E324" s="7">
        <v>2829230.0</v>
      </c>
      <c r="F324" s="7">
        <v>2494859.0</v>
      </c>
      <c r="G324" s="7">
        <v>3.884848E7</v>
      </c>
      <c r="H324" s="7">
        <v>3.596775606E9</v>
      </c>
      <c r="I324" s="7">
        <v>57126.0</v>
      </c>
      <c r="J324" s="7">
        <v>51707.0</v>
      </c>
      <c r="K324" s="7">
        <v>5419.0</v>
      </c>
      <c r="L324" s="7">
        <v>564.83</v>
      </c>
      <c r="M324" s="7">
        <v>-0.09</v>
      </c>
      <c r="N324" s="7">
        <v>7626.0</v>
      </c>
      <c r="O324" s="7">
        <v>5090945.0</v>
      </c>
      <c r="P324" s="7" t="s">
        <v>409</v>
      </c>
      <c r="Q324" s="7">
        <v>2814.59</v>
      </c>
      <c r="R324" s="3">
        <f t="shared" si="1"/>
        <v>2814.59</v>
      </c>
    </row>
    <row r="325" ht="22.5" customHeight="1">
      <c r="B325" s="7" t="s">
        <v>393</v>
      </c>
      <c r="C325" s="7">
        <v>172512.0</v>
      </c>
      <c r="D325" s="7">
        <v>1477968.0</v>
      </c>
      <c r="E325" s="7">
        <v>4984182.0</v>
      </c>
      <c r="F325" s="7">
        <v>4377675.0</v>
      </c>
      <c r="G325" s="7">
        <v>5.1675622E7</v>
      </c>
      <c r="H325" s="7">
        <v>1.3523472732E10</v>
      </c>
      <c r="I325" s="7">
        <v>85863.0</v>
      </c>
      <c r="J325" s="7">
        <v>76209.0</v>
      </c>
      <c r="K325" s="7">
        <v>9654.0</v>
      </c>
      <c r="L325" s="7">
        <v>674.51</v>
      </c>
      <c r="M325" s="7">
        <v>-0.08</v>
      </c>
      <c r="N325" s="7">
        <v>13785.0</v>
      </c>
      <c r="O325" s="7">
        <v>5585906.0</v>
      </c>
      <c r="P325" s="7" t="s">
        <v>411</v>
      </c>
      <c r="Q325" s="7">
        <v>5003.93</v>
      </c>
      <c r="R325" s="3">
        <f t="shared" si="1"/>
        <v>10000</v>
      </c>
    </row>
    <row r="326" ht="22.5" customHeight="1">
      <c r="B326" s="7" t="s">
        <v>394</v>
      </c>
      <c r="C326" s="7">
        <v>2430976.0</v>
      </c>
      <c r="D326" s="7">
        <v>5169846.0</v>
      </c>
      <c r="E326" s="7">
        <v>4973060.0</v>
      </c>
      <c r="F326" s="7">
        <v>4502514.0</v>
      </c>
      <c r="G326" s="7">
        <v>5.2642662E7</v>
      </c>
      <c r="H326" s="7">
        <v>6.053012457E9</v>
      </c>
      <c r="I326" s="7">
        <v>96964.0</v>
      </c>
      <c r="J326" s="7">
        <v>86806.0</v>
      </c>
      <c r="K326" s="7">
        <v>10158.0</v>
      </c>
      <c r="L326" s="7">
        <v>623.27</v>
      </c>
      <c r="M326" s="7">
        <v>-0.07</v>
      </c>
      <c r="N326" s="7">
        <v>14288.0</v>
      </c>
      <c r="O326" s="7">
        <v>6047795.0</v>
      </c>
      <c r="P326" s="7" t="s">
        <v>411</v>
      </c>
      <c r="Q326" s="7">
        <v>5003.94</v>
      </c>
      <c r="R326" s="3">
        <f t="shared" si="1"/>
        <v>10000</v>
      </c>
    </row>
    <row r="327" ht="22.5" customHeight="1">
      <c r="B327" s="7" t="s">
        <v>395</v>
      </c>
      <c r="C327" s="7">
        <v>2734848.0</v>
      </c>
      <c r="D327" s="7">
        <v>5821656.0</v>
      </c>
      <c r="E327" s="7">
        <v>3104264.0</v>
      </c>
      <c r="F327" s="7">
        <v>2761447.0</v>
      </c>
      <c r="G327" s="7">
        <v>4.0479397E7</v>
      </c>
      <c r="H327" s="7">
        <v>3.696268959E9</v>
      </c>
      <c r="I327" s="7">
        <v>58831.0</v>
      </c>
      <c r="J327" s="7">
        <v>52249.0</v>
      </c>
      <c r="K327" s="7">
        <v>6582.0</v>
      </c>
      <c r="L327" s="7">
        <v>604.61</v>
      </c>
      <c r="M327" s="7">
        <v>-0.08</v>
      </c>
      <c r="N327" s="7">
        <v>9207.0</v>
      </c>
      <c r="O327" s="7">
        <v>4808498.0</v>
      </c>
      <c r="P327" s="7" t="s">
        <v>411</v>
      </c>
      <c r="Q327" s="7">
        <v>5003.72</v>
      </c>
      <c r="R327" s="3">
        <f t="shared" si="1"/>
        <v>10000</v>
      </c>
    </row>
    <row r="328" ht="22.5" customHeight="1">
      <c r="B328" s="7" t="s">
        <v>396</v>
      </c>
      <c r="C328" s="7">
        <v>3646464.0</v>
      </c>
      <c r="D328" s="7">
        <v>7777501.0</v>
      </c>
      <c r="E328" s="7">
        <v>4215153.0</v>
      </c>
      <c r="F328" s="7">
        <v>3729075.0</v>
      </c>
      <c r="G328" s="7">
        <v>6.067467E7</v>
      </c>
      <c r="H328" s="7">
        <v>5.038230046E9</v>
      </c>
      <c r="I328" s="7">
        <v>68457.0</v>
      </c>
      <c r="J328" s="7">
        <v>58367.0</v>
      </c>
      <c r="K328" s="7">
        <v>10090.0</v>
      </c>
      <c r="L328" s="7">
        <v>600.63</v>
      </c>
      <c r="M328" s="7">
        <v>-0.08</v>
      </c>
      <c r="N328" s="7">
        <v>14204.0</v>
      </c>
      <c r="O328" s="7">
        <v>7185783.0</v>
      </c>
      <c r="P328" s="7" t="s">
        <v>411</v>
      </c>
      <c r="Q328" s="7">
        <v>5004.47</v>
      </c>
      <c r="R328" s="3">
        <f t="shared" si="1"/>
        <v>10000</v>
      </c>
    </row>
    <row r="329" ht="22.5" customHeight="1">
      <c r="B329" s="7" t="s">
        <v>55</v>
      </c>
      <c r="C329" s="7">
        <v>1672.0</v>
      </c>
      <c r="D329" s="7">
        <v>5262.0</v>
      </c>
      <c r="E329" s="7">
        <v>3044964.0</v>
      </c>
      <c r="F329" s="7">
        <v>2992985.0</v>
      </c>
      <c r="G329" s="7">
        <v>6069651.0</v>
      </c>
      <c r="H329" s="7">
        <v>1.9719854E8</v>
      </c>
      <c r="I329" s="7">
        <v>125377.0</v>
      </c>
      <c r="J329" s="7">
        <v>121043.0</v>
      </c>
      <c r="K329" s="7">
        <v>4334.0</v>
      </c>
      <c r="L329" s="7">
        <v>25.11</v>
      </c>
      <c r="M329" s="7">
        <v>-0.08</v>
      </c>
      <c r="N329" s="7">
        <v>6922.0</v>
      </c>
      <c r="O329" s="7">
        <v>1104472.0</v>
      </c>
      <c r="P329" s="7" t="s">
        <v>409</v>
      </c>
      <c r="Q329" s="7">
        <v>280.12</v>
      </c>
      <c r="R329" s="3">
        <f t="shared" si="1"/>
        <v>280.12</v>
      </c>
    </row>
    <row r="330" ht="22.5" customHeight="1">
      <c r="B330" s="7" t="s">
        <v>164</v>
      </c>
      <c r="C330" s="7">
        <v>851.0</v>
      </c>
      <c r="D330" s="7">
        <v>2702.0</v>
      </c>
      <c r="E330" s="7">
        <v>7318395.0</v>
      </c>
      <c r="F330" s="7">
        <v>7224565.0</v>
      </c>
      <c r="G330" s="7">
        <v>1.0316371E7</v>
      </c>
      <c r="H330" s="7">
        <v>2.43879991E8</v>
      </c>
      <c r="I330" s="7">
        <v>351447.0</v>
      </c>
      <c r="J330" s="7">
        <v>344683.0</v>
      </c>
      <c r="K330" s="7">
        <v>6764.0</v>
      </c>
      <c r="L330" s="7">
        <v>17.35</v>
      </c>
      <c r="M330" s="7">
        <v>-0.06</v>
      </c>
      <c r="N330" s="7">
        <v>10971.0</v>
      </c>
      <c r="O330" s="7">
        <v>3697854.0</v>
      </c>
      <c r="P330" s="7" t="s">
        <v>410</v>
      </c>
      <c r="Q330" s="7">
        <v>962.74</v>
      </c>
      <c r="R330" s="3">
        <f t="shared" si="1"/>
        <v>962.74</v>
      </c>
    </row>
    <row r="331" ht="22.5" customHeight="1">
      <c r="B331" s="7" t="s">
        <v>397</v>
      </c>
      <c r="C331" s="7">
        <v>3651.0</v>
      </c>
      <c r="D331" s="7">
        <v>926696.0</v>
      </c>
      <c r="E331" s="7">
        <v>1.818793E7</v>
      </c>
      <c r="F331" s="7">
        <v>1.787555E7</v>
      </c>
      <c r="G331" s="7">
        <v>2.1932037E7</v>
      </c>
      <c r="H331" s="7">
        <v>2.306624409E9</v>
      </c>
      <c r="I331" s="7">
        <v>383690.0</v>
      </c>
      <c r="J331" s="7">
        <v>347728.0</v>
      </c>
      <c r="K331" s="7">
        <v>35962.0</v>
      </c>
      <c r="L331" s="7">
        <v>191.69</v>
      </c>
      <c r="M331" s="7">
        <v>-0.02</v>
      </c>
      <c r="N331" s="7">
        <v>52657.0</v>
      </c>
      <c r="O331" s="7">
        <v>7072996.0</v>
      </c>
      <c r="P331" s="7" t="s">
        <v>411</v>
      </c>
      <c r="Q331" s="7">
        <v>5003.85</v>
      </c>
      <c r="R331" s="3">
        <f t="shared" si="1"/>
        <v>10000</v>
      </c>
    </row>
    <row r="332" ht="22.5" customHeight="1">
      <c r="B332" s="7" t="s">
        <v>245</v>
      </c>
      <c r="C332" s="7">
        <v>400.0</v>
      </c>
      <c r="D332" s="7">
        <v>30664.0</v>
      </c>
      <c r="E332" s="7">
        <v>1.9433224E7</v>
      </c>
      <c r="F332" s="7">
        <v>1.8906531E7</v>
      </c>
      <c r="G332" s="7">
        <v>2.4440816E7</v>
      </c>
      <c r="H332" s="7">
        <v>5.13398232E8</v>
      </c>
      <c r="I332" s="7">
        <v>420435.0</v>
      </c>
      <c r="J332" s="7">
        <v>387676.0</v>
      </c>
      <c r="K332" s="7">
        <v>32759.0</v>
      </c>
      <c r="L332" s="7">
        <v>80.88</v>
      </c>
      <c r="M332" s="7">
        <v>-0.04</v>
      </c>
      <c r="N332" s="7">
        <v>49474.0</v>
      </c>
      <c r="O332" s="7">
        <v>8423744.0</v>
      </c>
      <c r="P332" s="7" t="s">
        <v>411</v>
      </c>
      <c r="Q332" s="7">
        <v>5003.89</v>
      </c>
      <c r="R332" s="3">
        <f t="shared" si="1"/>
        <v>10000</v>
      </c>
    </row>
    <row r="333" ht="22.5" customHeight="1">
      <c r="B333" s="7" t="s">
        <v>398</v>
      </c>
      <c r="C333" s="7">
        <v>13431.0</v>
      </c>
      <c r="D333" s="7">
        <v>335655.0</v>
      </c>
      <c r="E333" s="7">
        <v>1.303554E7</v>
      </c>
      <c r="F333" s="7">
        <v>1.2693974E7</v>
      </c>
      <c r="G333" s="7">
        <v>3.5579916E7</v>
      </c>
      <c r="H333" s="7">
        <v>5.034644642E9</v>
      </c>
      <c r="I333" s="7">
        <v>426295.0</v>
      </c>
      <c r="J333" s="7">
        <v>405272.0</v>
      </c>
      <c r="K333" s="7">
        <v>21023.0</v>
      </c>
      <c r="L333" s="7">
        <v>61.63</v>
      </c>
      <c r="M333" s="7">
        <v>-0.08</v>
      </c>
      <c r="N333" s="7">
        <v>32657.0</v>
      </c>
      <c r="O333" s="7">
        <v>4859115.0</v>
      </c>
      <c r="P333" s="7" t="s">
        <v>411</v>
      </c>
      <c r="Q333" s="7">
        <v>5003.88</v>
      </c>
      <c r="R333" s="3">
        <f t="shared" si="1"/>
        <v>10000</v>
      </c>
    </row>
    <row r="334" ht="22.5" customHeight="1">
      <c r="B334" s="7" t="s">
        <v>254</v>
      </c>
      <c r="C334" s="7">
        <v>3906.0</v>
      </c>
      <c r="D334" s="7">
        <v>1.3611728E7</v>
      </c>
      <c r="E334" s="7">
        <v>2.2155897E7</v>
      </c>
      <c r="F334" s="7">
        <v>2.1865142E7</v>
      </c>
      <c r="G334" s="7">
        <v>3.2865398E8</v>
      </c>
      <c r="H334" s="7">
        <v>7.04808237E8</v>
      </c>
      <c r="I334" s="7">
        <v>433351.0</v>
      </c>
      <c r="J334" s="7">
        <v>374059.0</v>
      </c>
      <c r="K334" s="7">
        <v>59292.0</v>
      </c>
      <c r="L334" s="7">
        <v>60.0</v>
      </c>
      <c r="M334" s="7">
        <v>-0.02</v>
      </c>
      <c r="N334" s="7">
        <v>75606.0</v>
      </c>
      <c r="O334" s="7">
        <v>1.55310414E8</v>
      </c>
      <c r="P334" s="7" t="s">
        <v>411</v>
      </c>
      <c r="Q334" s="7">
        <v>5003.84</v>
      </c>
      <c r="R334" s="3">
        <f t="shared" si="1"/>
        <v>10000</v>
      </c>
    </row>
    <row r="335" ht="22.5" customHeight="1">
      <c r="B335" s="7" t="s">
        <v>258</v>
      </c>
      <c r="C335" s="7">
        <v>2309.0</v>
      </c>
      <c r="D335" s="7">
        <v>88734.0</v>
      </c>
      <c r="E335" s="7">
        <v>1.3238537E7</v>
      </c>
      <c r="F335" s="7">
        <v>1.3012626E7</v>
      </c>
      <c r="G335" s="7">
        <v>1.8180024E7</v>
      </c>
      <c r="H335" s="7">
        <v>1.028200574E9</v>
      </c>
      <c r="I335" s="7">
        <v>337808.0</v>
      </c>
      <c r="J335" s="7">
        <v>312672.0</v>
      </c>
      <c r="K335" s="7">
        <v>25136.0</v>
      </c>
      <c r="L335" s="7">
        <v>140.01</v>
      </c>
      <c r="M335" s="7">
        <v>-0.03</v>
      </c>
      <c r="N335" s="7">
        <v>37019.0</v>
      </c>
      <c r="O335" s="7">
        <v>5507662.0</v>
      </c>
      <c r="P335" s="7" t="s">
        <v>410</v>
      </c>
      <c r="Q335" s="7">
        <v>2946.45</v>
      </c>
      <c r="R335" s="3">
        <f t="shared" si="1"/>
        <v>2946.45</v>
      </c>
    </row>
    <row r="336" ht="22.5" customHeight="1">
      <c r="B336" s="7" t="s">
        <v>89</v>
      </c>
      <c r="C336" s="7">
        <v>3191.0</v>
      </c>
      <c r="D336" s="7">
        <v>73950.0</v>
      </c>
      <c r="E336" s="7">
        <v>1.1943671E7</v>
      </c>
      <c r="F336" s="7">
        <v>1.1597908E7</v>
      </c>
      <c r="G336" s="7">
        <v>2.0894035E7</v>
      </c>
      <c r="H336" s="7">
        <v>1.684942627E9</v>
      </c>
      <c r="I336" s="7">
        <v>279166.0</v>
      </c>
      <c r="J336" s="7">
        <v>258685.0</v>
      </c>
      <c r="K336" s="7">
        <v>20481.0</v>
      </c>
      <c r="L336" s="7">
        <v>151.46</v>
      </c>
      <c r="M336" s="7">
        <v>-0.05</v>
      </c>
      <c r="N336" s="7">
        <v>30394.0</v>
      </c>
      <c r="O336" s="7">
        <v>6674557.0</v>
      </c>
      <c r="P336" s="7" t="s">
        <v>409</v>
      </c>
      <c r="Q336" s="7">
        <v>2420.15</v>
      </c>
      <c r="R336" s="3">
        <f t="shared" si="1"/>
        <v>2420.15</v>
      </c>
    </row>
    <row r="337" ht="22.5" customHeight="1">
      <c r="B337" s="7" t="s">
        <v>44</v>
      </c>
      <c r="C337" s="7">
        <v>3738383.0</v>
      </c>
      <c r="D337" s="7">
        <v>1.6651874E7</v>
      </c>
      <c r="E337" s="7">
        <v>1833.0</v>
      </c>
      <c r="F337" s="7">
        <v>1626.0</v>
      </c>
      <c r="G337" s="7">
        <v>2108250.0</v>
      </c>
      <c r="H337" s="7">
        <v>2.3026303E7</v>
      </c>
      <c r="I337" s="7">
        <v>71.0</v>
      </c>
      <c r="J337" s="7">
        <v>71.0</v>
      </c>
      <c r="K337" s="7">
        <v>0.0</v>
      </c>
      <c r="L337" s="7">
        <v>20.67</v>
      </c>
      <c r="M337" s="7">
        <v>-0.22</v>
      </c>
      <c r="N337" s="7">
        <v>2.0</v>
      </c>
      <c r="O337" s="7">
        <v>3992.0</v>
      </c>
      <c r="P337" s="7" t="s">
        <v>409</v>
      </c>
      <c r="Q337" s="7">
        <v>38.37</v>
      </c>
      <c r="R337" s="3">
        <f t="shared" si="1"/>
        <v>38.37</v>
      </c>
    </row>
    <row r="338" ht="22.5" customHeight="1">
      <c r="B338" s="7" t="s">
        <v>28</v>
      </c>
      <c r="C338" s="7">
        <v>2633376.0</v>
      </c>
      <c r="D338" s="7">
        <v>1.2055676E7</v>
      </c>
      <c r="E338" s="7">
        <v>2483.0</v>
      </c>
      <c r="F338" s="7">
        <v>2327.0</v>
      </c>
      <c r="G338" s="7">
        <v>594857.0</v>
      </c>
      <c r="H338" s="7">
        <v>1.7460821E7</v>
      </c>
      <c r="I338" s="7">
        <v>126.0</v>
      </c>
      <c r="J338" s="7">
        <v>126.0</v>
      </c>
      <c r="K338" s="7">
        <v>0.0</v>
      </c>
      <c r="L338" s="7">
        <v>101.56</v>
      </c>
      <c r="M338" s="7">
        <v>-0.23</v>
      </c>
      <c r="N338" s="7">
        <v>3.0</v>
      </c>
      <c r="O338" s="7">
        <v>9823.0</v>
      </c>
      <c r="P338" s="7" t="s">
        <v>409</v>
      </c>
      <c r="Q338" s="7">
        <v>34.63</v>
      </c>
      <c r="R338" s="3">
        <f t="shared" si="1"/>
        <v>34.63</v>
      </c>
    </row>
    <row r="339" ht="22.5" customHeight="1">
      <c r="B339" s="7" t="s">
        <v>218</v>
      </c>
      <c r="C339" s="7">
        <v>9582411.0</v>
      </c>
      <c r="D339" s="7">
        <v>4.6593859E7</v>
      </c>
      <c r="E339" s="7">
        <v>138152.0</v>
      </c>
      <c r="F339" s="7">
        <v>124104.0</v>
      </c>
      <c r="G339" s="7">
        <v>2.510224447E9</v>
      </c>
      <c r="H339" s="7">
        <v>8.040154843E9</v>
      </c>
      <c r="I339" s="7">
        <v>2403.0</v>
      </c>
      <c r="J339" s="7">
        <v>2368.0</v>
      </c>
      <c r="K339" s="7">
        <v>35.0</v>
      </c>
      <c r="L339" s="7">
        <v>208.04</v>
      </c>
      <c r="M339" s="7">
        <v>-0.26</v>
      </c>
      <c r="N339" s="7">
        <v>115.0</v>
      </c>
      <c r="O339" s="7">
        <v>2.498732828E9</v>
      </c>
      <c r="P339" s="7" t="s">
        <v>409</v>
      </c>
      <c r="Q339" s="7">
        <v>4839.98</v>
      </c>
      <c r="R339" s="3">
        <f t="shared" si="1"/>
        <v>4839.98</v>
      </c>
    </row>
    <row r="340" ht="22.5" customHeight="1">
      <c r="B340" s="7" t="s">
        <v>108</v>
      </c>
      <c r="C340" s="7">
        <v>33721.0</v>
      </c>
      <c r="D340" s="7">
        <v>157681.0</v>
      </c>
      <c r="E340" s="7">
        <v>1952015.0</v>
      </c>
      <c r="F340" s="7">
        <v>1863836.0</v>
      </c>
      <c r="G340" s="7">
        <v>8146509.0</v>
      </c>
      <c r="H340" s="7">
        <v>5.41597941E8</v>
      </c>
      <c r="I340" s="7">
        <v>71598.0</v>
      </c>
      <c r="J340" s="7">
        <v>69668.0</v>
      </c>
      <c r="K340" s="7">
        <v>1930.0</v>
      </c>
      <c r="L340" s="7">
        <v>70.13</v>
      </c>
      <c r="M340" s="7">
        <v>-0.1</v>
      </c>
      <c r="N340" s="7">
        <v>2981.0</v>
      </c>
      <c r="O340" s="7">
        <v>1648211.0</v>
      </c>
      <c r="P340" s="7" t="s">
        <v>409</v>
      </c>
      <c r="Q340" s="7">
        <v>269.58</v>
      </c>
      <c r="R340" s="3">
        <f t="shared" si="1"/>
        <v>269.58</v>
      </c>
    </row>
    <row r="341" ht="22.5" customHeight="1">
      <c r="B341" s="7" t="s">
        <v>103</v>
      </c>
      <c r="C341" s="7">
        <v>110108.0</v>
      </c>
      <c r="D341" s="7">
        <v>506714.0</v>
      </c>
      <c r="E341" s="7">
        <v>227149.0</v>
      </c>
      <c r="F341" s="7">
        <v>220221.0</v>
      </c>
      <c r="G341" s="7">
        <v>548175.0</v>
      </c>
      <c r="H341" s="7">
        <v>8.51771129E8</v>
      </c>
      <c r="I341" s="7">
        <v>7629.0</v>
      </c>
      <c r="J341" s="7">
        <v>7211.0</v>
      </c>
      <c r="K341" s="7">
        <v>418.0</v>
      </c>
      <c r="L341" s="7">
        <v>65.1</v>
      </c>
      <c r="M341" s="7">
        <v>-0.09</v>
      </c>
      <c r="N341" s="7">
        <v>639.0</v>
      </c>
      <c r="O341" s="7">
        <v>106297.0</v>
      </c>
      <c r="P341" s="7" t="s">
        <v>410</v>
      </c>
      <c r="Q341" s="7">
        <v>225.83</v>
      </c>
      <c r="R341" s="3">
        <f t="shared" si="1"/>
        <v>225.83</v>
      </c>
    </row>
    <row r="342" ht="22.5" customHeight="1">
      <c r="B342" s="7" t="s">
        <v>102</v>
      </c>
      <c r="C342" s="7">
        <v>110108.0</v>
      </c>
      <c r="D342" s="7">
        <v>506718.0</v>
      </c>
      <c r="E342" s="7">
        <v>192391.0</v>
      </c>
      <c r="F342" s="7">
        <v>185918.0</v>
      </c>
      <c r="G342" s="7">
        <v>456352.0</v>
      </c>
      <c r="H342" s="7">
        <v>7.71068944E8</v>
      </c>
      <c r="I342" s="7">
        <v>6667.0</v>
      </c>
      <c r="J342" s="7">
        <v>6330.0</v>
      </c>
      <c r="K342" s="7">
        <v>337.0</v>
      </c>
      <c r="L342" s="7">
        <v>89.17</v>
      </c>
      <c r="M342" s="7">
        <v>-0.09</v>
      </c>
      <c r="N342" s="7">
        <v>505.0</v>
      </c>
      <c r="O342" s="7">
        <v>111516.0</v>
      </c>
      <c r="P342" s="7" t="s">
        <v>410</v>
      </c>
      <c r="Q342" s="7">
        <v>239.92</v>
      </c>
      <c r="R342" s="3">
        <f t="shared" si="1"/>
        <v>239.92</v>
      </c>
    </row>
    <row r="343" ht="22.5" customHeight="1">
      <c r="B343" s="7" t="s">
        <v>91</v>
      </c>
      <c r="C343" s="7">
        <v>110108.0</v>
      </c>
      <c r="D343" s="7">
        <v>506714.0</v>
      </c>
      <c r="E343" s="7">
        <v>261482.0</v>
      </c>
      <c r="F343" s="7">
        <v>253592.0</v>
      </c>
      <c r="G343" s="7">
        <v>526615.0</v>
      </c>
      <c r="H343" s="7">
        <v>1.035434786E9</v>
      </c>
      <c r="I343" s="7">
        <v>5122.0</v>
      </c>
      <c r="J343" s="7">
        <v>4620.0</v>
      </c>
      <c r="K343" s="7">
        <v>502.0</v>
      </c>
      <c r="L343" s="7">
        <v>107.73</v>
      </c>
      <c r="M343" s="7">
        <v>-0.07</v>
      </c>
      <c r="N343" s="7">
        <v>765.0</v>
      </c>
      <c r="O343" s="7">
        <v>119460.0</v>
      </c>
      <c r="P343" s="7" t="s">
        <v>410</v>
      </c>
      <c r="Q343" s="7">
        <v>402.67</v>
      </c>
      <c r="R343" s="3">
        <f t="shared" si="1"/>
        <v>402.67</v>
      </c>
    </row>
    <row r="344" ht="22.5" customHeight="1">
      <c r="B344" s="7" t="s">
        <v>60</v>
      </c>
      <c r="C344" s="7">
        <v>110108.0</v>
      </c>
      <c r="D344" s="7">
        <v>506718.0</v>
      </c>
      <c r="E344" s="7">
        <v>136032.0</v>
      </c>
      <c r="F344" s="7">
        <v>129746.0</v>
      </c>
      <c r="G344" s="7">
        <v>432054.0</v>
      </c>
      <c r="H344" s="7">
        <v>3.31752861E8</v>
      </c>
      <c r="I344" s="7">
        <v>5151.0</v>
      </c>
      <c r="J344" s="7">
        <v>5006.0</v>
      </c>
      <c r="K344" s="7">
        <v>145.0</v>
      </c>
      <c r="L344" s="7">
        <v>78.68</v>
      </c>
      <c r="M344" s="7">
        <v>-0.12</v>
      </c>
      <c r="N344" s="7">
        <v>225.0</v>
      </c>
      <c r="O344" s="7">
        <v>117891.0</v>
      </c>
      <c r="P344" s="7" t="s">
        <v>409</v>
      </c>
      <c r="Q344" s="7">
        <v>121.09</v>
      </c>
      <c r="R344" s="3">
        <f t="shared" si="1"/>
        <v>121.09</v>
      </c>
    </row>
    <row r="345" ht="22.5" customHeight="1">
      <c r="B345" s="7" t="s">
        <v>67</v>
      </c>
      <c r="C345" s="7">
        <v>110079.0</v>
      </c>
      <c r="D345" s="7">
        <v>506624.0</v>
      </c>
      <c r="E345" s="7">
        <v>108833.0</v>
      </c>
      <c r="F345" s="7">
        <v>104098.0</v>
      </c>
      <c r="G345" s="7">
        <v>338673.0</v>
      </c>
      <c r="H345" s="7">
        <v>6.09809554E8</v>
      </c>
      <c r="I345" s="7">
        <v>7810.0</v>
      </c>
      <c r="J345" s="7">
        <v>7664.0</v>
      </c>
      <c r="K345" s="7">
        <v>146.0</v>
      </c>
      <c r="L345" s="7">
        <v>74.92</v>
      </c>
      <c r="M345" s="7">
        <v>-0.11</v>
      </c>
      <c r="N345" s="7">
        <v>212.0</v>
      </c>
      <c r="O345" s="7">
        <v>79853.0</v>
      </c>
      <c r="P345" s="7" t="s">
        <v>409</v>
      </c>
      <c r="Q345" s="7">
        <v>196.47</v>
      </c>
      <c r="R345" s="3">
        <f t="shared" si="1"/>
        <v>196.47</v>
      </c>
    </row>
    <row r="346" ht="22.5" customHeight="1">
      <c r="B346" s="7" t="s">
        <v>168</v>
      </c>
      <c r="C346" s="7">
        <v>164916.0</v>
      </c>
      <c r="D346" s="7">
        <v>759313.0</v>
      </c>
      <c r="E346" s="7">
        <v>467536.0</v>
      </c>
      <c r="F346" s="7">
        <v>451291.0</v>
      </c>
      <c r="G346" s="7">
        <v>1046750.0</v>
      </c>
      <c r="H346" s="7">
        <v>2.511952291E9</v>
      </c>
      <c r="I346" s="7">
        <v>22605.0</v>
      </c>
      <c r="J346" s="7">
        <v>22080.0</v>
      </c>
      <c r="K346" s="7">
        <v>525.0</v>
      </c>
      <c r="L346" s="7">
        <v>86.89</v>
      </c>
      <c r="M346" s="7">
        <v>-0.08</v>
      </c>
      <c r="N346" s="7">
        <v>789.0</v>
      </c>
      <c r="O346" s="7">
        <v>360766.0</v>
      </c>
      <c r="P346" s="7" t="s">
        <v>409</v>
      </c>
      <c r="Q346" s="7">
        <v>812.69</v>
      </c>
      <c r="R346" s="3">
        <f t="shared" si="1"/>
        <v>812.69</v>
      </c>
    </row>
    <row r="347" ht="22.5" customHeight="1">
      <c r="B347" s="7" t="s">
        <v>125</v>
      </c>
      <c r="C347" s="7">
        <v>164915.0</v>
      </c>
      <c r="D347" s="7">
        <v>759314.0</v>
      </c>
      <c r="E347" s="7">
        <v>241809.0</v>
      </c>
      <c r="F347" s="7">
        <v>233567.0</v>
      </c>
      <c r="G347" s="7">
        <v>608190.0</v>
      </c>
      <c r="H347" s="7">
        <v>9.98764719E8</v>
      </c>
      <c r="I347" s="7">
        <v>8655.0</v>
      </c>
      <c r="J347" s="7">
        <v>8181.0</v>
      </c>
      <c r="K347" s="7">
        <v>474.0</v>
      </c>
      <c r="L347" s="7">
        <v>125.64</v>
      </c>
      <c r="M347" s="7">
        <v>-0.07</v>
      </c>
      <c r="N347" s="7">
        <v>718.0</v>
      </c>
      <c r="O347" s="7">
        <v>112338.0</v>
      </c>
      <c r="P347" s="7" t="s">
        <v>409</v>
      </c>
      <c r="Q347" s="7">
        <v>330.06</v>
      </c>
      <c r="R347" s="3">
        <f t="shared" si="1"/>
        <v>330.06</v>
      </c>
    </row>
    <row r="348" ht="22.5" customHeight="1">
      <c r="B348" s="7" t="s">
        <v>82</v>
      </c>
      <c r="C348" s="7">
        <v>164887.0</v>
      </c>
      <c r="D348" s="7">
        <v>759228.0</v>
      </c>
      <c r="E348" s="7">
        <v>140982.0</v>
      </c>
      <c r="F348" s="7">
        <v>134757.0</v>
      </c>
      <c r="G348" s="7">
        <v>370801.0</v>
      </c>
      <c r="H348" s="7">
        <v>5.27862492E8</v>
      </c>
      <c r="I348" s="7">
        <v>4747.0</v>
      </c>
      <c r="J348" s="7">
        <v>4595.0</v>
      </c>
      <c r="K348" s="7">
        <v>152.0</v>
      </c>
      <c r="L348" s="7">
        <v>85.92</v>
      </c>
      <c r="M348" s="7">
        <v>-0.09</v>
      </c>
      <c r="N348" s="7">
        <v>241.0</v>
      </c>
      <c r="O348" s="7">
        <v>121953.0</v>
      </c>
      <c r="P348" s="7" t="s">
        <v>409</v>
      </c>
      <c r="Q348" s="7">
        <v>196.84</v>
      </c>
      <c r="R348" s="3">
        <f t="shared" si="1"/>
        <v>196.84</v>
      </c>
    </row>
    <row r="349" ht="22.5" customHeight="1">
      <c r="B349" s="7" t="s">
        <v>210</v>
      </c>
      <c r="C349" s="7">
        <v>8043699.0</v>
      </c>
      <c r="D349" s="7">
        <v>3.9376148E7</v>
      </c>
      <c r="E349" s="7">
        <v>25178.0</v>
      </c>
      <c r="F349" s="7">
        <v>23664.0</v>
      </c>
      <c r="G349" s="7">
        <v>1532862.0</v>
      </c>
      <c r="H349" s="7">
        <v>9.92953286E8</v>
      </c>
      <c r="I349" s="7">
        <v>1054.0</v>
      </c>
      <c r="J349" s="7">
        <v>1023.0</v>
      </c>
      <c r="K349" s="7">
        <v>31.0</v>
      </c>
      <c r="L349" s="7">
        <v>54.24</v>
      </c>
      <c r="M349" s="7">
        <v>-0.21</v>
      </c>
      <c r="N349" s="7">
        <v>48.0</v>
      </c>
      <c r="O349" s="7">
        <v>300073.0</v>
      </c>
      <c r="P349" s="7" t="s">
        <v>409</v>
      </c>
      <c r="Q349" s="7">
        <v>1498.69</v>
      </c>
      <c r="R349" s="3">
        <f t="shared" si="1"/>
        <v>1498.69</v>
      </c>
    </row>
    <row r="350" ht="22.5" customHeight="1">
      <c r="B350" s="7" t="s">
        <v>47</v>
      </c>
      <c r="C350" s="7">
        <v>693001.0</v>
      </c>
      <c r="D350" s="7">
        <v>3661576.0</v>
      </c>
      <c r="E350" s="7">
        <v>9876.0</v>
      </c>
      <c r="F350" s="7">
        <v>9110.0</v>
      </c>
      <c r="G350" s="7">
        <v>1201451.0</v>
      </c>
      <c r="H350" s="7">
        <v>2.3128812E7</v>
      </c>
      <c r="I350" s="7">
        <v>410.0</v>
      </c>
      <c r="J350" s="7">
        <v>407.0</v>
      </c>
      <c r="K350" s="7">
        <v>3.0</v>
      </c>
      <c r="L350" s="7">
        <v>27.84</v>
      </c>
      <c r="M350" s="7">
        <v>-0.2</v>
      </c>
      <c r="N350" s="7">
        <v>12.0</v>
      </c>
      <c r="O350" s="7">
        <v>803259.0</v>
      </c>
      <c r="P350" s="7" t="s">
        <v>409</v>
      </c>
      <c r="Q350" s="7">
        <v>44.96</v>
      </c>
      <c r="R350" s="3">
        <f t="shared" si="1"/>
        <v>44.96</v>
      </c>
    </row>
    <row r="351" ht="22.5" customHeight="1">
      <c r="B351" s="7" t="s">
        <v>194</v>
      </c>
      <c r="C351" s="7">
        <v>1094922.0</v>
      </c>
      <c r="D351" s="7">
        <v>5009021.0</v>
      </c>
      <c r="E351" s="7">
        <v>791935.0</v>
      </c>
      <c r="F351" s="7">
        <v>758461.0</v>
      </c>
      <c r="G351" s="7">
        <v>1.0280653E7</v>
      </c>
      <c r="H351" s="7">
        <v>1.38745064E9</v>
      </c>
      <c r="I351" s="7">
        <v>47566.0</v>
      </c>
      <c r="J351" s="7">
        <v>46480.0</v>
      </c>
      <c r="K351" s="7">
        <v>1086.0</v>
      </c>
      <c r="L351" s="7">
        <v>47.88</v>
      </c>
      <c r="M351" s="7">
        <v>-0.2</v>
      </c>
      <c r="N351" s="7">
        <v>1781.0</v>
      </c>
      <c r="O351" s="7">
        <v>1136836.0</v>
      </c>
      <c r="P351" s="7" t="s">
        <v>409</v>
      </c>
      <c r="Q351" s="7">
        <v>676.71</v>
      </c>
      <c r="R351" s="3">
        <f t="shared" si="1"/>
        <v>676.71</v>
      </c>
    </row>
    <row r="352" ht="22.5" customHeight="1">
      <c r="B352" s="7" t="s">
        <v>26</v>
      </c>
      <c r="C352" s="7">
        <v>26421.0</v>
      </c>
      <c r="D352" s="7">
        <v>122125.0</v>
      </c>
      <c r="E352" s="7">
        <v>21443.0</v>
      </c>
      <c r="F352" s="7">
        <v>20397.0</v>
      </c>
      <c r="G352" s="7">
        <v>56726.0</v>
      </c>
      <c r="H352" s="7">
        <v>2.0895869E7</v>
      </c>
      <c r="I352" s="7">
        <v>782.0</v>
      </c>
      <c r="J352" s="7">
        <v>756.0</v>
      </c>
      <c r="K352" s="7">
        <v>26.0</v>
      </c>
      <c r="L352" s="7">
        <v>41.04</v>
      </c>
      <c r="M352" s="7">
        <v>-0.11</v>
      </c>
      <c r="N352" s="7">
        <v>43.0</v>
      </c>
      <c r="O352" s="7">
        <v>14111.0</v>
      </c>
      <c r="P352" s="7" t="s">
        <v>410</v>
      </c>
      <c r="Q352" s="7">
        <v>6.97</v>
      </c>
      <c r="R352" s="3">
        <f t="shared" si="1"/>
        <v>6.97</v>
      </c>
    </row>
    <row r="353" ht="22.5" customHeight="1">
      <c r="B353" s="7" t="s">
        <v>63</v>
      </c>
      <c r="C353" s="7">
        <v>26275.0</v>
      </c>
      <c r="D353" s="7">
        <v>121056.0</v>
      </c>
      <c r="E353" s="7">
        <v>144806.0</v>
      </c>
      <c r="F353" s="7">
        <v>142057.0</v>
      </c>
      <c r="G353" s="7">
        <v>180322.0</v>
      </c>
      <c r="H353" s="7">
        <v>5.36287352E8</v>
      </c>
      <c r="I353" s="7">
        <v>3900.0</v>
      </c>
      <c r="J353" s="7">
        <v>3743.0</v>
      </c>
      <c r="K353" s="7">
        <v>157.0</v>
      </c>
      <c r="L353" s="7">
        <v>43.02</v>
      </c>
      <c r="M353" s="7">
        <v>-0.03</v>
      </c>
      <c r="N353" s="7">
        <v>252.0</v>
      </c>
      <c r="O353" s="7">
        <v>85847.0</v>
      </c>
      <c r="P353" s="7" t="s">
        <v>410</v>
      </c>
      <c r="Q353" s="7">
        <v>128.03</v>
      </c>
      <c r="R353" s="3">
        <f t="shared" si="1"/>
        <v>128.03</v>
      </c>
    </row>
    <row r="354" ht="22.5" customHeight="1">
      <c r="B354" s="7" t="s">
        <v>143</v>
      </c>
      <c r="C354" s="7">
        <v>20965.0</v>
      </c>
      <c r="D354" s="7">
        <v>93387.0</v>
      </c>
      <c r="E354" s="7">
        <v>4738214.0</v>
      </c>
      <c r="F354" s="7">
        <v>4521080.0</v>
      </c>
      <c r="G354" s="7">
        <v>1.5570058E7</v>
      </c>
      <c r="H354" s="7">
        <v>7.27855756E8</v>
      </c>
      <c r="I354" s="7">
        <v>116448.0</v>
      </c>
      <c r="J354" s="7">
        <v>108402.0</v>
      </c>
      <c r="K354" s="7">
        <v>8046.0</v>
      </c>
      <c r="L354" s="7">
        <v>65.75</v>
      </c>
      <c r="M354" s="7">
        <v>-0.08</v>
      </c>
      <c r="N354" s="7">
        <v>12239.0</v>
      </c>
      <c r="O354" s="7">
        <v>3181298.0</v>
      </c>
      <c r="P354" s="7" t="s">
        <v>409</v>
      </c>
      <c r="Q354" s="7">
        <v>704.56</v>
      </c>
      <c r="R354" s="3">
        <f t="shared" si="1"/>
        <v>704.56</v>
      </c>
    </row>
    <row r="355" ht="22.5" customHeight="1">
      <c r="B355" s="7" t="s">
        <v>198</v>
      </c>
      <c r="C355" s="7">
        <v>2943830.0</v>
      </c>
      <c r="D355" s="7">
        <v>1.0335595E7</v>
      </c>
      <c r="E355" s="7">
        <v>541346.0</v>
      </c>
      <c r="F355" s="7">
        <v>514118.0</v>
      </c>
      <c r="G355" s="7">
        <v>7859305.0</v>
      </c>
      <c r="H355" s="7">
        <v>3.067937691E9</v>
      </c>
      <c r="I355" s="7">
        <v>28789.0</v>
      </c>
      <c r="J355" s="7">
        <v>28351.0</v>
      </c>
      <c r="K355" s="7">
        <v>438.0</v>
      </c>
      <c r="L355" s="7">
        <v>32.57</v>
      </c>
      <c r="M355" s="7">
        <v>-0.17</v>
      </c>
      <c r="N355" s="7">
        <v>750.0</v>
      </c>
      <c r="O355" s="7">
        <v>1144862.0</v>
      </c>
      <c r="P355" s="7" t="s">
        <v>410</v>
      </c>
      <c r="Q355" s="7">
        <v>1692.26</v>
      </c>
      <c r="R355" s="3">
        <f t="shared" si="1"/>
        <v>1692.26</v>
      </c>
    </row>
    <row r="356" ht="22.5" customHeight="1">
      <c r="B356" s="7" t="s">
        <v>98</v>
      </c>
      <c r="C356" s="7">
        <v>1579557.0</v>
      </c>
      <c r="D356" s="7">
        <v>5889425.0</v>
      </c>
      <c r="E356" s="7">
        <v>143070.0</v>
      </c>
      <c r="F356" s="7">
        <v>139023.0</v>
      </c>
      <c r="G356" s="7">
        <v>3.9232291E7</v>
      </c>
      <c r="H356" s="7">
        <v>5.31043559E8</v>
      </c>
      <c r="I356" s="7">
        <v>9767.0</v>
      </c>
      <c r="J356" s="7">
        <v>9689.0</v>
      </c>
      <c r="K356" s="7">
        <v>78.0</v>
      </c>
      <c r="L356" s="7">
        <v>11.62</v>
      </c>
      <c r="M356" s="7">
        <v>-0.23</v>
      </c>
      <c r="N356" s="7">
        <v>170.0</v>
      </c>
      <c r="O356" s="7">
        <v>1.2045617E7</v>
      </c>
      <c r="P356" s="7" t="s">
        <v>409</v>
      </c>
      <c r="Q356" s="7">
        <v>396.61</v>
      </c>
      <c r="R356" s="3">
        <f t="shared" si="1"/>
        <v>396.61</v>
      </c>
    </row>
    <row r="357" ht="22.5" customHeight="1">
      <c r="B357" s="7" t="s">
        <v>29</v>
      </c>
      <c r="C357" s="7">
        <v>76668.0</v>
      </c>
      <c r="D357" s="7">
        <v>639201.0</v>
      </c>
      <c r="E357" s="7">
        <v>126321.0</v>
      </c>
      <c r="F357" s="7">
        <v>49069.0</v>
      </c>
      <c r="G357" s="7">
        <v>1312066.0</v>
      </c>
      <c r="H357" s="7">
        <v>1.83271477E8</v>
      </c>
      <c r="I357" s="7">
        <v>1298.0</v>
      </c>
      <c r="J357" s="7">
        <v>1161.0</v>
      </c>
      <c r="K357" s="7">
        <v>137.0</v>
      </c>
      <c r="L357" s="7">
        <v>1689.43</v>
      </c>
      <c r="M357" s="7">
        <v>-0.09</v>
      </c>
      <c r="N357" s="7">
        <v>185.0</v>
      </c>
      <c r="O357" s="7">
        <v>181307.0</v>
      </c>
      <c r="P357" s="7" t="s">
        <v>409</v>
      </c>
      <c r="Q357" s="7">
        <v>50.46</v>
      </c>
      <c r="R357" s="3">
        <f t="shared" si="1"/>
        <v>50.46</v>
      </c>
    </row>
    <row r="358" ht="22.5" customHeight="1">
      <c r="B358" s="7" t="s">
        <v>52</v>
      </c>
      <c r="C358" s="7">
        <v>97675.0</v>
      </c>
      <c r="D358" s="7">
        <v>809532.0</v>
      </c>
      <c r="E358" s="7">
        <v>227133.0</v>
      </c>
      <c r="F358" s="7">
        <v>97077.0</v>
      </c>
      <c r="G358" s="7">
        <v>2271568.0</v>
      </c>
      <c r="H358" s="7">
        <v>3.32355633E8</v>
      </c>
      <c r="I358" s="7">
        <v>1554.0</v>
      </c>
      <c r="J358" s="7">
        <v>1162.0</v>
      </c>
      <c r="K358" s="7">
        <v>392.0</v>
      </c>
      <c r="L358" s="7">
        <v>1548.17</v>
      </c>
      <c r="M358" s="7">
        <v>-0.07</v>
      </c>
      <c r="N358" s="7">
        <v>552.0</v>
      </c>
      <c r="O358" s="7">
        <v>211893.0</v>
      </c>
      <c r="P358" s="7" t="s">
        <v>409</v>
      </c>
      <c r="Q358" s="7">
        <v>101.42</v>
      </c>
      <c r="R358" s="3">
        <f t="shared" si="1"/>
        <v>101.42</v>
      </c>
    </row>
    <row r="359" ht="22.5" customHeight="1">
      <c r="B359" s="7" t="s">
        <v>399</v>
      </c>
      <c r="C359" s="7">
        <v>314295.0</v>
      </c>
      <c r="D359" s="7">
        <v>1258522.0</v>
      </c>
      <c r="E359" s="7">
        <v>6146558.0</v>
      </c>
      <c r="F359" s="7">
        <v>5968056.0</v>
      </c>
      <c r="G359" s="7">
        <v>2.2416351E7</v>
      </c>
      <c r="H359" s="7">
        <v>1.0520253305E10</v>
      </c>
      <c r="I359" s="7">
        <v>312829.0</v>
      </c>
      <c r="J359" s="7">
        <v>305622.0</v>
      </c>
      <c r="K359" s="7">
        <v>7207.0</v>
      </c>
      <c r="L359" s="7">
        <v>55.66</v>
      </c>
      <c r="M359" s="7">
        <v>-0.15</v>
      </c>
      <c r="N359" s="7">
        <v>11408.0</v>
      </c>
      <c r="O359" s="7">
        <v>4411721.0</v>
      </c>
      <c r="P359" s="7" t="s">
        <v>411</v>
      </c>
      <c r="Q359" s="7">
        <v>5003.81</v>
      </c>
      <c r="R359" s="3">
        <f t="shared" si="1"/>
        <v>10000</v>
      </c>
    </row>
    <row r="360" ht="22.5" customHeight="1">
      <c r="B360" s="7" t="s">
        <v>400</v>
      </c>
      <c r="C360" s="7">
        <v>302576.0</v>
      </c>
      <c r="D360" s="7">
        <v>1702428.0</v>
      </c>
      <c r="E360" s="7">
        <v>1.8839013E7</v>
      </c>
      <c r="F360" s="7">
        <v>1.8325579E7</v>
      </c>
      <c r="G360" s="7">
        <v>1.155039006E9</v>
      </c>
      <c r="H360" s="7">
        <v>1.2823335829E10</v>
      </c>
      <c r="I360" s="7">
        <v>385857.0</v>
      </c>
      <c r="J360" s="7">
        <v>355686.0</v>
      </c>
      <c r="K360" s="7">
        <v>30171.0</v>
      </c>
      <c r="L360" s="7">
        <v>106.59</v>
      </c>
      <c r="M360" s="7">
        <v>-0.09</v>
      </c>
      <c r="N360" s="7">
        <v>46922.0</v>
      </c>
      <c r="O360" s="7">
        <v>1.40500951E8</v>
      </c>
      <c r="P360" s="7" t="s">
        <v>411</v>
      </c>
      <c r="Q360" s="7">
        <v>5004.36</v>
      </c>
      <c r="R360" s="3">
        <f t="shared" si="1"/>
        <v>10000</v>
      </c>
    </row>
    <row r="361" ht="22.5" customHeight="1">
      <c r="B361" s="7" t="s">
        <v>37</v>
      </c>
      <c r="C361" s="7">
        <v>270120.0</v>
      </c>
      <c r="D361" s="7">
        <v>1227441.0</v>
      </c>
      <c r="E361" s="7">
        <v>36134.0</v>
      </c>
      <c r="F361" s="7">
        <v>31157.0</v>
      </c>
      <c r="G361" s="7">
        <v>190473.0</v>
      </c>
      <c r="H361" s="7">
        <v>1.00844889E8</v>
      </c>
      <c r="I361" s="7">
        <v>991.0</v>
      </c>
      <c r="J361" s="7">
        <v>949.0</v>
      </c>
      <c r="K361" s="7">
        <v>42.0</v>
      </c>
      <c r="L361" s="7">
        <v>148.03</v>
      </c>
      <c r="M361" s="7">
        <v>-0.08</v>
      </c>
      <c r="N361" s="7">
        <v>67.0</v>
      </c>
      <c r="O361" s="7">
        <v>43796.0</v>
      </c>
      <c r="P361" s="7" t="s">
        <v>409</v>
      </c>
      <c r="Q361" s="7">
        <v>25.44</v>
      </c>
      <c r="R361" s="3">
        <f t="shared" si="1"/>
        <v>25.44</v>
      </c>
    </row>
    <row r="362" ht="22.5" customHeight="1">
      <c r="B362" s="7" t="s">
        <v>401</v>
      </c>
      <c r="C362" s="7">
        <v>269416.0</v>
      </c>
      <c r="D362" s="7">
        <v>1214079.0</v>
      </c>
      <c r="E362" s="7">
        <v>2.3830593E7</v>
      </c>
      <c r="F362" s="7">
        <v>2.3370772E7</v>
      </c>
      <c r="G362" s="7">
        <v>4.5469596E7</v>
      </c>
      <c r="H362" s="7">
        <v>6.93687896E9</v>
      </c>
      <c r="I362" s="7">
        <v>871792.0</v>
      </c>
      <c r="J362" s="7">
        <v>840824.0</v>
      </c>
      <c r="K362" s="7">
        <v>30968.0</v>
      </c>
      <c r="L362" s="7">
        <v>42.77</v>
      </c>
      <c r="M362" s="7">
        <v>-0.06</v>
      </c>
      <c r="N362" s="7">
        <v>47726.0</v>
      </c>
      <c r="O362" s="7">
        <v>1.1124324E7</v>
      </c>
      <c r="P362" s="7" t="s">
        <v>411</v>
      </c>
      <c r="Q362" s="7">
        <v>5003.85</v>
      </c>
      <c r="R362" s="3">
        <f t="shared" si="1"/>
        <v>10000</v>
      </c>
    </row>
    <row r="363" ht="22.5" customHeight="1">
      <c r="B363" s="7" t="s">
        <v>56</v>
      </c>
      <c r="C363" s="7">
        <v>600.0</v>
      </c>
      <c r="D363" s="7">
        <v>16790.0</v>
      </c>
      <c r="E363" s="7">
        <v>168478.0</v>
      </c>
      <c r="F363" s="7">
        <v>167073.0</v>
      </c>
      <c r="G363" s="7">
        <v>276822.0</v>
      </c>
      <c r="H363" s="7">
        <v>1.2410938E7</v>
      </c>
      <c r="I363" s="7">
        <v>8799.0</v>
      </c>
      <c r="J363" s="7">
        <v>8544.0</v>
      </c>
      <c r="K363" s="7">
        <v>255.0</v>
      </c>
      <c r="L363" s="7">
        <v>20.14</v>
      </c>
      <c r="M363" s="7">
        <v>-0.07</v>
      </c>
      <c r="N363" s="7">
        <v>386.0</v>
      </c>
      <c r="O363" s="7">
        <v>65836.0</v>
      </c>
      <c r="P363" s="7" t="s">
        <v>409</v>
      </c>
      <c r="Q363" s="7">
        <v>14.24</v>
      </c>
      <c r="R363" s="3">
        <f t="shared" si="1"/>
        <v>14.24</v>
      </c>
    </row>
    <row r="364" ht="22.5" customHeight="1">
      <c r="B364" s="7" t="s">
        <v>31</v>
      </c>
      <c r="C364" s="7">
        <v>600.0</v>
      </c>
      <c r="D364" s="7">
        <v>16668.0</v>
      </c>
      <c r="E364" s="7">
        <v>159294.0</v>
      </c>
      <c r="F364" s="7">
        <v>157777.0</v>
      </c>
      <c r="G364" s="7">
        <v>288151.0</v>
      </c>
      <c r="H364" s="7">
        <v>1.1103096E7</v>
      </c>
      <c r="I364" s="7">
        <v>9065.0</v>
      </c>
      <c r="J364" s="7">
        <v>8849.0</v>
      </c>
      <c r="K364" s="7">
        <v>216.0</v>
      </c>
      <c r="L364" s="7">
        <v>19.7</v>
      </c>
      <c r="M364" s="7">
        <v>-0.08</v>
      </c>
      <c r="N364" s="7">
        <v>333.0</v>
      </c>
      <c r="O364" s="7">
        <v>65782.0</v>
      </c>
      <c r="P364" s="7" t="s">
        <v>409</v>
      </c>
      <c r="Q364" s="7">
        <v>12.44</v>
      </c>
      <c r="R364" s="3">
        <f t="shared" si="1"/>
        <v>12.44</v>
      </c>
    </row>
    <row r="365" ht="22.5" customHeight="1">
      <c r="B365" s="7" t="s">
        <v>38</v>
      </c>
      <c r="C365" s="7">
        <v>679.0</v>
      </c>
      <c r="D365" s="7">
        <v>18374.0</v>
      </c>
      <c r="E365" s="7">
        <v>54736.0</v>
      </c>
      <c r="F365" s="7">
        <v>54139.0</v>
      </c>
      <c r="G365" s="7">
        <v>93812.0</v>
      </c>
      <c r="H365" s="7">
        <v>3682266.0</v>
      </c>
      <c r="I365" s="7">
        <v>2104.0</v>
      </c>
      <c r="J365" s="7">
        <v>1999.0</v>
      </c>
      <c r="K365" s="7">
        <v>105.0</v>
      </c>
      <c r="L365" s="7">
        <v>20.84</v>
      </c>
      <c r="M365" s="7">
        <v>-0.07</v>
      </c>
      <c r="N365" s="7">
        <v>159.0</v>
      </c>
      <c r="O365" s="7">
        <v>18819.0</v>
      </c>
      <c r="P365" s="7" t="s">
        <v>409</v>
      </c>
      <c r="Q365" s="7">
        <v>2.94</v>
      </c>
      <c r="R365" s="3">
        <f t="shared" si="1"/>
        <v>2.94</v>
      </c>
    </row>
    <row r="366" ht="22.5" customHeight="1">
      <c r="B366" s="7" t="s">
        <v>35</v>
      </c>
      <c r="C366" s="7">
        <v>679.0</v>
      </c>
      <c r="D366" s="7">
        <v>18401.0</v>
      </c>
      <c r="E366" s="7">
        <v>635144.0</v>
      </c>
      <c r="F366" s="7">
        <v>629657.0</v>
      </c>
      <c r="G366" s="7">
        <v>1098842.0</v>
      </c>
      <c r="H366" s="7">
        <v>5.7874954E7</v>
      </c>
      <c r="I366" s="7">
        <v>37538.0</v>
      </c>
      <c r="J366" s="7">
        <v>36686.0</v>
      </c>
      <c r="K366" s="7">
        <v>852.0</v>
      </c>
      <c r="L366" s="7">
        <v>21.11</v>
      </c>
      <c r="M366" s="7">
        <v>-0.07</v>
      </c>
      <c r="N366" s="7">
        <v>1307.0</v>
      </c>
      <c r="O366" s="7">
        <v>256392.0</v>
      </c>
      <c r="P366" s="7" t="s">
        <v>409</v>
      </c>
      <c r="Q366" s="7">
        <v>93.54</v>
      </c>
      <c r="R366" s="3">
        <f t="shared" si="1"/>
        <v>93.54</v>
      </c>
    </row>
    <row r="367" ht="22.5" customHeight="1">
      <c r="B367" s="7" t="s">
        <v>70</v>
      </c>
      <c r="C367" s="7">
        <v>679.0</v>
      </c>
      <c r="D367" s="7">
        <v>18422.0</v>
      </c>
      <c r="E367" s="7">
        <v>831712.0</v>
      </c>
      <c r="F367" s="7">
        <v>825306.0</v>
      </c>
      <c r="G367" s="7">
        <v>1341848.0</v>
      </c>
      <c r="H367" s="7">
        <v>7.4362881E7</v>
      </c>
      <c r="I367" s="7">
        <v>39461.0</v>
      </c>
      <c r="J367" s="7">
        <v>38080.0</v>
      </c>
      <c r="K367" s="7">
        <v>1381.0</v>
      </c>
      <c r="L367" s="7">
        <v>21.96</v>
      </c>
      <c r="M367" s="7">
        <v>-0.06</v>
      </c>
      <c r="N367" s="7">
        <v>2139.0</v>
      </c>
      <c r="O367" s="7">
        <v>255228.0</v>
      </c>
      <c r="P367" s="7" t="s">
        <v>409</v>
      </c>
      <c r="Q367" s="7">
        <v>128.79</v>
      </c>
      <c r="R367" s="3">
        <f t="shared" si="1"/>
        <v>128.79</v>
      </c>
    </row>
    <row r="368" ht="22.5" customHeight="1">
      <c r="B368" s="7" t="s">
        <v>75</v>
      </c>
      <c r="C368" s="7">
        <v>679.0</v>
      </c>
      <c r="D368" s="7">
        <v>18292.0</v>
      </c>
      <c r="E368" s="7">
        <v>684553.0</v>
      </c>
      <c r="F368" s="7">
        <v>679042.0</v>
      </c>
      <c r="G368" s="7">
        <v>1141672.0</v>
      </c>
      <c r="H368" s="7">
        <v>6.0585259E7</v>
      </c>
      <c r="I368" s="7">
        <v>37508.0</v>
      </c>
      <c r="J368" s="7">
        <v>36536.0</v>
      </c>
      <c r="K368" s="7">
        <v>972.0</v>
      </c>
      <c r="L368" s="7">
        <v>21.61</v>
      </c>
      <c r="M368" s="7">
        <v>-0.06</v>
      </c>
      <c r="N368" s="7">
        <v>1504.0</v>
      </c>
      <c r="O368" s="7">
        <v>258998.0</v>
      </c>
      <c r="P368" s="7" t="s">
        <v>409</v>
      </c>
      <c r="Q368" s="7">
        <v>99.52</v>
      </c>
      <c r="R368" s="3">
        <f t="shared" si="1"/>
        <v>99.52</v>
      </c>
    </row>
    <row r="369" ht="22.5" customHeight="1">
      <c r="B369" s="7" t="s">
        <v>95</v>
      </c>
      <c r="C369" s="7">
        <v>686.0</v>
      </c>
      <c r="D369" s="7">
        <v>19093.0</v>
      </c>
      <c r="E369" s="7">
        <v>237368.0</v>
      </c>
      <c r="F369" s="7">
        <v>235254.0</v>
      </c>
      <c r="G369" s="7">
        <v>375406.0</v>
      </c>
      <c r="H369" s="7">
        <v>1.9317167E7</v>
      </c>
      <c r="I369" s="7">
        <v>9286.0</v>
      </c>
      <c r="J369" s="7">
        <v>8834.0</v>
      </c>
      <c r="K369" s="7">
        <v>452.0</v>
      </c>
      <c r="L369" s="7">
        <v>21.27</v>
      </c>
      <c r="M369" s="7">
        <v>-0.06</v>
      </c>
      <c r="N369" s="7">
        <v>689.0</v>
      </c>
      <c r="O369" s="7">
        <v>67966.0</v>
      </c>
      <c r="P369" s="7" t="s">
        <v>409</v>
      </c>
      <c r="Q369" s="7">
        <v>21.7</v>
      </c>
      <c r="R369" s="3">
        <f t="shared" si="1"/>
        <v>21.7</v>
      </c>
    </row>
    <row r="370" ht="22.5" customHeight="1">
      <c r="B370" s="7" t="s">
        <v>122</v>
      </c>
      <c r="C370" s="7">
        <v>687.0</v>
      </c>
      <c r="D370" s="7">
        <v>19618.0</v>
      </c>
      <c r="E370" s="7">
        <v>793495.0</v>
      </c>
      <c r="F370" s="7">
        <v>787205.0</v>
      </c>
      <c r="G370" s="7">
        <v>1264992.0</v>
      </c>
      <c r="H370" s="7">
        <v>7.4048246E7</v>
      </c>
      <c r="I370" s="7">
        <v>34811.0</v>
      </c>
      <c r="J370" s="7">
        <v>33548.0</v>
      </c>
      <c r="K370" s="7">
        <v>1263.0</v>
      </c>
      <c r="L370" s="7">
        <v>22.14</v>
      </c>
      <c r="M370" s="7">
        <v>-0.06</v>
      </c>
      <c r="N370" s="7">
        <v>1962.0</v>
      </c>
      <c r="O370" s="7">
        <v>268628.0</v>
      </c>
      <c r="P370" s="7" t="s">
        <v>409</v>
      </c>
      <c r="Q370" s="7">
        <v>131.87</v>
      </c>
      <c r="R370" s="3">
        <f t="shared" si="1"/>
        <v>131.87</v>
      </c>
    </row>
    <row r="371" ht="22.5" customHeight="1">
      <c r="B371" s="7" t="s">
        <v>96</v>
      </c>
      <c r="C371" s="7">
        <v>686.0</v>
      </c>
      <c r="D371" s="7">
        <v>19096.0</v>
      </c>
      <c r="E371" s="7">
        <v>764693.0</v>
      </c>
      <c r="F371" s="7">
        <v>758710.0</v>
      </c>
      <c r="G371" s="7">
        <v>1239343.0</v>
      </c>
      <c r="H371" s="7">
        <v>7.1300013E7</v>
      </c>
      <c r="I371" s="7">
        <v>37983.0</v>
      </c>
      <c r="J371" s="7">
        <v>36805.0</v>
      </c>
      <c r="K371" s="7">
        <v>1178.0</v>
      </c>
      <c r="L371" s="7">
        <v>21.37</v>
      </c>
      <c r="M371" s="7">
        <v>-0.06</v>
      </c>
      <c r="N371" s="7">
        <v>1833.0</v>
      </c>
      <c r="O371" s="7">
        <v>255827.0</v>
      </c>
      <c r="P371" s="7" t="s">
        <v>409</v>
      </c>
      <c r="Q371" s="7">
        <v>134.9</v>
      </c>
      <c r="R371" s="3">
        <f t="shared" si="1"/>
        <v>134.9</v>
      </c>
    </row>
    <row r="372" ht="22.5" customHeight="1">
      <c r="B372" s="7" t="s">
        <v>76</v>
      </c>
      <c r="C372" s="7">
        <v>687.0</v>
      </c>
      <c r="D372" s="7">
        <v>19681.0</v>
      </c>
      <c r="E372" s="7">
        <v>843443.0</v>
      </c>
      <c r="F372" s="7">
        <v>837755.0</v>
      </c>
      <c r="G372" s="7">
        <v>1317283.0</v>
      </c>
      <c r="H372" s="7">
        <v>8.292827E7</v>
      </c>
      <c r="I372" s="7">
        <v>36563.0</v>
      </c>
      <c r="J372" s="7">
        <v>35177.0</v>
      </c>
      <c r="K372" s="7">
        <v>1386.0</v>
      </c>
      <c r="L372" s="7">
        <v>22.78</v>
      </c>
      <c r="M372" s="7">
        <v>-0.05</v>
      </c>
      <c r="N372" s="7">
        <v>2162.0</v>
      </c>
      <c r="O372" s="7">
        <v>259606.0</v>
      </c>
      <c r="P372" s="7" t="s">
        <v>409</v>
      </c>
      <c r="Q372" s="7">
        <v>157.7</v>
      </c>
      <c r="R372" s="3">
        <f t="shared" si="1"/>
        <v>157.7</v>
      </c>
    </row>
    <row r="373" ht="22.5" customHeight="1">
      <c r="B373" s="7" t="s">
        <v>141</v>
      </c>
      <c r="C373" s="7">
        <v>827.0</v>
      </c>
      <c r="D373" s="7">
        <v>20662.0</v>
      </c>
      <c r="E373" s="7">
        <v>581617.0</v>
      </c>
      <c r="F373" s="7">
        <v>576111.0</v>
      </c>
      <c r="G373" s="7">
        <v>1093088.0</v>
      </c>
      <c r="H373" s="7">
        <v>5.235079E7</v>
      </c>
      <c r="I373" s="7">
        <v>38597.0</v>
      </c>
      <c r="J373" s="7">
        <v>37926.0</v>
      </c>
      <c r="K373" s="7">
        <v>671.0</v>
      </c>
      <c r="L373" s="7">
        <v>22.76</v>
      </c>
      <c r="M373" s="7">
        <v>-0.08</v>
      </c>
      <c r="N373" s="7">
        <v>1044.0</v>
      </c>
      <c r="O373" s="7">
        <v>252331.0</v>
      </c>
      <c r="P373" s="7" t="s">
        <v>409</v>
      </c>
      <c r="Q373" s="7">
        <v>83.44</v>
      </c>
      <c r="R373" s="3">
        <f t="shared" si="1"/>
        <v>83.44</v>
      </c>
    </row>
    <row r="374" ht="22.5" customHeight="1">
      <c r="B374" s="7" t="s">
        <v>69</v>
      </c>
      <c r="C374" s="7">
        <v>827.0</v>
      </c>
      <c r="D374" s="7">
        <v>20629.0</v>
      </c>
      <c r="E374" s="7">
        <v>1416651.0</v>
      </c>
      <c r="F374" s="7">
        <v>1405507.0</v>
      </c>
      <c r="G374" s="7">
        <v>2489809.0</v>
      </c>
      <c r="H374" s="7">
        <v>1.49740556E8</v>
      </c>
      <c r="I374" s="7">
        <v>81317.0</v>
      </c>
      <c r="J374" s="7">
        <v>79249.0</v>
      </c>
      <c r="K374" s="7">
        <v>2068.0</v>
      </c>
      <c r="L374" s="7">
        <v>24.83</v>
      </c>
      <c r="M374" s="7">
        <v>-0.07</v>
      </c>
      <c r="N374" s="7">
        <v>3119.0</v>
      </c>
      <c r="O374" s="7">
        <v>548833.0</v>
      </c>
      <c r="P374" s="7" t="s">
        <v>409</v>
      </c>
      <c r="Q374" s="7">
        <v>326.48</v>
      </c>
      <c r="R374" s="3">
        <f t="shared" si="1"/>
        <v>326.48</v>
      </c>
    </row>
    <row r="375" ht="22.5" customHeight="1">
      <c r="B375" s="7" t="s">
        <v>117</v>
      </c>
      <c r="C375" s="7">
        <v>827.0</v>
      </c>
      <c r="D375" s="7">
        <v>20669.0</v>
      </c>
      <c r="E375" s="7">
        <v>2194979.0</v>
      </c>
      <c r="F375" s="7">
        <v>2174959.0</v>
      </c>
      <c r="G375" s="7">
        <v>4069398.0</v>
      </c>
      <c r="H375" s="7">
        <v>2.40346183E8</v>
      </c>
      <c r="I375" s="7">
        <v>143454.0</v>
      </c>
      <c r="J375" s="7">
        <v>141086.0</v>
      </c>
      <c r="K375" s="7">
        <v>2368.0</v>
      </c>
      <c r="L375" s="7">
        <v>22.65</v>
      </c>
      <c r="M375" s="7">
        <v>-0.08</v>
      </c>
      <c r="N375" s="7">
        <v>3648.0</v>
      </c>
      <c r="O375" s="7">
        <v>1027012.0</v>
      </c>
      <c r="P375" s="7" t="s">
        <v>409</v>
      </c>
      <c r="Q375" s="7">
        <v>867.06</v>
      </c>
      <c r="R375" s="3">
        <f t="shared" si="1"/>
        <v>867.06</v>
      </c>
    </row>
    <row r="376" ht="22.5" customHeight="1">
      <c r="B376" s="7" t="s">
        <v>107</v>
      </c>
      <c r="C376" s="7">
        <v>827.0</v>
      </c>
      <c r="D376" s="7">
        <v>20730.0</v>
      </c>
      <c r="E376" s="7">
        <v>893268.0</v>
      </c>
      <c r="F376" s="7">
        <v>886245.0</v>
      </c>
      <c r="G376" s="7">
        <v>1417056.0</v>
      </c>
      <c r="H376" s="7">
        <v>9.6510436E7</v>
      </c>
      <c r="I376" s="7">
        <v>37313.0</v>
      </c>
      <c r="J376" s="7">
        <v>35803.0</v>
      </c>
      <c r="K376" s="7">
        <v>1510.0</v>
      </c>
      <c r="L376" s="7">
        <v>23.11</v>
      </c>
      <c r="M376" s="7">
        <v>-0.05</v>
      </c>
      <c r="N376" s="7">
        <v>2363.0</v>
      </c>
      <c r="O376" s="7">
        <v>261192.0</v>
      </c>
      <c r="P376" s="7" t="s">
        <v>409</v>
      </c>
      <c r="Q376" s="7">
        <v>164.22</v>
      </c>
      <c r="R376" s="3">
        <f t="shared" si="1"/>
        <v>164.22</v>
      </c>
    </row>
    <row r="377" ht="22.5" customHeight="1">
      <c r="B377" s="7" t="s">
        <v>153</v>
      </c>
      <c r="C377" s="7">
        <v>895.0</v>
      </c>
      <c r="D377" s="7">
        <v>20751.0</v>
      </c>
      <c r="E377" s="7">
        <v>2909763.0</v>
      </c>
      <c r="F377" s="7">
        <v>2890032.0</v>
      </c>
      <c r="G377" s="7">
        <v>4452478.0</v>
      </c>
      <c r="H377" s="7">
        <v>3.47201316E8</v>
      </c>
      <c r="I377" s="7">
        <v>137306.0</v>
      </c>
      <c r="J377" s="7">
        <v>132917.0</v>
      </c>
      <c r="K377" s="7">
        <v>4389.0</v>
      </c>
      <c r="L377" s="7">
        <v>25.41</v>
      </c>
      <c r="M377" s="7">
        <v>-0.05</v>
      </c>
      <c r="N377" s="7">
        <v>6769.0</v>
      </c>
      <c r="O377" s="7">
        <v>1043875.0</v>
      </c>
      <c r="P377" s="7" t="s">
        <v>409</v>
      </c>
      <c r="Q377" s="7">
        <v>945.49</v>
      </c>
      <c r="R377" s="3">
        <f t="shared" si="1"/>
        <v>945.49</v>
      </c>
    </row>
    <row r="378" ht="22.5" customHeight="1">
      <c r="B378" s="7" t="s">
        <v>45</v>
      </c>
      <c r="C378" s="7">
        <v>895.0</v>
      </c>
      <c r="D378" s="7">
        <v>20847.0</v>
      </c>
      <c r="E378" s="7">
        <v>2333943.0</v>
      </c>
      <c r="F378" s="7">
        <v>2315117.0</v>
      </c>
      <c r="G378" s="7">
        <v>3919407.0</v>
      </c>
      <c r="H378" s="7">
        <v>2.50926101E8</v>
      </c>
      <c r="I378" s="7">
        <v>137527.0</v>
      </c>
      <c r="J378" s="7">
        <v>134830.0</v>
      </c>
      <c r="K378" s="7">
        <v>2697.0</v>
      </c>
      <c r="L378" s="7">
        <v>25.04</v>
      </c>
      <c r="M378" s="7">
        <v>-0.06</v>
      </c>
      <c r="N378" s="7">
        <v>4191.0</v>
      </c>
      <c r="O378" s="7">
        <v>1037709.0</v>
      </c>
      <c r="P378" s="7" t="s">
        <v>409</v>
      </c>
      <c r="Q378" s="7">
        <v>744.61</v>
      </c>
      <c r="R378" s="3">
        <f t="shared" si="1"/>
        <v>744.61</v>
      </c>
    </row>
    <row r="379" ht="22.5" customHeight="1">
      <c r="B379" s="7" t="s">
        <v>124</v>
      </c>
      <c r="C379" s="7">
        <v>895.0</v>
      </c>
      <c r="D379" s="7">
        <v>20756.0</v>
      </c>
      <c r="E379" s="7">
        <v>2477625.0</v>
      </c>
      <c r="F379" s="7">
        <v>2458362.0</v>
      </c>
      <c r="G379" s="7">
        <v>4061634.0</v>
      </c>
      <c r="H379" s="7">
        <v>2.76044467E8</v>
      </c>
      <c r="I379" s="7">
        <v>138215.0</v>
      </c>
      <c r="J379" s="7">
        <v>135086.0</v>
      </c>
      <c r="K379" s="7">
        <v>3129.0</v>
      </c>
      <c r="L379" s="7">
        <v>25.27</v>
      </c>
      <c r="M379" s="7">
        <v>-0.06</v>
      </c>
      <c r="N379" s="7">
        <v>4844.0</v>
      </c>
      <c r="O379" s="7">
        <v>1048305.0</v>
      </c>
      <c r="P379" s="7" t="s">
        <v>409</v>
      </c>
      <c r="Q379" s="7">
        <v>712.78</v>
      </c>
      <c r="R379" s="3">
        <f t="shared" si="1"/>
        <v>712.78</v>
      </c>
    </row>
    <row r="380" ht="22.5" customHeight="1">
      <c r="B380" s="7" t="s">
        <v>123</v>
      </c>
      <c r="C380" s="7">
        <v>895.0</v>
      </c>
      <c r="D380" s="7">
        <v>20818.0</v>
      </c>
      <c r="E380" s="7">
        <v>2204059.0</v>
      </c>
      <c r="F380" s="7">
        <v>2183810.0</v>
      </c>
      <c r="G380" s="7">
        <v>3996801.0</v>
      </c>
      <c r="H380" s="7">
        <v>2.37658958E8</v>
      </c>
      <c r="I380" s="7">
        <v>133431.0</v>
      </c>
      <c r="J380" s="7">
        <v>131173.0</v>
      </c>
      <c r="K380" s="7">
        <v>2258.0</v>
      </c>
      <c r="L380" s="7">
        <v>23.7</v>
      </c>
      <c r="M380" s="7">
        <v>-0.07</v>
      </c>
      <c r="N380" s="7">
        <v>3552.0</v>
      </c>
      <c r="O380" s="7">
        <v>1053554.0</v>
      </c>
      <c r="P380" s="7" t="s">
        <v>409</v>
      </c>
      <c r="Q380" s="7">
        <v>681.94</v>
      </c>
      <c r="R380" s="3">
        <f t="shared" si="1"/>
        <v>681.94</v>
      </c>
    </row>
    <row r="381" ht="22.5" customHeight="1">
      <c r="B381" s="7" t="s">
        <v>240</v>
      </c>
      <c r="C381" s="7">
        <v>984.0</v>
      </c>
      <c r="D381" s="7">
        <v>22937.0</v>
      </c>
      <c r="E381" s="7">
        <v>3176668.0</v>
      </c>
      <c r="F381" s="7">
        <v>3153910.0</v>
      </c>
      <c r="G381" s="7">
        <v>5133857.0</v>
      </c>
      <c r="H381" s="7">
        <v>4.79239894E8</v>
      </c>
      <c r="I381" s="7">
        <v>139257.0</v>
      </c>
      <c r="J381" s="7">
        <v>134408.0</v>
      </c>
      <c r="K381" s="7">
        <v>4849.0</v>
      </c>
      <c r="L381" s="7">
        <v>26.38</v>
      </c>
      <c r="M381" s="7">
        <v>-0.05</v>
      </c>
      <c r="N381" s="7">
        <v>7640.0</v>
      </c>
      <c r="O381" s="7">
        <v>1051008.0</v>
      </c>
      <c r="P381" s="7" t="s">
        <v>409</v>
      </c>
      <c r="Q381" s="7">
        <v>1206.3</v>
      </c>
      <c r="R381" s="3">
        <f t="shared" si="1"/>
        <v>1206.3</v>
      </c>
    </row>
    <row r="382" ht="22.5" customHeight="1">
      <c r="B382" s="7" t="s">
        <v>211</v>
      </c>
      <c r="C382" s="7">
        <v>1046.0</v>
      </c>
      <c r="D382" s="7">
        <v>22804.0</v>
      </c>
      <c r="E382" s="7">
        <v>8126851.0</v>
      </c>
      <c r="F382" s="7">
        <v>8069960.0</v>
      </c>
      <c r="G382" s="7">
        <v>1.5102332E7</v>
      </c>
      <c r="H382" s="7">
        <v>1.108592911E9</v>
      </c>
      <c r="I382" s="7">
        <v>526341.0</v>
      </c>
      <c r="J382" s="7">
        <v>518567.0</v>
      </c>
      <c r="K382" s="7">
        <v>7774.0</v>
      </c>
      <c r="L382" s="7">
        <v>28.26</v>
      </c>
      <c r="M382" s="7">
        <v>-0.07</v>
      </c>
      <c r="N382" s="7">
        <v>11975.0</v>
      </c>
      <c r="O382" s="7">
        <v>4115489.0</v>
      </c>
      <c r="P382" s="7" t="s">
        <v>411</v>
      </c>
      <c r="Q382" s="7">
        <v>5003.88</v>
      </c>
      <c r="R382" s="3">
        <f t="shared" si="1"/>
        <v>10000</v>
      </c>
    </row>
    <row r="383" ht="22.5" customHeight="1">
      <c r="B383" s="7" t="s">
        <v>62</v>
      </c>
      <c r="C383" s="7">
        <v>1085.0</v>
      </c>
      <c r="D383" s="7">
        <v>25464.0</v>
      </c>
      <c r="E383" s="7">
        <v>1.011944E7</v>
      </c>
      <c r="F383" s="7">
        <v>1.0040193E7</v>
      </c>
      <c r="G383" s="7">
        <v>1.9644787E7</v>
      </c>
      <c r="H383" s="7">
        <v>1.415742197E9</v>
      </c>
      <c r="I383" s="7">
        <v>488469.0</v>
      </c>
      <c r="J383" s="7">
        <v>475248.0</v>
      </c>
      <c r="K383" s="7">
        <v>13221.0</v>
      </c>
      <c r="L383" s="7">
        <v>31.99</v>
      </c>
      <c r="M383" s="7">
        <v>-0.06</v>
      </c>
      <c r="N383" s="7">
        <v>20389.0</v>
      </c>
      <c r="O383" s="7">
        <v>4374715.0</v>
      </c>
      <c r="P383" s="7" t="s">
        <v>411</v>
      </c>
      <c r="Q383" s="7">
        <v>5003.87</v>
      </c>
      <c r="R383" s="3">
        <f t="shared" si="1"/>
        <v>10000</v>
      </c>
    </row>
    <row r="384" ht="22.5" customHeight="1">
      <c r="B384" s="7" t="s">
        <v>402</v>
      </c>
      <c r="C384" s="7">
        <v>1110.0</v>
      </c>
      <c r="D384" s="7">
        <v>27596.0</v>
      </c>
      <c r="E384" s="7">
        <v>1.1495718E7</v>
      </c>
      <c r="F384" s="7">
        <v>1.1416676E7</v>
      </c>
      <c r="G384" s="7">
        <v>1.9746776E7</v>
      </c>
      <c r="H384" s="7">
        <v>1.544280561E9</v>
      </c>
      <c r="I384" s="7">
        <v>513798.0</v>
      </c>
      <c r="J384" s="7">
        <v>496508.0</v>
      </c>
      <c r="K384" s="7">
        <v>17290.0</v>
      </c>
      <c r="L384" s="7">
        <v>31.38</v>
      </c>
      <c r="M384" s="7">
        <v>-0.06</v>
      </c>
      <c r="N384" s="7">
        <v>26572.0</v>
      </c>
      <c r="O384" s="7">
        <v>4303627.0</v>
      </c>
      <c r="P384" s="7" t="s">
        <v>411</v>
      </c>
      <c r="Q384" s="7">
        <v>5003.85</v>
      </c>
      <c r="R384" s="3">
        <f t="shared" si="1"/>
        <v>10000</v>
      </c>
    </row>
    <row r="385" ht="22.5" customHeight="1">
      <c r="B385" s="7" t="s">
        <v>205</v>
      </c>
      <c r="C385" s="7">
        <v>2187.0</v>
      </c>
      <c r="D385" s="7">
        <v>21358.0</v>
      </c>
      <c r="E385" s="7">
        <v>8919420.0</v>
      </c>
      <c r="F385" s="7">
        <v>8889802.0</v>
      </c>
      <c r="G385" s="7">
        <v>1.1901539E7</v>
      </c>
      <c r="H385" s="7">
        <v>5.68198113E8</v>
      </c>
      <c r="I385" s="7">
        <v>447197.0</v>
      </c>
      <c r="J385" s="7">
        <v>437676.0</v>
      </c>
      <c r="K385" s="7">
        <v>9521.0</v>
      </c>
      <c r="L385" s="7">
        <v>24.04</v>
      </c>
      <c r="M385" s="7">
        <v>-0.03</v>
      </c>
      <c r="N385" s="7">
        <v>14848.0</v>
      </c>
      <c r="O385" s="7">
        <v>4305263.0</v>
      </c>
      <c r="P385" s="7" t="s">
        <v>409</v>
      </c>
      <c r="Q385" s="7">
        <v>1374.15</v>
      </c>
      <c r="R385" s="3">
        <f t="shared" si="1"/>
        <v>1374.15</v>
      </c>
    </row>
    <row r="386" ht="22.5" customHeight="1">
      <c r="B386" s="7" t="s">
        <v>250</v>
      </c>
      <c r="C386" s="7">
        <v>2187.0</v>
      </c>
      <c r="D386" s="7">
        <v>21364.0</v>
      </c>
      <c r="E386" s="7">
        <v>1.470427E7</v>
      </c>
      <c r="F386" s="7">
        <v>1.4662095E7</v>
      </c>
      <c r="G386" s="7">
        <v>1.7301255E7</v>
      </c>
      <c r="H386" s="7">
        <v>9.39752165E8</v>
      </c>
      <c r="I386" s="7">
        <v>450692.0</v>
      </c>
      <c r="J386" s="7">
        <v>425823.0</v>
      </c>
      <c r="K386" s="7">
        <v>24869.0</v>
      </c>
      <c r="L386" s="7">
        <v>22.77</v>
      </c>
      <c r="M386" s="7">
        <v>-0.02</v>
      </c>
      <c r="N386" s="7">
        <v>39099.0</v>
      </c>
      <c r="O386" s="7">
        <v>4337648.0</v>
      </c>
      <c r="P386" s="7" t="s">
        <v>410</v>
      </c>
      <c r="Q386" s="7">
        <v>2487.9</v>
      </c>
      <c r="R386" s="3">
        <f t="shared" si="1"/>
        <v>2487.9</v>
      </c>
    </row>
    <row r="387" ht="22.5" customHeight="1">
      <c r="B387" s="7" t="s">
        <v>116</v>
      </c>
      <c r="C387" s="7">
        <v>2187.0</v>
      </c>
      <c r="D387" s="7">
        <v>21286.0</v>
      </c>
      <c r="E387" s="7">
        <v>7838671.0</v>
      </c>
      <c r="F387" s="7">
        <v>7811040.0</v>
      </c>
      <c r="G387" s="7">
        <v>1.0169958E7</v>
      </c>
      <c r="H387" s="7">
        <v>4.83172667E8</v>
      </c>
      <c r="I387" s="7">
        <v>409700.0</v>
      </c>
      <c r="J387" s="7">
        <v>402381.0</v>
      </c>
      <c r="K387" s="7">
        <v>7319.0</v>
      </c>
      <c r="L387" s="7">
        <v>22.48</v>
      </c>
      <c r="M387" s="7">
        <v>-0.03</v>
      </c>
      <c r="N387" s="7">
        <v>11526.0</v>
      </c>
      <c r="O387" s="7">
        <v>4050008.0</v>
      </c>
      <c r="P387" s="7" t="s">
        <v>409</v>
      </c>
      <c r="Q387" s="7">
        <v>1476.46</v>
      </c>
      <c r="R387" s="3">
        <f t="shared" si="1"/>
        <v>1476.46</v>
      </c>
    </row>
    <row r="388" ht="22.5" customHeight="1">
      <c r="B388" s="7" t="s">
        <v>169</v>
      </c>
      <c r="C388" s="7">
        <v>2187.0</v>
      </c>
      <c r="D388" s="7">
        <v>21286.0</v>
      </c>
      <c r="E388" s="7">
        <v>9170039.0</v>
      </c>
      <c r="F388" s="7">
        <v>9139758.0</v>
      </c>
      <c r="G388" s="7">
        <v>1.155284E7</v>
      </c>
      <c r="H388" s="7">
        <v>5.66157506E8</v>
      </c>
      <c r="I388" s="7">
        <v>440628.0</v>
      </c>
      <c r="J388" s="7">
        <v>430712.0</v>
      </c>
      <c r="K388" s="7">
        <v>9916.0</v>
      </c>
      <c r="L388" s="7">
        <v>22.23</v>
      </c>
      <c r="M388" s="7">
        <v>-0.03</v>
      </c>
      <c r="N388" s="7">
        <v>15630.0</v>
      </c>
      <c r="O388" s="7">
        <v>4325467.0</v>
      </c>
      <c r="P388" s="7" t="s">
        <v>410</v>
      </c>
      <c r="Q388" s="7">
        <v>1736.57</v>
      </c>
      <c r="R388" s="3">
        <f t="shared" si="1"/>
        <v>1736.57</v>
      </c>
    </row>
    <row r="389" ht="22.5" customHeight="1">
      <c r="B389" s="7" t="s">
        <v>403</v>
      </c>
      <c r="C389" s="7">
        <v>2240.0</v>
      </c>
      <c r="D389" s="7">
        <v>8960.0</v>
      </c>
      <c r="E389" s="7">
        <v>1.27344407E8</v>
      </c>
      <c r="F389" s="7">
        <v>1.27306666E8</v>
      </c>
      <c r="G389" s="7">
        <v>8.36671844E8</v>
      </c>
      <c r="H389" s="7">
        <v>1.823789592E9</v>
      </c>
      <c r="I389" s="7">
        <v>6697986.0</v>
      </c>
      <c r="J389" s="7">
        <v>6541533.0</v>
      </c>
      <c r="K389" s="7">
        <v>156453.0</v>
      </c>
      <c r="L389" s="7">
        <v>20.57</v>
      </c>
      <c r="M389" s="7">
        <v>-0.04</v>
      </c>
      <c r="N389" s="7">
        <v>223472.0</v>
      </c>
      <c r="O389" s="7">
        <v>1.56822791E8</v>
      </c>
      <c r="P389" s="7" t="s">
        <v>411</v>
      </c>
      <c r="Q389" s="7">
        <v>5003.79</v>
      </c>
      <c r="R389" s="3">
        <f t="shared" si="1"/>
        <v>10000</v>
      </c>
    </row>
    <row r="390" ht="22.5" customHeight="1">
      <c r="B390" s="7" t="s">
        <v>114</v>
      </c>
      <c r="C390" s="7">
        <v>259258.0</v>
      </c>
      <c r="D390" s="7">
        <v>1374203.0</v>
      </c>
      <c r="E390" s="7">
        <v>537872.0</v>
      </c>
      <c r="F390" s="7">
        <v>431881.0</v>
      </c>
      <c r="G390" s="7">
        <v>4506012.0</v>
      </c>
      <c r="H390" s="7">
        <v>2.084987203E9</v>
      </c>
      <c r="I390" s="7">
        <v>17967.0</v>
      </c>
      <c r="J390" s="7">
        <v>17310.0</v>
      </c>
      <c r="K390" s="7">
        <v>657.0</v>
      </c>
      <c r="L390" s="7">
        <v>248.23</v>
      </c>
      <c r="M390" s="7">
        <v>-0.11</v>
      </c>
      <c r="N390" s="7">
        <v>958.0</v>
      </c>
      <c r="O390" s="7">
        <v>641461.0</v>
      </c>
      <c r="P390" s="7" t="s">
        <v>409</v>
      </c>
      <c r="Q390" s="7">
        <v>508.49</v>
      </c>
      <c r="R390" s="3">
        <f t="shared" si="1"/>
        <v>508.49</v>
      </c>
    </row>
    <row r="391" ht="22.5" customHeight="1">
      <c r="B391" s="7" t="s">
        <v>34</v>
      </c>
      <c r="C391" s="7">
        <v>17349.0</v>
      </c>
      <c r="D391" s="7">
        <v>51071.0</v>
      </c>
      <c r="E391" s="7">
        <v>2.0853758E7</v>
      </c>
      <c r="F391" s="7">
        <v>2.0672874E7</v>
      </c>
      <c r="G391" s="7">
        <v>5.2232098E7</v>
      </c>
      <c r="H391" s="7">
        <v>3.643428729E9</v>
      </c>
      <c r="I391" s="7">
        <v>805466.0</v>
      </c>
      <c r="J391" s="7">
        <v>776738.0</v>
      </c>
      <c r="K391" s="7">
        <v>28728.0</v>
      </c>
      <c r="L391" s="7">
        <v>43.37</v>
      </c>
      <c r="M391" s="7">
        <v>-0.07</v>
      </c>
      <c r="N391" s="7">
        <v>45553.0</v>
      </c>
      <c r="O391" s="7">
        <v>9418520.0</v>
      </c>
      <c r="P391" s="7" t="s">
        <v>411</v>
      </c>
      <c r="Q391" s="7">
        <v>5003.78</v>
      </c>
      <c r="R391" s="3">
        <f t="shared" si="1"/>
        <v>10000</v>
      </c>
    </row>
    <row r="392" ht="22.5" customHeight="1">
      <c r="B392" s="7" t="s">
        <v>404</v>
      </c>
      <c r="C392" s="7">
        <v>730.0</v>
      </c>
      <c r="D392" s="7">
        <v>43124.0</v>
      </c>
      <c r="E392" s="7">
        <v>9.9311199E7</v>
      </c>
      <c r="F392" s="7">
        <v>7.6541566E7</v>
      </c>
      <c r="G392" s="7">
        <v>2.99927536E8</v>
      </c>
      <c r="H392" s="7">
        <v>2.726032824E9</v>
      </c>
      <c r="I392" s="7">
        <v>1020328.0</v>
      </c>
      <c r="J392" s="7">
        <v>895470.0</v>
      </c>
      <c r="K392" s="7">
        <v>124858.0</v>
      </c>
      <c r="L392" s="7">
        <v>51.05</v>
      </c>
      <c r="M392" s="7">
        <v>-0.05</v>
      </c>
      <c r="N392" s="7">
        <v>191860.0</v>
      </c>
      <c r="O392" s="7">
        <v>1.76424494E8</v>
      </c>
      <c r="P392" s="7" t="s">
        <v>411</v>
      </c>
      <c r="Q392" s="7">
        <v>5003.86</v>
      </c>
      <c r="R392" s="3">
        <f t="shared" si="1"/>
        <v>10000</v>
      </c>
    </row>
    <row r="393" ht="22.5" customHeight="1">
      <c r="B393" s="7" t="s">
        <v>90</v>
      </c>
      <c r="C393" s="7">
        <v>224962.0</v>
      </c>
      <c r="D393" s="7">
        <v>1192377.0</v>
      </c>
      <c r="E393" s="7">
        <v>603810.0</v>
      </c>
      <c r="F393" s="7">
        <v>508414.0</v>
      </c>
      <c r="G393" s="7">
        <v>5637227.0</v>
      </c>
      <c r="H393" s="7">
        <v>1.582173695E9</v>
      </c>
      <c r="I393" s="7">
        <v>25673.0</v>
      </c>
      <c r="J393" s="7">
        <v>24883.0</v>
      </c>
      <c r="K393" s="7">
        <v>790.0</v>
      </c>
      <c r="L393" s="7">
        <v>229.14</v>
      </c>
      <c r="M393" s="7">
        <v>-0.13</v>
      </c>
      <c r="N393" s="7">
        <v>1192.0</v>
      </c>
      <c r="O393" s="7">
        <v>572528.0</v>
      </c>
      <c r="P393" s="7" t="s">
        <v>409</v>
      </c>
      <c r="Q393" s="7">
        <v>448.24</v>
      </c>
      <c r="R393" s="3">
        <f t="shared" si="1"/>
        <v>448.24</v>
      </c>
    </row>
    <row r="394" ht="22.5" customHeight="1">
      <c r="B394" s="7" t="s">
        <v>128</v>
      </c>
      <c r="C394" s="7">
        <v>259616.0</v>
      </c>
      <c r="D394" s="7">
        <v>1360766.0</v>
      </c>
      <c r="E394" s="7">
        <v>1446825.0</v>
      </c>
      <c r="F394" s="7">
        <v>1301204.0</v>
      </c>
      <c r="G394" s="7">
        <v>8821468.0</v>
      </c>
      <c r="H394" s="7">
        <v>2.460834822E9</v>
      </c>
      <c r="I394" s="7">
        <v>44044.0</v>
      </c>
      <c r="J394" s="7">
        <v>41664.0</v>
      </c>
      <c r="K394" s="7">
        <v>2380.0</v>
      </c>
      <c r="L394" s="7">
        <v>220.84</v>
      </c>
      <c r="M394" s="7">
        <v>-0.09</v>
      </c>
      <c r="N394" s="7">
        <v>3418.0</v>
      </c>
      <c r="O394" s="7">
        <v>1190035.0</v>
      </c>
      <c r="P394" s="7" t="s">
        <v>410</v>
      </c>
      <c r="Q394" s="7">
        <v>690.65</v>
      </c>
      <c r="R394" s="3">
        <f t="shared" si="1"/>
        <v>690.65</v>
      </c>
    </row>
    <row r="395" ht="22.5" customHeight="1">
      <c r="B395" s="7" t="s">
        <v>88</v>
      </c>
      <c r="C395" s="7">
        <v>260342.0</v>
      </c>
      <c r="D395" s="7">
        <v>1377484.0</v>
      </c>
      <c r="E395" s="7">
        <v>2072988.0</v>
      </c>
      <c r="F395" s="7">
        <v>1865556.0</v>
      </c>
      <c r="G395" s="7">
        <v>1.4112277E7</v>
      </c>
      <c r="H395" s="7">
        <v>3.501238876E9</v>
      </c>
      <c r="I395" s="7">
        <v>77429.0</v>
      </c>
      <c r="J395" s="7">
        <v>75209.0</v>
      </c>
      <c r="K395" s="7">
        <v>2220.0</v>
      </c>
      <c r="L395" s="7">
        <v>238.04</v>
      </c>
      <c r="M395" s="7">
        <v>-0.1</v>
      </c>
      <c r="N395" s="7">
        <v>3303.0</v>
      </c>
      <c r="O395" s="7">
        <v>2068710.0</v>
      </c>
      <c r="P395" s="7" t="s">
        <v>409</v>
      </c>
      <c r="Q395" s="7">
        <v>1074.82</v>
      </c>
      <c r="R395" s="3">
        <f t="shared" si="1"/>
        <v>1074.82</v>
      </c>
    </row>
    <row r="396" ht="22.5" customHeight="1">
      <c r="B396" s="7" t="s">
        <v>135</v>
      </c>
      <c r="C396" s="7">
        <v>225296.0</v>
      </c>
      <c r="D396" s="7">
        <v>1180795.0</v>
      </c>
      <c r="E396" s="7">
        <v>1637480.0</v>
      </c>
      <c r="F396" s="7">
        <v>1502807.0</v>
      </c>
      <c r="G396" s="7">
        <v>8860728.0</v>
      </c>
      <c r="H396" s="7">
        <v>1.884815949E9</v>
      </c>
      <c r="I396" s="7">
        <v>59747.0</v>
      </c>
      <c r="J396" s="7">
        <v>57641.0</v>
      </c>
      <c r="K396" s="7">
        <v>2106.0</v>
      </c>
      <c r="L396" s="7">
        <v>145.46</v>
      </c>
      <c r="M396" s="7">
        <v>-0.1</v>
      </c>
      <c r="N396" s="7">
        <v>3148.0</v>
      </c>
      <c r="O396" s="7">
        <v>1311139.0</v>
      </c>
      <c r="P396" s="7" t="s">
        <v>410</v>
      </c>
      <c r="Q396" s="7">
        <v>536.19</v>
      </c>
      <c r="R396" s="3">
        <f t="shared" si="1"/>
        <v>536.19</v>
      </c>
    </row>
    <row r="397" ht="22.5" customHeight="1">
      <c r="B397" s="7" t="s">
        <v>173</v>
      </c>
      <c r="C397" s="7">
        <v>900.0</v>
      </c>
      <c r="D397" s="7">
        <v>133080.0</v>
      </c>
      <c r="E397" s="7">
        <v>1.3541223E7</v>
      </c>
      <c r="F397" s="7">
        <v>1.3102732E7</v>
      </c>
      <c r="G397" s="7">
        <v>2.5923139E7</v>
      </c>
      <c r="H397" s="7">
        <v>1.508707153E9</v>
      </c>
      <c r="I397" s="7">
        <v>320119.0</v>
      </c>
      <c r="J397" s="7">
        <v>292747.0</v>
      </c>
      <c r="K397" s="7">
        <v>27372.0</v>
      </c>
      <c r="L397" s="7">
        <v>51.96</v>
      </c>
      <c r="M397" s="7">
        <v>-0.05</v>
      </c>
      <c r="N397" s="7">
        <v>39681.0</v>
      </c>
      <c r="O397" s="7">
        <v>7920626.0</v>
      </c>
      <c r="P397" s="7" t="s">
        <v>411</v>
      </c>
      <c r="Q397" s="7">
        <v>5003.85</v>
      </c>
      <c r="R397" s="3">
        <f t="shared" si="1"/>
        <v>10000</v>
      </c>
    </row>
    <row r="398" ht="22.5" customHeight="1">
      <c r="B398" s="7" t="s">
        <v>243</v>
      </c>
      <c r="C398" s="7">
        <v>961.0</v>
      </c>
      <c r="D398" s="7">
        <v>146909.0</v>
      </c>
      <c r="E398" s="7">
        <v>1.378204E7</v>
      </c>
      <c r="F398" s="7">
        <v>1.3339533E7</v>
      </c>
      <c r="G398" s="7">
        <v>2.654667E7</v>
      </c>
      <c r="H398" s="7">
        <v>1.652627375E9</v>
      </c>
      <c r="I398" s="7">
        <v>320224.0</v>
      </c>
      <c r="J398" s="7">
        <v>292527.0</v>
      </c>
      <c r="K398" s="7">
        <v>27697.0</v>
      </c>
      <c r="L398" s="7">
        <v>53.57</v>
      </c>
      <c r="M398" s="7">
        <v>-0.05</v>
      </c>
      <c r="N398" s="7">
        <v>40383.0</v>
      </c>
      <c r="O398" s="7">
        <v>8080399.0</v>
      </c>
      <c r="P398" s="7" t="s">
        <v>409</v>
      </c>
      <c r="Q398" s="7">
        <v>3941.02</v>
      </c>
      <c r="R398" s="3">
        <f t="shared" si="1"/>
        <v>3941.02</v>
      </c>
    </row>
    <row r="399" ht="22.5" customHeight="1">
      <c r="B399" s="7" t="s">
        <v>405</v>
      </c>
      <c r="C399" s="7">
        <v>1156.0</v>
      </c>
      <c r="D399" s="7">
        <v>194072.0</v>
      </c>
      <c r="E399" s="7">
        <v>1.8128128E7</v>
      </c>
      <c r="F399" s="7">
        <v>1.7496298E7</v>
      </c>
      <c r="G399" s="7">
        <v>3.8380914E7</v>
      </c>
      <c r="H399" s="7">
        <v>2.399985084E9</v>
      </c>
      <c r="I399" s="7">
        <v>411522.0</v>
      </c>
      <c r="J399" s="7">
        <v>374464.0</v>
      </c>
      <c r="K399" s="7">
        <v>37058.0</v>
      </c>
      <c r="L399" s="7">
        <v>60.06</v>
      </c>
      <c r="M399" s="7">
        <v>-0.05</v>
      </c>
      <c r="N399" s="7">
        <v>53703.0</v>
      </c>
      <c r="O399" s="7">
        <v>1.1624009E7</v>
      </c>
      <c r="P399" s="7" t="s">
        <v>411</v>
      </c>
      <c r="Q399" s="7">
        <v>5003.84</v>
      </c>
      <c r="R399" s="3">
        <f t="shared" si="1"/>
        <v>10000</v>
      </c>
    </row>
    <row r="400" ht="22.5" customHeight="1">
      <c r="B400" s="7" t="s">
        <v>406</v>
      </c>
      <c r="C400" s="7">
        <v>1296.0</v>
      </c>
      <c r="D400" s="7">
        <v>230544.0</v>
      </c>
      <c r="E400" s="7">
        <v>1.9558704E7</v>
      </c>
      <c r="F400" s="7">
        <v>1.8849539E7</v>
      </c>
      <c r="G400" s="7">
        <v>4.4122825E7</v>
      </c>
      <c r="H400" s="7">
        <v>2.764515675E9</v>
      </c>
      <c r="I400" s="7">
        <v>482278.0</v>
      </c>
      <c r="J400" s="7">
        <v>444759.0</v>
      </c>
      <c r="K400" s="7">
        <v>37519.0</v>
      </c>
      <c r="L400" s="7">
        <v>65.16</v>
      </c>
      <c r="M400" s="7">
        <v>-0.06</v>
      </c>
      <c r="N400" s="7">
        <v>54164.0</v>
      </c>
      <c r="O400" s="7">
        <v>1.4497661E7</v>
      </c>
      <c r="P400" s="7" t="s">
        <v>411</v>
      </c>
      <c r="Q400" s="7">
        <v>5003.78</v>
      </c>
      <c r="R400" s="3">
        <f t="shared" si="1"/>
        <v>10000</v>
      </c>
    </row>
    <row r="401" ht="22.5" customHeight="1">
      <c r="B401" s="7" t="s">
        <v>407</v>
      </c>
      <c r="C401" s="7">
        <v>382.0</v>
      </c>
      <c r="D401" s="7">
        <v>1018.0</v>
      </c>
      <c r="E401" s="7">
        <v>8.8758489E7</v>
      </c>
      <c r="F401" s="7">
        <v>8.8739113E7</v>
      </c>
      <c r="G401" s="7">
        <v>1.69555159E8</v>
      </c>
      <c r="H401" s="7">
        <v>7.98364028E8</v>
      </c>
      <c r="I401" s="7">
        <v>2520105.0</v>
      </c>
      <c r="J401" s="7">
        <v>2392415.0</v>
      </c>
      <c r="K401" s="7">
        <v>127690.0</v>
      </c>
      <c r="L401" s="7">
        <v>36.62</v>
      </c>
      <c r="M401" s="7">
        <v>-0.05</v>
      </c>
      <c r="N401" s="7">
        <v>194939.0</v>
      </c>
      <c r="O401" s="7">
        <v>5.6656017E7</v>
      </c>
      <c r="P401" s="7" t="s">
        <v>411</v>
      </c>
      <c r="Q401" s="7">
        <v>5003.81</v>
      </c>
      <c r="R401" s="3">
        <f t="shared" si="1"/>
        <v>10000</v>
      </c>
    </row>
    <row r="403">
      <c r="P403" s="4" t="s">
        <v>408</v>
      </c>
      <c r="Q403" s="4" t="s">
        <v>4</v>
      </c>
    </row>
    <row r="404">
      <c r="P404" s="5">
        <f t="shared" ref="P404:Q404" si="2">SUM(Q2:Q401)/400</f>
        <v>2460.357425</v>
      </c>
      <c r="Q404" s="5">
        <f t="shared" si="2"/>
        <v>4331.9626</v>
      </c>
    </row>
    <row r="405">
      <c r="N405" s="4" t="s">
        <v>409</v>
      </c>
      <c r="O405" s="5">
        <f>COUNTIF(P2:P401,"=SAT")</f>
        <v>152</v>
      </c>
    </row>
    <row r="406">
      <c r="N406" s="4" t="s">
        <v>410</v>
      </c>
      <c r="O406" s="5">
        <f>COUNTIF(P2:P401,"=UNSAT")</f>
        <v>99</v>
      </c>
    </row>
    <row r="407">
      <c r="N407" s="4" t="s">
        <v>411</v>
      </c>
      <c r="O407" s="5">
        <f>COUNTIF(P2:P401,"=IND")</f>
        <v>149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8" max="8" width="8.13"/>
    <col customWidth="1" min="9" max="9" width="7.75"/>
    <col customWidth="1" min="10" max="10" width="6.63"/>
    <col customWidth="1" min="11" max="11" width="10.63"/>
    <col customWidth="1" min="12" max="12" width="10.5"/>
    <col customWidth="1" min="13" max="13" width="11.13"/>
    <col customWidth="1" min="14" max="14" width="10.5"/>
    <col customWidth="1" min="15" max="15" width="9.75"/>
    <col customWidth="1" min="16" max="16" width="10.63"/>
    <col customWidth="1" min="17" max="17" width="12.13"/>
  </cols>
  <sheetData>
    <row r="1" ht="22.5" customHeight="1">
      <c r="A1" s="1" t="s">
        <v>0</v>
      </c>
      <c r="B1" s="2" t="s">
        <v>1</v>
      </c>
      <c r="C1" s="6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419</v>
      </c>
      <c r="K1" s="2" t="s">
        <v>420</v>
      </c>
      <c r="L1" s="2" t="s">
        <v>421</v>
      </c>
      <c r="M1" s="2" t="s">
        <v>422</v>
      </c>
      <c r="N1" s="2" t="s">
        <v>423</v>
      </c>
      <c r="O1" s="2" t="s">
        <v>424</v>
      </c>
      <c r="P1" s="2" t="s">
        <v>2</v>
      </c>
      <c r="Q1" s="2" t="s">
        <v>3</v>
      </c>
      <c r="R1" s="1" t="s">
        <v>4</v>
      </c>
    </row>
    <row r="2" ht="22.5" customHeight="1">
      <c r="B2" s="7" t="s">
        <v>14</v>
      </c>
      <c r="C2" s="7">
        <v>35320.0</v>
      </c>
      <c r="D2" s="7">
        <v>1182493.0</v>
      </c>
      <c r="E2" s="7">
        <v>1082.0</v>
      </c>
      <c r="F2" s="7">
        <v>1069.0</v>
      </c>
      <c r="G2" s="7">
        <v>23463.0</v>
      </c>
      <c r="H2" s="7">
        <v>226033.0</v>
      </c>
      <c r="I2" s="7">
        <v>47.0</v>
      </c>
      <c r="J2" s="7">
        <v>47.0</v>
      </c>
      <c r="K2" s="7">
        <v>0.0</v>
      </c>
      <c r="L2" s="7">
        <v>19.18</v>
      </c>
      <c r="M2" s="7">
        <v>-0.15</v>
      </c>
      <c r="N2" s="7">
        <v>1.0</v>
      </c>
      <c r="O2" s="7">
        <v>10249.0</v>
      </c>
      <c r="P2" s="7" t="s">
        <v>409</v>
      </c>
      <c r="Q2" s="7">
        <v>1.45</v>
      </c>
      <c r="R2" s="3">
        <f t="shared" ref="R2:R401" si="1">IF(P2="IND", 10000, Q2)</f>
        <v>1.45</v>
      </c>
    </row>
    <row r="3" ht="22.5" customHeight="1">
      <c r="B3" s="7" t="s">
        <v>5</v>
      </c>
      <c r="C3" s="7">
        <v>35945.0</v>
      </c>
      <c r="D3" s="7">
        <v>1218255.0</v>
      </c>
      <c r="E3" s="7">
        <v>1042.0</v>
      </c>
      <c r="F3" s="7">
        <v>1019.0</v>
      </c>
      <c r="G3" s="7">
        <v>17325.0</v>
      </c>
      <c r="H3" s="7">
        <v>175580.0</v>
      </c>
      <c r="I3" s="7">
        <v>36.0</v>
      </c>
      <c r="J3" s="7">
        <v>36.0</v>
      </c>
      <c r="K3" s="7">
        <v>0.0</v>
      </c>
      <c r="L3" s="7">
        <v>14.02</v>
      </c>
      <c r="M3" s="7">
        <v>-0.17</v>
      </c>
      <c r="N3" s="7">
        <v>1.0</v>
      </c>
      <c r="O3" s="7">
        <v>6689.0</v>
      </c>
      <c r="P3" s="7" t="s">
        <v>409</v>
      </c>
      <c r="Q3" s="7">
        <v>1.46</v>
      </c>
      <c r="R3" s="3">
        <f t="shared" si="1"/>
        <v>1.46</v>
      </c>
    </row>
    <row r="4" ht="22.5" customHeight="1">
      <c r="B4" s="7" t="s">
        <v>111</v>
      </c>
      <c r="C4" s="7">
        <v>72078.0</v>
      </c>
      <c r="D4" s="7">
        <v>517728.0</v>
      </c>
      <c r="E4" s="7">
        <v>2893.0</v>
      </c>
      <c r="F4" s="7">
        <v>2836.0</v>
      </c>
      <c r="G4" s="7">
        <v>15364.0</v>
      </c>
      <c r="H4" s="7">
        <v>2134376.0</v>
      </c>
      <c r="I4" s="7">
        <v>126.0</v>
      </c>
      <c r="J4" s="7">
        <v>118.0</v>
      </c>
      <c r="K4" s="7">
        <v>8.0</v>
      </c>
      <c r="L4" s="7">
        <v>88.84</v>
      </c>
      <c r="M4" s="7">
        <v>-0.11</v>
      </c>
      <c r="N4" s="7">
        <v>12.0</v>
      </c>
      <c r="O4" s="7">
        <v>1679.0</v>
      </c>
      <c r="P4" s="7" t="s">
        <v>409</v>
      </c>
      <c r="Q4" s="7">
        <v>1.72</v>
      </c>
      <c r="R4" s="3">
        <f t="shared" si="1"/>
        <v>1.72</v>
      </c>
    </row>
    <row r="5" ht="22.5" customHeight="1">
      <c r="B5" s="7" t="s">
        <v>13</v>
      </c>
      <c r="C5" s="7">
        <v>134780.0</v>
      </c>
      <c r="D5" s="7">
        <v>648622.0</v>
      </c>
      <c r="E5" s="7">
        <v>1012.0</v>
      </c>
      <c r="F5" s="7">
        <v>978.0</v>
      </c>
      <c r="G5" s="7">
        <v>30271.0</v>
      </c>
      <c r="H5" s="7">
        <v>1634482.0</v>
      </c>
      <c r="I5" s="7">
        <v>45.0</v>
      </c>
      <c r="J5" s="7">
        <v>45.0</v>
      </c>
      <c r="K5" s="7">
        <v>0.0</v>
      </c>
      <c r="L5" s="7">
        <v>26.63</v>
      </c>
      <c r="M5" s="7">
        <v>-0.24</v>
      </c>
      <c r="N5" s="7">
        <v>1.0</v>
      </c>
      <c r="O5" s="7">
        <v>4694.0</v>
      </c>
      <c r="P5" s="7" t="s">
        <v>409</v>
      </c>
      <c r="Q5" s="7">
        <v>1.73</v>
      </c>
      <c r="R5" s="3">
        <f t="shared" si="1"/>
        <v>1.73</v>
      </c>
    </row>
    <row r="6" ht="22.5" customHeight="1">
      <c r="B6" s="7" t="s">
        <v>7</v>
      </c>
      <c r="C6" s="7">
        <v>23345.0</v>
      </c>
      <c r="D6" s="7">
        <v>49263.0</v>
      </c>
      <c r="E6" s="7">
        <v>32067.0</v>
      </c>
      <c r="F6" s="7">
        <v>30816.0</v>
      </c>
      <c r="G6" s="7">
        <v>495816.0</v>
      </c>
      <c r="H6" s="7">
        <v>8145254.0</v>
      </c>
      <c r="I6" s="7">
        <v>3709.0</v>
      </c>
      <c r="J6" s="7">
        <v>3681.0</v>
      </c>
      <c r="K6" s="7">
        <v>28.0</v>
      </c>
      <c r="L6" s="7">
        <v>32.63</v>
      </c>
      <c r="M6" s="7">
        <v>-0.27</v>
      </c>
      <c r="N6" s="7">
        <v>51.0</v>
      </c>
      <c r="O6" s="7">
        <v>31863.0</v>
      </c>
      <c r="P6" s="7" t="s">
        <v>409</v>
      </c>
      <c r="Q6" s="7">
        <v>3.11</v>
      </c>
      <c r="R6" s="3">
        <f t="shared" si="1"/>
        <v>3.11</v>
      </c>
    </row>
    <row r="7" ht="22.5" customHeight="1">
      <c r="B7" s="7" t="s">
        <v>10</v>
      </c>
      <c r="C7" s="7">
        <v>32852.0</v>
      </c>
      <c r="D7" s="7">
        <v>170331.0</v>
      </c>
      <c r="E7" s="7">
        <v>33404.0</v>
      </c>
      <c r="F7" s="7">
        <v>32081.0</v>
      </c>
      <c r="G7" s="7">
        <v>207020.0</v>
      </c>
      <c r="H7" s="7">
        <v>1.4049621E7</v>
      </c>
      <c r="I7" s="7">
        <v>3382.0</v>
      </c>
      <c r="J7" s="7">
        <v>3354.0</v>
      </c>
      <c r="K7" s="7">
        <v>28.0</v>
      </c>
      <c r="L7" s="7">
        <v>16.94</v>
      </c>
      <c r="M7" s="7">
        <v>-0.26</v>
      </c>
      <c r="N7" s="7">
        <v>53.0</v>
      </c>
      <c r="O7" s="7">
        <v>40336.0</v>
      </c>
      <c r="P7" s="7" t="s">
        <v>409</v>
      </c>
      <c r="Q7" s="7">
        <v>4.3</v>
      </c>
      <c r="R7" s="3">
        <f t="shared" si="1"/>
        <v>4.3</v>
      </c>
    </row>
    <row r="8" ht="22.5" customHeight="1">
      <c r="B8" s="7" t="s">
        <v>31</v>
      </c>
      <c r="C8" s="7">
        <v>600.0</v>
      </c>
      <c r="D8" s="7">
        <v>16668.0</v>
      </c>
      <c r="E8" s="7">
        <v>118190.0</v>
      </c>
      <c r="F8" s="7">
        <v>116800.0</v>
      </c>
      <c r="G8" s="7">
        <v>236410.0</v>
      </c>
      <c r="H8" s="7">
        <v>7010080.0</v>
      </c>
      <c r="I8" s="7">
        <v>8313.0</v>
      </c>
      <c r="J8" s="7">
        <v>8185.0</v>
      </c>
      <c r="K8" s="7">
        <v>128.0</v>
      </c>
      <c r="L8" s="7">
        <v>19.18</v>
      </c>
      <c r="M8" s="7">
        <v>-0.1</v>
      </c>
      <c r="N8" s="7">
        <v>211.0</v>
      </c>
      <c r="O8" s="7">
        <v>59378.0</v>
      </c>
      <c r="P8" s="7" t="s">
        <v>409</v>
      </c>
      <c r="Q8" s="7">
        <v>7.34</v>
      </c>
      <c r="R8" s="3">
        <f t="shared" si="1"/>
        <v>7.34</v>
      </c>
    </row>
    <row r="9" ht="22.5" customHeight="1">
      <c r="B9" s="7" t="s">
        <v>24</v>
      </c>
      <c r="C9" s="7">
        <v>4020.0</v>
      </c>
      <c r="D9" s="7">
        <v>466486.0</v>
      </c>
      <c r="E9" s="7">
        <v>16089.0</v>
      </c>
      <c r="F9" s="7">
        <v>15843.0</v>
      </c>
      <c r="G9" s="7">
        <v>29522.0</v>
      </c>
      <c r="H9" s="7">
        <v>3976215.0</v>
      </c>
      <c r="I9" s="7">
        <v>563.0</v>
      </c>
      <c r="J9" s="7">
        <v>520.0</v>
      </c>
      <c r="K9" s="7">
        <v>43.0</v>
      </c>
      <c r="L9" s="7">
        <v>101.11</v>
      </c>
      <c r="M9" s="7">
        <v>-0.05</v>
      </c>
      <c r="N9" s="7">
        <v>63.0</v>
      </c>
      <c r="O9" s="7">
        <v>5354.0</v>
      </c>
      <c r="P9" s="7" t="s">
        <v>409</v>
      </c>
      <c r="Q9" s="7">
        <v>10.84</v>
      </c>
      <c r="R9" s="3">
        <f t="shared" si="1"/>
        <v>10.84</v>
      </c>
    </row>
    <row r="10" ht="22.5" customHeight="1">
      <c r="B10" s="7" t="s">
        <v>17</v>
      </c>
      <c r="C10" s="7">
        <v>479.0</v>
      </c>
      <c r="D10" s="7">
        <v>123439.0</v>
      </c>
      <c r="E10" s="7">
        <v>198794.0</v>
      </c>
      <c r="F10" s="7">
        <v>195472.0</v>
      </c>
      <c r="G10" s="7">
        <v>572612.0</v>
      </c>
      <c r="H10" s="7">
        <v>3527091.0</v>
      </c>
      <c r="I10" s="7">
        <v>7701.0</v>
      </c>
      <c r="J10" s="7">
        <v>7403.0</v>
      </c>
      <c r="K10" s="7">
        <v>298.0</v>
      </c>
      <c r="L10" s="7">
        <v>20.71</v>
      </c>
      <c r="M10" s="7">
        <v>-0.1</v>
      </c>
      <c r="N10" s="7">
        <v>522.0</v>
      </c>
      <c r="O10" s="7">
        <v>104667.0</v>
      </c>
      <c r="P10" s="7" t="s">
        <v>409</v>
      </c>
      <c r="Q10" s="7">
        <v>12.7</v>
      </c>
      <c r="R10" s="3">
        <f t="shared" si="1"/>
        <v>12.7</v>
      </c>
    </row>
    <row r="11" ht="22.5" customHeight="1">
      <c r="B11" s="7" t="s">
        <v>8</v>
      </c>
      <c r="C11" s="7">
        <v>6061.0</v>
      </c>
      <c r="D11" s="7">
        <v>17574.0</v>
      </c>
      <c r="E11" s="7">
        <v>308777.0</v>
      </c>
      <c r="F11" s="7">
        <v>304812.0</v>
      </c>
      <c r="G11" s="7">
        <v>758973.0</v>
      </c>
      <c r="H11" s="7">
        <v>3.0424412E7</v>
      </c>
      <c r="I11" s="7">
        <v>12869.0</v>
      </c>
      <c r="J11" s="7">
        <v>12355.0</v>
      </c>
      <c r="K11" s="7">
        <v>514.0</v>
      </c>
      <c r="L11" s="7">
        <v>21.08</v>
      </c>
      <c r="M11" s="7">
        <v>-0.08</v>
      </c>
      <c r="N11" s="7">
        <v>847.0</v>
      </c>
      <c r="O11" s="7">
        <v>133249.0</v>
      </c>
      <c r="P11" s="7" t="s">
        <v>410</v>
      </c>
      <c r="Q11" s="7">
        <v>12.81</v>
      </c>
      <c r="R11" s="3">
        <f t="shared" si="1"/>
        <v>12.81</v>
      </c>
    </row>
    <row r="12" ht="22.5" customHeight="1">
      <c r="B12" s="7" t="s">
        <v>16</v>
      </c>
      <c r="C12" s="7">
        <v>190399.0</v>
      </c>
      <c r="D12" s="7">
        <v>564772.0</v>
      </c>
      <c r="E12" s="7">
        <v>36269.0</v>
      </c>
      <c r="F12" s="7">
        <v>35177.0</v>
      </c>
      <c r="G12" s="7">
        <v>293835.0</v>
      </c>
      <c r="H12" s="7">
        <v>1.3089701E7</v>
      </c>
      <c r="I12" s="7">
        <v>2001.0</v>
      </c>
      <c r="J12" s="7">
        <v>1970.0</v>
      </c>
      <c r="K12" s="7">
        <v>31.0</v>
      </c>
      <c r="L12" s="7">
        <v>14.96</v>
      </c>
      <c r="M12" s="7">
        <v>-0.17</v>
      </c>
      <c r="N12" s="7">
        <v>62.0</v>
      </c>
      <c r="O12" s="7">
        <v>70487.0</v>
      </c>
      <c r="P12" s="7" t="s">
        <v>410</v>
      </c>
      <c r="Q12" s="7">
        <v>13.09</v>
      </c>
      <c r="R12" s="3">
        <f t="shared" si="1"/>
        <v>13.09</v>
      </c>
    </row>
    <row r="13" ht="22.5" customHeight="1">
      <c r="B13" s="7" t="s">
        <v>15</v>
      </c>
      <c r="C13" s="7">
        <v>323138.0</v>
      </c>
      <c r="D13" s="7">
        <v>2.1567424E7</v>
      </c>
      <c r="E13" s="7">
        <v>42.0</v>
      </c>
      <c r="F13" s="7">
        <v>42.0</v>
      </c>
      <c r="G13" s="7">
        <v>488000.0</v>
      </c>
      <c r="H13" s="7">
        <v>577871.0</v>
      </c>
      <c r="I13" s="7">
        <v>0.0</v>
      </c>
      <c r="J13" s="7">
        <v>0.0</v>
      </c>
      <c r="K13" s="7">
        <v>0.0</v>
      </c>
      <c r="L13" s="7">
        <v>9.19</v>
      </c>
      <c r="M13" s="7">
        <v>-0.74</v>
      </c>
      <c r="N13" s="7">
        <v>0.0</v>
      </c>
      <c r="O13" s="7">
        <v>487781.0</v>
      </c>
      <c r="P13" s="7" t="s">
        <v>409</v>
      </c>
      <c r="Q13" s="7">
        <v>13.53</v>
      </c>
      <c r="R13" s="3">
        <f t="shared" si="1"/>
        <v>13.53</v>
      </c>
    </row>
    <row r="14" ht="22.5" customHeight="1">
      <c r="B14" s="7" t="s">
        <v>11</v>
      </c>
      <c r="C14" s="7">
        <v>760.0</v>
      </c>
      <c r="D14" s="7">
        <v>37548.0</v>
      </c>
      <c r="E14" s="7">
        <v>158943.0</v>
      </c>
      <c r="F14" s="7">
        <v>154659.0</v>
      </c>
      <c r="G14" s="7">
        <v>243286.0</v>
      </c>
      <c r="H14" s="7">
        <v>1.4645436E7</v>
      </c>
      <c r="I14" s="7">
        <v>5150.0</v>
      </c>
      <c r="J14" s="7">
        <v>4914.0</v>
      </c>
      <c r="K14" s="7">
        <v>236.0</v>
      </c>
      <c r="L14" s="7">
        <v>45.69</v>
      </c>
      <c r="M14" s="7">
        <v>-0.06</v>
      </c>
      <c r="N14" s="7">
        <v>382.0</v>
      </c>
      <c r="O14" s="7">
        <v>86428.0</v>
      </c>
      <c r="P14" s="7" t="s">
        <v>409</v>
      </c>
      <c r="Q14" s="7">
        <v>15.24</v>
      </c>
      <c r="R14" s="3">
        <f t="shared" si="1"/>
        <v>15.24</v>
      </c>
    </row>
    <row r="15" ht="22.5" customHeight="1">
      <c r="B15" s="7" t="s">
        <v>33</v>
      </c>
      <c r="C15" s="7">
        <v>3298.0</v>
      </c>
      <c r="D15" s="7">
        <v>142629.0</v>
      </c>
      <c r="E15" s="7">
        <v>161005.0</v>
      </c>
      <c r="F15" s="7">
        <v>154970.0</v>
      </c>
      <c r="G15" s="7">
        <v>523939.0</v>
      </c>
      <c r="H15" s="7">
        <v>1.983663E7</v>
      </c>
      <c r="I15" s="7">
        <v>8732.0</v>
      </c>
      <c r="J15" s="7">
        <v>8524.0</v>
      </c>
      <c r="K15" s="7">
        <v>208.0</v>
      </c>
      <c r="L15" s="7">
        <v>58.54</v>
      </c>
      <c r="M15" s="7">
        <v>-0.13</v>
      </c>
      <c r="N15" s="7">
        <v>358.0</v>
      </c>
      <c r="O15" s="7">
        <v>106999.0</v>
      </c>
      <c r="P15" s="7" t="s">
        <v>409</v>
      </c>
      <c r="Q15" s="7">
        <v>20.71</v>
      </c>
      <c r="R15" s="3">
        <f t="shared" si="1"/>
        <v>20.71</v>
      </c>
    </row>
    <row r="16" ht="22.5" customHeight="1">
      <c r="B16" s="7" t="s">
        <v>18</v>
      </c>
      <c r="C16" s="7">
        <v>5448.0</v>
      </c>
      <c r="D16" s="7">
        <v>15992.0</v>
      </c>
      <c r="E16" s="7">
        <v>441736.0</v>
      </c>
      <c r="F16" s="7">
        <v>435056.0</v>
      </c>
      <c r="G16" s="7">
        <v>1082794.0</v>
      </c>
      <c r="H16" s="7">
        <v>4.8386526E7</v>
      </c>
      <c r="I16" s="7">
        <v>20189.0</v>
      </c>
      <c r="J16" s="7">
        <v>19636.0</v>
      </c>
      <c r="K16" s="7">
        <v>553.0</v>
      </c>
      <c r="L16" s="7">
        <v>26.08</v>
      </c>
      <c r="M16" s="7">
        <v>-0.09</v>
      </c>
      <c r="N16" s="7">
        <v>886.0</v>
      </c>
      <c r="O16" s="7">
        <v>246657.0</v>
      </c>
      <c r="P16" s="7" t="s">
        <v>410</v>
      </c>
      <c r="Q16" s="7">
        <v>27.3</v>
      </c>
      <c r="R16" s="3">
        <f t="shared" si="1"/>
        <v>27.3</v>
      </c>
    </row>
    <row r="17" ht="22.5" customHeight="1">
      <c r="B17" s="7" t="s">
        <v>32</v>
      </c>
      <c r="C17" s="7">
        <v>48941.0</v>
      </c>
      <c r="D17" s="7">
        <v>552747.0</v>
      </c>
      <c r="E17" s="7">
        <v>135675.0</v>
      </c>
      <c r="F17" s="7">
        <v>130512.0</v>
      </c>
      <c r="G17" s="7">
        <v>3228049.0</v>
      </c>
      <c r="H17" s="7">
        <v>8.8062138E7</v>
      </c>
      <c r="I17" s="7">
        <v>9811.0</v>
      </c>
      <c r="J17" s="7">
        <v>9749.0</v>
      </c>
      <c r="K17" s="7">
        <v>62.0</v>
      </c>
      <c r="L17" s="7">
        <v>13.52</v>
      </c>
      <c r="M17" s="7">
        <v>-0.28</v>
      </c>
      <c r="N17" s="7">
        <v>164.0</v>
      </c>
      <c r="O17" s="7">
        <v>589570.0</v>
      </c>
      <c r="P17" s="7" t="s">
        <v>409</v>
      </c>
      <c r="Q17" s="7">
        <v>30.77</v>
      </c>
      <c r="R17" s="3">
        <f t="shared" si="1"/>
        <v>30.77</v>
      </c>
    </row>
    <row r="18" ht="22.5" customHeight="1">
      <c r="B18" s="7" t="s">
        <v>40</v>
      </c>
      <c r="C18" s="7">
        <v>13240.0</v>
      </c>
      <c r="D18" s="7">
        <v>39135.0</v>
      </c>
      <c r="E18" s="7">
        <v>446772.0</v>
      </c>
      <c r="F18" s="7">
        <v>432556.0</v>
      </c>
      <c r="G18" s="7">
        <v>1652556.0</v>
      </c>
      <c r="H18" s="7">
        <v>6.9160417E7</v>
      </c>
      <c r="I18" s="7">
        <v>29156.0</v>
      </c>
      <c r="J18" s="7">
        <v>28676.0</v>
      </c>
      <c r="K18" s="7">
        <v>480.0</v>
      </c>
      <c r="L18" s="7">
        <v>37.23</v>
      </c>
      <c r="M18" s="7">
        <v>-0.14</v>
      </c>
      <c r="N18" s="7">
        <v>813.0</v>
      </c>
      <c r="O18" s="7">
        <v>292584.0</v>
      </c>
      <c r="P18" s="7" t="s">
        <v>410</v>
      </c>
      <c r="Q18" s="7">
        <v>34.46</v>
      </c>
      <c r="R18" s="3">
        <f t="shared" si="1"/>
        <v>34.46</v>
      </c>
    </row>
    <row r="19" ht="22.5" customHeight="1">
      <c r="B19" s="7" t="s">
        <v>28</v>
      </c>
      <c r="C19" s="7">
        <v>2633376.0</v>
      </c>
      <c r="D19" s="7">
        <v>1.2055676E7</v>
      </c>
      <c r="E19" s="7">
        <v>2483.0</v>
      </c>
      <c r="F19" s="7">
        <v>2327.0</v>
      </c>
      <c r="G19" s="7">
        <v>594857.0</v>
      </c>
      <c r="H19" s="7">
        <v>1.7460821E7</v>
      </c>
      <c r="I19" s="7">
        <v>126.0</v>
      </c>
      <c r="J19" s="7">
        <v>126.0</v>
      </c>
      <c r="K19" s="7">
        <v>0.0</v>
      </c>
      <c r="L19" s="7">
        <v>101.56</v>
      </c>
      <c r="M19" s="7">
        <v>-0.23</v>
      </c>
      <c r="N19" s="7">
        <v>3.0</v>
      </c>
      <c r="O19" s="7">
        <v>9823.0</v>
      </c>
      <c r="P19" s="7" t="s">
        <v>409</v>
      </c>
      <c r="Q19" s="7">
        <v>36.31</v>
      </c>
      <c r="R19" s="3">
        <f t="shared" si="1"/>
        <v>36.31</v>
      </c>
    </row>
    <row r="20" ht="22.5" customHeight="1">
      <c r="B20" s="7" t="s">
        <v>149</v>
      </c>
      <c r="C20" s="7">
        <v>6658.0</v>
      </c>
      <c r="D20" s="7">
        <v>31911.0</v>
      </c>
      <c r="E20" s="7">
        <v>152030.0</v>
      </c>
      <c r="F20" s="7">
        <v>151870.0</v>
      </c>
      <c r="G20" s="7">
        <v>156568.0</v>
      </c>
      <c r="H20" s="7">
        <v>2.34855241E8</v>
      </c>
      <c r="I20" s="7">
        <v>6156.0</v>
      </c>
      <c r="J20" s="7">
        <v>5952.0</v>
      </c>
      <c r="K20" s="7">
        <v>204.0</v>
      </c>
      <c r="L20" s="7">
        <v>22.72</v>
      </c>
      <c r="M20" s="7">
        <v>0.0</v>
      </c>
      <c r="N20" s="7">
        <v>336.0</v>
      </c>
      <c r="O20" s="7">
        <v>68358.0</v>
      </c>
      <c r="P20" s="7" t="s">
        <v>409</v>
      </c>
      <c r="Q20" s="7">
        <v>36.77</v>
      </c>
      <c r="R20" s="3">
        <f t="shared" si="1"/>
        <v>36.77</v>
      </c>
    </row>
    <row r="21" ht="22.5" customHeight="1">
      <c r="B21" s="7" t="s">
        <v>71</v>
      </c>
      <c r="C21" s="7">
        <v>3073.0</v>
      </c>
      <c r="D21" s="7">
        <v>19636.0</v>
      </c>
      <c r="E21" s="7">
        <v>192742.0</v>
      </c>
      <c r="F21" s="7">
        <v>190574.0</v>
      </c>
      <c r="G21" s="7">
        <v>278880.0</v>
      </c>
      <c r="H21" s="7">
        <v>7.4471782E7</v>
      </c>
      <c r="I21" s="7">
        <v>4216.0</v>
      </c>
      <c r="J21" s="7">
        <v>3831.0</v>
      </c>
      <c r="K21" s="7">
        <v>385.0</v>
      </c>
      <c r="L21" s="7">
        <v>45.27</v>
      </c>
      <c r="M21" s="7">
        <v>-0.04</v>
      </c>
      <c r="N21" s="7">
        <v>596.0</v>
      </c>
      <c r="O21" s="7">
        <v>82476.0</v>
      </c>
      <c r="P21" s="7" t="s">
        <v>409</v>
      </c>
      <c r="Q21" s="7">
        <v>37.18</v>
      </c>
      <c r="R21" s="3">
        <f t="shared" si="1"/>
        <v>37.18</v>
      </c>
    </row>
    <row r="22" ht="22.5" customHeight="1">
      <c r="B22" s="7" t="s">
        <v>171</v>
      </c>
      <c r="C22" s="7">
        <v>6658.0</v>
      </c>
      <c r="D22" s="7">
        <v>31911.0</v>
      </c>
      <c r="E22" s="7">
        <v>152030.0</v>
      </c>
      <c r="F22" s="7">
        <v>151870.0</v>
      </c>
      <c r="G22" s="7">
        <v>156568.0</v>
      </c>
      <c r="H22" s="7">
        <v>2.34855241E8</v>
      </c>
      <c r="I22" s="7">
        <v>6156.0</v>
      </c>
      <c r="J22" s="7">
        <v>5952.0</v>
      </c>
      <c r="K22" s="7">
        <v>204.0</v>
      </c>
      <c r="L22" s="7">
        <v>22.72</v>
      </c>
      <c r="M22" s="7">
        <v>0.0</v>
      </c>
      <c r="N22" s="7">
        <v>336.0</v>
      </c>
      <c r="O22" s="7">
        <v>68358.0</v>
      </c>
      <c r="P22" s="7" t="s">
        <v>409</v>
      </c>
      <c r="Q22" s="7">
        <v>37.3</v>
      </c>
      <c r="R22" s="3">
        <f t="shared" si="1"/>
        <v>37.3</v>
      </c>
    </row>
    <row r="23" ht="22.5" customHeight="1">
      <c r="B23" s="7" t="s">
        <v>44</v>
      </c>
      <c r="C23" s="7">
        <v>3738383.0</v>
      </c>
      <c r="D23" s="7">
        <v>1.6651874E7</v>
      </c>
      <c r="E23" s="7">
        <v>1833.0</v>
      </c>
      <c r="F23" s="7">
        <v>1626.0</v>
      </c>
      <c r="G23" s="7">
        <v>2108250.0</v>
      </c>
      <c r="H23" s="7">
        <v>2.3026303E7</v>
      </c>
      <c r="I23" s="7">
        <v>71.0</v>
      </c>
      <c r="J23" s="7">
        <v>71.0</v>
      </c>
      <c r="K23" s="7">
        <v>0.0</v>
      </c>
      <c r="L23" s="7">
        <v>20.67</v>
      </c>
      <c r="M23" s="7">
        <v>-0.22</v>
      </c>
      <c r="N23" s="7">
        <v>2.0</v>
      </c>
      <c r="O23" s="7">
        <v>3992.0</v>
      </c>
      <c r="P23" s="7" t="s">
        <v>409</v>
      </c>
      <c r="Q23" s="7">
        <v>37.39</v>
      </c>
      <c r="R23" s="3">
        <f t="shared" si="1"/>
        <v>37.39</v>
      </c>
    </row>
    <row r="24" ht="22.5" customHeight="1">
      <c r="B24" s="7" t="s">
        <v>39</v>
      </c>
      <c r="C24" s="7">
        <v>19995.0</v>
      </c>
      <c r="D24" s="7">
        <v>62866.0</v>
      </c>
      <c r="E24" s="7">
        <v>415125.0</v>
      </c>
      <c r="F24" s="7">
        <v>404412.0</v>
      </c>
      <c r="G24" s="7">
        <v>1001547.0</v>
      </c>
      <c r="H24" s="7">
        <v>9.3394365E7</v>
      </c>
      <c r="I24" s="7">
        <v>22142.0</v>
      </c>
      <c r="J24" s="7">
        <v>21644.0</v>
      </c>
      <c r="K24" s="7">
        <v>498.0</v>
      </c>
      <c r="L24" s="7">
        <v>30.66</v>
      </c>
      <c r="M24" s="7">
        <v>-0.09</v>
      </c>
      <c r="N24" s="7">
        <v>831.0</v>
      </c>
      <c r="O24" s="7">
        <v>199052.0</v>
      </c>
      <c r="P24" s="7" t="s">
        <v>410</v>
      </c>
      <c r="Q24" s="7">
        <v>38.33</v>
      </c>
      <c r="R24" s="3">
        <f t="shared" si="1"/>
        <v>38.33</v>
      </c>
    </row>
    <row r="25" ht="22.5" customHeight="1">
      <c r="B25" s="7" t="s">
        <v>26</v>
      </c>
      <c r="C25" s="7">
        <v>26421.0</v>
      </c>
      <c r="D25" s="7">
        <v>122125.0</v>
      </c>
      <c r="E25" s="7">
        <v>50003.0</v>
      </c>
      <c r="F25" s="7">
        <v>49075.0</v>
      </c>
      <c r="G25" s="7">
        <v>87103.0</v>
      </c>
      <c r="H25" s="7">
        <v>1.58985879E8</v>
      </c>
      <c r="I25" s="7">
        <v>2373.0</v>
      </c>
      <c r="J25" s="7">
        <v>2280.0</v>
      </c>
      <c r="K25" s="7">
        <v>93.0</v>
      </c>
      <c r="L25" s="7">
        <v>33.54</v>
      </c>
      <c r="M25" s="7">
        <v>-0.06</v>
      </c>
      <c r="N25" s="7">
        <v>150.0</v>
      </c>
      <c r="O25" s="7">
        <v>20557.0</v>
      </c>
      <c r="P25" s="7" t="s">
        <v>410</v>
      </c>
      <c r="Q25" s="7">
        <v>39.19</v>
      </c>
      <c r="R25" s="3">
        <f t="shared" si="1"/>
        <v>39.19</v>
      </c>
    </row>
    <row r="26" ht="22.5" customHeight="1">
      <c r="B26" s="7" t="s">
        <v>51</v>
      </c>
      <c r="C26" s="7">
        <v>66201.0</v>
      </c>
      <c r="D26" s="7">
        <v>915628.0</v>
      </c>
      <c r="E26" s="7">
        <v>143858.0</v>
      </c>
      <c r="F26" s="7">
        <v>139163.0</v>
      </c>
      <c r="G26" s="7">
        <v>2394518.0</v>
      </c>
      <c r="H26" s="7">
        <v>6.0501245E7</v>
      </c>
      <c r="I26" s="7">
        <v>7199.0</v>
      </c>
      <c r="J26" s="7">
        <v>7092.0</v>
      </c>
      <c r="K26" s="7">
        <v>107.0</v>
      </c>
      <c r="L26" s="7">
        <v>12.84</v>
      </c>
      <c r="M26" s="7">
        <v>-0.23</v>
      </c>
      <c r="N26" s="7">
        <v>225.0</v>
      </c>
      <c r="O26" s="7">
        <v>851462.0</v>
      </c>
      <c r="P26" s="7" t="s">
        <v>409</v>
      </c>
      <c r="Q26" s="7">
        <v>44.18</v>
      </c>
      <c r="R26" s="3">
        <f t="shared" si="1"/>
        <v>44.18</v>
      </c>
    </row>
    <row r="27" ht="22.5" customHeight="1">
      <c r="B27" s="7" t="s">
        <v>197</v>
      </c>
      <c r="C27" s="7">
        <v>3220.0</v>
      </c>
      <c r="D27" s="7">
        <v>12314.0</v>
      </c>
      <c r="E27" s="7">
        <v>813499.0</v>
      </c>
      <c r="F27" s="7">
        <v>800241.0</v>
      </c>
      <c r="G27" s="7">
        <v>2626947.0</v>
      </c>
      <c r="H27" s="7">
        <v>6.401292E7</v>
      </c>
      <c r="I27" s="7">
        <v>37889.0</v>
      </c>
      <c r="J27" s="7">
        <v>36487.0</v>
      </c>
      <c r="K27" s="7">
        <v>1402.0</v>
      </c>
      <c r="L27" s="7">
        <v>36.71</v>
      </c>
      <c r="M27" s="7">
        <v>-0.1</v>
      </c>
      <c r="N27" s="7">
        <v>2326.0</v>
      </c>
      <c r="O27" s="7">
        <v>299341.0</v>
      </c>
      <c r="P27" s="7" t="s">
        <v>409</v>
      </c>
      <c r="Q27" s="7">
        <v>49.09</v>
      </c>
      <c r="R27" s="3">
        <f t="shared" si="1"/>
        <v>49.09</v>
      </c>
    </row>
    <row r="28" ht="22.5" customHeight="1">
      <c r="B28" s="7" t="s">
        <v>119</v>
      </c>
      <c r="C28" s="7">
        <v>3603.0</v>
      </c>
      <c r="D28" s="7">
        <v>14304.0</v>
      </c>
      <c r="E28" s="7">
        <v>575821.0</v>
      </c>
      <c r="F28" s="7">
        <v>564889.0</v>
      </c>
      <c r="G28" s="7">
        <v>1322823.0</v>
      </c>
      <c r="H28" s="7">
        <v>7.9502345E7</v>
      </c>
      <c r="I28" s="7">
        <v>31293.0</v>
      </c>
      <c r="J28" s="7">
        <v>30592.0</v>
      </c>
      <c r="K28" s="7">
        <v>701.0</v>
      </c>
      <c r="L28" s="7">
        <v>32.38</v>
      </c>
      <c r="M28" s="7">
        <v>-0.1</v>
      </c>
      <c r="N28" s="7">
        <v>1162.0</v>
      </c>
      <c r="O28" s="7">
        <v>282470.0</v>
      </c>
      <c r="P28" s="7" t="s">
        <v>409</v>
      </c>
      <c r="Q28" s="7">
        <v>50.72</v>
      </c>
      <c r="R28" s="3">
        <f t="shared" si="1"/>
        <v>50.72</v>
      </c>
    </row>
    <row r="29" ht="22.5" customHeight="1">
      <c r="B29" s="7" t="s">
        <v>12</v>
      </c>
      <c r="C29" s="7">
        <v>12197.0</v>
      </c>
      <c r="D29" s="7">
        <v>78363.0</v>
      </c>
      <c r="E29" s="7">
        <v>582616.0</v>
      </c>
      <c r="F29" s="7">
        <v>559522.0</v>
      </c>
      <c r="G29" s="7">
        <v>1.0166568E7</v>
      </c>
      <c r="H29" s="7">
        <v>7.6426235E7</v>
      </c>
      <c r="I29" s="7">
        <v>50674.0</v>
      </c>
      <c r="J29" s="7">
        <v>50248.0</v>
      </c>
      <c r="K29" s="7">
        <v>426.0</v>
      </c>
      <c r="L29" s="7">
        <v>14.08</v>
      </c>
      <c r="M29" s="7">
        <v>-0.28</v>
      </c>
      <c r="N29" s="7">
        <v>905.0</v>
      </c>
      <c r="O29" s="7">
        <v>1462423.0</v>
      </c>
      <c r="P29" s="7" t="s">
        <v>409</v>
      </c>
      <c r="Q29" s="7">
        <v>53.51</v>
      </c>
      <c r="R29" s="3">
        <f t="shared" si="1"/>
        <v>53.51</v>
      </c>
    </row>
    <row r="30" ht="22.5" customHeight="1">
      <c r="B30" s="7" t="s">
        <v>47</v>
      </c>
      <c r="C30" s="7">
        <v>693001.0</v>
      </c>
      <c r="D30" s="7">
        <v>3661576.0</v>
      </c>
      <c r="E30" s="7">
        <v>11002.0</v>
      </c>
      <c r="F30" s="7">
        <v>10148.0</v>
      </c>
      <c r="G30" s="7">
        <v>1084157.0</v>
      </c>
      <c r="H30" s="7">
        <v>2.6165429E7</v>
      </c>
      <c r="I30" s="7">
        <v>430.0</v>
      </c>
      <c r="J30" s="7">
        <v>425.0</v>
      </c>
      <c r="K30" s="7">
        <v>5.0</v>
      </c>
      <c r="L30" s="7">
        <v>25.64</v>
      </c>
      <c r="M30" s="7">
        <v>-0.22</v>
      </c>
      <c r="N30" s="7">
        <v>17.0</v>
      </c>
      <c r="O30" s="7">
        <v>804956.0</v>
      </c>
      <c r="P30" s="7" t="s">
        <v>409</v>
      </c>
      <c r="Q30" s="7">
        <v>54.2</v>
      </c>
      <c r="R30" s="3">
        <f t="shared" si="1"/>
        <v>54.2</v>
      </c>
    </row>
    <row r="31" ht="22.5" customHeight="1">
      <c r="B31" s="7" t="s">
        <v>29</v>
      </c>
      <c r="C31" s="7">
        <v>76668.0</v>
      </c>
      <c r="D31" s="7">
        <v>639201.0</v>
      </c>
      <c r="E31" s="7">
        <v>141866.0</v>
      </c>
      <c r="F31" s="7">
        <v>60005.0</v>
      </c>
      <c r="G31" s="7">
        <v>1768010.0</v>
      </c>
      <c r="H31" s="7">
        <v>1.97766738E8</v>
      </c>
      <c r="I31" s="7">
        <v>1516.0</v>
      </c>
      <c r="J31" s="7">
        <v>1369.0</v>
      </c>
      <c r="K31" s="7">
        <v>147.0</v>
      </c>
      <c r="L31" s="7">
        <v>1522.04</v>
      </c>
      <c r="M31" s="7">
        <v>-0.09</v>
      </c>
      <c r="N31" s="7">
        <v>230.0</v>
      </c>
      <c r="O31" s="7">
        <v>206135.0</v>
      </c>
      <c r="P31" s="7" t="s">
        <v>409</v>
      </c>
      <c r="Q31" s="7">
        <v>55.87</v>
      </c>
      <c r="R31" s="3">
        <f t="shared" si="1"/>
        <v>55.87</v>
      </c>
    </row>
    <row r="32" ht="22.5" customHeight="1">
      <c r="B32" s="7" t="s">
        <v>202</v>
      </c>
      <c r="C32" s="7">
        <v>3220.0</v>
      </c>
      <c r="D32" s="7">
        <v>12314.0</v>
      </c>
      <c r="E32" s="7">
        <v>709644.0</v>
      </c>
      <c r="F32" s="7">
        <v>697688.0</v>
      </c>
      <c r="G32" s="7">
        <v>2433243.0</v>
      </c>
      <c r="H32" s="7">
        <v>5.5372741E7</v>
      </c>
      <c r="I32" s="7">
        <v>38700.0</v>
      </c>
      <c r="J32" s="7">
        <v>37593.0</v>
      </c>
      <c r="K32" s="7">
        <v>1107.0</v>
      </c>
      <c r="L32" s="7">
        <v>31.86</v>
      </c>
      <c r="M32" s="7">
        <v>-0.11</v>
      </c>
      <c r="N32" s="7">
        <v>1828.0</v>
      </c>
      <c r="O32" s="7">
        <v>286425.0</v>
      </c>
      <c r="P32" s="7" t="s">
        <v>409</v>
      </c>
      <c r="Q32" s="7">
        <v>61.23</v>
      </c>
      <c r="R32" s="3">
        <f t="shared" si="1"/>
        <v>61.23</v>
      </c>
    </row>
    <row r="33" ht="22.5" customHeight="1">
      <c r="B33" s="7" t="s">
        <v>79</v>
      </c>
      <c r="C33" s="7">
        <v>18607.0</v>
      </c>
      <c r="D33" s="7">
        <v>55720.0</v>
      </c>
      <c r="E33" s="7">
        <v>376257.0</v>
      </c>
      <c r="F33" s="7">
        <v>370195.0</v>
      </c>
      <c r="G33" s="7">
        <v>870010.0</v>
      </c>
      <c r="H33" s="7">
        <v>1.61884E8</v>
      </c>
      <c r="I33" s="7">
        <v>20272.0</v>
      </c>
      <c r="J33" s="7">
        <v>19739.0</v>
      </c>
      <c r="K33" s="7">
        <v>533.0</v>
      </c>
      <c r="L33" s="7">
        <v>35.17</v>
      </c>
      <c r="M33" s="7">
        <v>-0.1</v>
      </c>
      <c r="N33" s="7">
        <v>866.0</v>
      </c>
      <c r="O33" s="7">
        <v>176521.0</v>
      </c>
      <c r="P33" s="7" t="s">
        <v>410</v>
      </c>
      <c r="Q33" s="7">
        <v>63.32</v>
      </c>
      <c r="R33" s="3">
        <f t="shared" si="1"/>
        <v>63.32</v>
      </c>
    </row>
    <row r="34" ht="22.5" customHeight="1">
      <c r="B34" s="7" t="s">
        <v>35</v>
      </c>
      <c r="C34" s="7">
        <v>679.0</v>
      </c>
      <c r="D34" s="7">
        <v>18401.0</v>
      </c>
      <c r="E34" s="7">
        <v>534020.0</v>
      </c>
      <c r="F34" s="7">
        <v>529105.0</v>
      </c>
      <c r="G34" s="7">
        <v>952962.0</v>
      </c>
      <c r="H34" s="7">
        <v>4.36629E7</v>
      </c>
      <c r="I34" s="7">
        <v>35380.0</v>
      </c>
      <c r="J34" s="7">
        <v>34791.0</v>
      </c>
      <c r="K34" s="7">
        <v>589.0</v>
      </c>
      <c r="L34" s="7">
        <v>21.1</v>
      </c>
      <c r="M34" s="7">
        <v>-0.08</v>
      </c>
      <c r="N34" s="7">
        <v>967.0</v>
      </c>
      <c r="O34" s="7">
        <v>262144.0</v>
      </c>
      <c r="P34" s="7" t="s">
        <v>409</v>
      </c>
      <c r="Q34" s="7">
        <v>70.29</v>
      </c>
      <c r="R34" s="3">
        <f t="shared" si="1"/>
        <v>70.29</v>
      </c>
    </row>
    <row r="35" ht="22.5" customHeight="1">
      <c r="B35" s="7" t="s">
        <v>56</v>
      </c>
      <c r="C35" s="7">
        <v>600.0</v>
      </c>
      <c r="D35" s="7">
        <v>16790.0</v>
      </c>
      <c r="E35" s="7">
        <v>516850.0</v>
      </c>
      <c r="F35" s="7">
        <v>512594.0</v>
      </c>
      <c r="G35" s="7">
        <v>882946.0</v>
      </c>
      <c r="H35" s="7">
        <v>3.9432585E7</v>
      </c>
      <c r="I35" s="7">
        <v>36718.0</v>
      </c>
      <c r="J35" s="7">
        <v>36167.0</v>
      </c>
      <c r="K35" s="7">
        <v>551.0</v>
      </c>
      <c r="L35" s="7">
        <v>21.84</v>
      </c>
      <c r="M35" s="7">
        <v>-0.07</v>
      </c>
      <c r="N35" s="7">
        <v>896.0</v>
      </c>
      <c r="O35" s="7">
        <v>254403.0</v>
      </c>
      <c r="P35" s="7" t="s">
        <v>409</v>
      </c>
      <c r="Q35" s="7">
        <v>71.25</v>
      </c>
      <c r="R35" s="3">
        <f t="shared" si="1"/>
        <v>71.25</v>
      </c>
    </row>
    <row r="36" ht="22.5" customHeight="1">
      <c r="B36" s="7" t="s">
        <v>48</v>
      </c>
      <c r="C36" s="7">
        <v>3559.0</v>
      </c>
      <c r="D36" s="7">
        <v>14096.0</v>
      </c>
      <c r="E36" s="7">
        <v>805841.0</v>
      </c>
      <c r="F36" s="7">
        <v>793350.0</v>
      </c>
      <c r="G36" s="7">
        <v>1568440.0</v>
      </c>
      <c r="H36" s="7">
        <v>1.03167038E8</v>
      </c>
      <c r="I36" s="7">
        <v>31022.0</v>
      </c>
      <c r="J36" s="7">
        <v>29627.0</v>
      </c>
      <c r="K36" s="7">
        <v>1395.0</v>
      </c>
      <c r="L36" s="7">
        <v>32.95</v>
      </c>
      <c r="M36" s="7">
        <v>-0.07</v>
      </c>
      <c r="N36" s="7">
        <v>2305.0</v>
      </c>
      <c r="O36" s="7">
        <v>291280.0</v>
      </c>
      <c r="P36" s="7" t="s">
        <v>409</v>
      </c>
      <c r="Q36" s="7">
        <v>73.98</v>
      </c>
      <c r="R36" s="3">
        <f t="shared" si="1"/>
        <v>73.98</v>
      </c>
    </row>
    <row r="37" ht="22.5" customHeight="1">
      <c r="B37" s="7" t="s">
        <v>46</v>
      </c>
      <c r="C37" s="7">
        <v>919562.0</v>
      </c>
      <c r="D37" s="7">
        <v>1.03439854E8</v>
      </c>
      <c r="E37" s="7">
        <v>0.0</v>
      </c>
      <c r="F37" s="7">
        <v>0.0</v>
      </c>
      <c r="G37" s="7">
        <v>0.0</v>
      </c>
      <c r="H37" s="7">
        <v>230180.0</v>
      </c>
      <c r="I37" s="7">
        <v>0.0</v>
      </c>
      <c r="J37" s="7">
        <v>0.0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7" t="s">
        <v>409</v>
      </c>
      <c r="Q37" s="7">
        <v>75.19</v>
      </c>
      <c r="R37" s="3">
        <f t="shared" si="1"/>
        <v>75.19</v>
      </c>
    </row>
    <row r="38" ht="22.5" customHeight="1">
      <c r="B38" s="7" t="s">
        <v>38</v>
      </c>
      <c r="C38" s="7">
        <v>679.0</v>
      </c>
      <c r="D38" s="7">
        <v>18374.0</v>
      </c>
      <c r="E38" s="7">
        <v>528846.0</v>
      </c>
      <c r="F38" s="7">
        <v>523627.0</v>
      </c>
      <c r="G38" s="7">
        <v>991528.0</v>
      </c>
      <c r="H38" s="7">
        <v>4.3116913E7</v>
      </c>
      <c r="I38" s="7">
        <v>34690.0</v>
      </c>
      <c r="J38" s="7">
        <v>34095.0</v>
      </c>
      <c r="K38" s="7">
        <v>595.0</v>
      </c>
      <c r="L38" s="7">
        <v>20.36</v>
      </c>
      <c r="M38" s="7">
        <v>-0.09</v>
      </c>
      <c r="N38" s="7">
        <v>963.0</v>
      </c>
      <c r="O38" s="7">
        <v>264400.0</v>
      </c>
      <c r="P38" s="7" t="s">
        <v>409</v>
      </c>
      <c r="Q38" s="7">
        <v>75.28</v>
      </c>
      <c r="R38" s="3">
        <f t="shared" si="1"/>
        <v>75.28</v>
      </c>
    </row>
    <row r="39" ht="22.5" customHeight="1">
      <c r="B39" s="7" t="s">
        <v>140</v>
      </c>
      <c r="C39" s="7">
        <v>2484.0</v>
      </c>
      <c r="D39" s="7">
        <v>10627.0</v>
      </c>
      <c r="E39" s="7">
        <v>812286.0</v>
      </c>
      <c r="F39" s="7">
        <v>799683.0</v>
      </c>
      <c r="G39" s="7">
        <v>1643793.0</v>
      </c>
      <c r="H39" s="7">
        <v>8.9412176E7</v>
      </c>
      <c r="I39" s="7">
        <v>35738.0</v>
      </c>
      <c r="J39" s="7">
        <v>34311.0</v>
      </c>
      <c r="K39" s="7">
        <v>1427.0</v>
      </c>
      <c r="L39" s="7">
        <v>32.5</v>
      </c>
      <c r="M39" s="7">
        <v>-0.08</v>
      </c>
      <c r="N39" s="7">
        <v>2349.0</v>
      </c>
      <c r="O39" s="7">
        <v>273255.0</v>
      </c>
      <c r="P39" s="7" t="s">
        <v>409</v>
      </c>
      <c r="Q39" s="7">
        <v>77.63</v>
      </c>
      <c r="R39" s="3">
        <f t="shared" si="1"/>
        <v>77.63</v>
      </c>
    </row>
    <row r="40" ht="22.5" customHeight="1">
      <c r="B40" s="7" t="s">
        <v>157</v>
      </c>
      <c r="C40" s="7">
        <v>72078.0</v>
      </c>
      <c r="D40" s="7">
        <v>517702.0</v>
      </c>
      <c r="E40" s="7">
        <v>240416.0</v>
      </c>
      <c r="F40" s="7">
        <v>236810.0</v>
      </c>
      <c r="G40" s="7">
        <v>1026336.0</v>
      </c>
      <c r="H40" s="7">
        <v>1.23217933E8</v>
      </c>
      <c r="I40" s="7">
        <v>8058.0</v>
      </c>
      <c r="J40" s="7">
        <v>7585.0</v>
      </c>
      <c r="K40" s="7">
        <v>473.0</v>
      </c>
      <c r="L40" s="7">
        <v>36.65</v>
      </c>
      <c r="M40" s="7">
        <v>-0.1</v>
      </c>
      <c r="N40" s="7">
        <v>778.0</v>
      </c>
      <c r="O40" s="7">
        <v>201222.0</v>
      </c>
      <c r="P40" s="7" t="s">
        <v>409</v>
      </c>
      <c r="Q40" s="7">
        <v>79.66</v>
      </c>
      <c r="R40" s="3">
        <f t="shared" si="1"/>
        <v>79.66</v>
      </c>
    </row>
    <row r="41" ht="22.5" customHeight="1">
      <c r="B41" s="7" t="s">
        <v>53</v>
      </c>
      <c r="C41" s="7">
        <v>15254.0</v>
      </c>
      <c r="D41" s="7">
        <v>68087.0</v>
      </c>
      <c r="E41" s="7">
        <v>875398.0</v>
      </c>
      <c r="F41" s="7">
        <v>867457.0</v>
      </c>
      <c r="G41" s="7">
        <v>1205223.0</v>
      </c>
      <c r="H41" s="7">
        <v>1.4253949E8</v>
      </c>
      <c r="I41" s="7">
        <v>30257.0</v>
      </c>
      <c r="J41" s="7">
        <v>28619.0</v>
      </c>
      <c r="K41" s="7">
        <v>1638.0</v>
      </c>
      <c r="L41" s="7">
        <v>27.38</v>
      </c>
      <c r="M41" s="7">
        <v>-0.04</v>
      </c>
      <c r="N41" s="7">
        <v>2683.0</v>
      </c>
      <c r="O41" s="7">
        <v>268952.0</v>
      </c>
      <c r="P41" s="7" t="s">
        <v>410</v>
      </c>
      <c r="Q41" s="7">
        <v>82.51</v>
      </c>
      <c r="R41" s="3">
        <f t="shared" si="1"/>
        <v>82.51</v>
      </c>
    </row>
    <row r="42" ht="22.5" customHeight="1">
      <c r="B42" s="7" t="s">
        <v>52</v>
      </c>
      <c r="C42" s="7">
        <v>97675.0</v>
      </c>
      <c r="D42" s="7">
        <v>809532.0</v>
      </c>
      <c r="E42" s="7">
        <v>202668.0</v>
      </c>
      <c r="F42" s="7">
        <v>92910.0</v>
      </c>
      <c r="G42" s="7">
        <v>1656230.0</v>
      </c>
      <c r="H42" s="7">
        <v>2.5784219E8</v>
      </c>
      <c r="I42" s="7">
        <v>1072.0</v>
      </c>
      <c r="J42" s="7">
        <v>807.0</v>
      </c>
      <c r="K42" s="7">
        <v>265.0</v>
      </c>
      <c r="L42" s="7">
        <v>1459.25</v>
      </c>
      <c r="M42" s="7">
        <v>-0.06</v>
      </c>
      <c r="N42" s="7">
        <v>438.0</v>
      </c>
      <c r="O42" s="7">
        <v>235445.0</v>
      </c>
      <c r="P42" s="7" t="s">
        <v>409</v>
      </c>
      <c r="Q42" s="7">
        <v>87.46</v>
      </c>
      <c r="R42" s="3">
        <f t="shared" si="1"/>
        <v>87.46</v>
      </c>
    </row>
    <row r="43" ht="22.5" customHeight="1">
      <c r="B43" s="7" t="s">
        <v>36</v>
      </c>
      <c r="C43" s="7">
        <v>1385.0</v>
      </c>
      <c r="D43" s="7">
        <v>27650.0</v>
      </c>
      <c r="E43" s="7">
        <v>740071.0</v>
      </c>
      <c r="F43" s="7">
        <v>727763.0</v>
      </c>
      <c r="G43" s="7">
        <v>1157329.0</v>
      </c>
      <c r="H43" s="7">
        <v>8.5970953E7</v>
      </c>
      <c r="I43" s="7">
        <v>16279.0</v>
      </c>
      <c r="J43" s="7">
        <v>15072.0</v>
      </c>
      <c r="K43" s="7">
        <v>1207.0</v>
      </c>
      <c r="L43" s="7">
        <v>43.09</v>
      </c>
      <c r="M43" s="7">
        <v>-0.05</v>
      </c>
      <c r="N43" s="7">
        <v>1988.0</v>
      </c>
      <c r="O43" s="7">
        <v>376693.0</v>
      </c>
      <c r="P43" s="7" t="s">
        <v>409</v>
      </c>
      <c r="Q43" s="7">
        <v>89.3</v>
      </c>
      <c r="R43" s="3">
        <f t="shared" si="1"/>
        <v>89.3</v>
      </c>
    </row>
    <row r="44" ht="22.5" customHeight="1">
      <c r="B44" s="7" t="s">
        <v>49</v>
      </c>
      <c r="C44" s="7">
        <v>945.0</v>
      </c>
      <c r="D44" s="7">
        <v>61409.0</v>
      </c>
      <c r="E44" s="7">
        <v>740159.0</v>
      </c>
      <c r="F44" s="7">
        <v>723556.0</v>
      </c>
      <c r="G44" s="7">
        <v>1081399.0</v>
      </c>
      <c r="H44" s="7">
        <v>7.2595217E7</v>
      </c>
      <c r="I44" s="7">
        <v>21337.0</v>
      </c>
      <c r="J44" s="7">
        <v>20095.0</v>
      </c>
      <c r="K44" s="7">
        <v>1242.0</v>
      </c>
      <c r="L44" s="7">
        <v>53.16</v>
      </c>
      <c r="M44" s="7">
        <v>-0.05</v>
      </c>
      <c r="N44" s="7">
        <v>2021.0</v>
      </c>
      <c r="O44" s="7">
        <v>330703.0</v>
      </c>
      <c r="P44" s="7" t="s">
        <v>409</v>
      </c>
      <c r="Q44" s="7">
        <v>90.36</v>
      </c>
      <c r="R44" s="3">
        <f t="shared" si="1"/>
        <v>90.36</v>
      </c>
    </row>
    <row r="45" ht="22.5" customHeight="1">
      <c r="B45" s="7" t="s">
        <v>43</v>
      </c>
      <c r="C45" s="7">
        <v>2441.0</v>
      </c>
      <c r="D45" s="7">
        <v>15733.0</v>
      </c>
      <c r="E45" s="7">
        <v>720863.0</v>
      </c>
      <c r="F45" s="7">
        <v>708930.0</v>
      </c>
      <c r="G45" s="7">
        <v>1152295.0</v>
      </c>
      <c r="H45" s="7">
        <v>5.1767213E7</v>
      </c>
      <c r="I45" s="7">
        <v>23763.0</v>
      </c>
      <c r="J45" s="7">
        <v>22625.0</v>
      </c>
      <c r="K45" s="7">
        <v>1138.0</v>
      </c>
      <c r="L45" s="7">
        <v>26.55</v>
      </c>
      <c r="M45" s="7">
        <v>-0.06</v>
      </c>
      <c r="N45" s="7">
        <v>1881.0</v>
      </c>
      <c r="O45" s="7">
        <v>320741.0</v>
      </c>
      <c r="P45" s="7" t="s">
        <v>410</v>
      </c>
      <c r="Q45" s="7">
        <v>92.29</v>
      </c>
      <c r="R45" s="3">
        <f t="shared" si="1"/>
        <v>92.29</v>
      </c>
    </row>
    <row r="46" ht="22.5" customHeight="1">
      <c r="B46" s="7" t="s">
        <v>30</v>
      </c>
      <c r="C46" s="7">
        <v>9824.0</v>
      </c>
      <c r="D46" s="7">
        <v>153979.0</v>
      </c>
      <c r="E46" s="7">
        <v>733099.0</v>
      </c>
      <c r="F46" s="7">
        <v>721052.0</v>
      </c>
      <c r="G46" s="7">
        <v>1458768.0</v>
      </c>
      <c r="H46" s="7">
        <v>1.26142397E8</v>
      </c>
      <c r="I46" s="7">
        <v>29621.0</v>
      </c>
      <c r="J46" s="7">
        <v>28450.0</v>
      </c>
      <c r="K46" s="7">
        <v>1171.0</v>
      </c>
      <c r="L46" s="7">
        <v>25.13</v>
      </c>
      <c r="M46" s="7">
        <v>-0.08</v>
      </c>
      <c r="N46" s="7">
        <v>1938.0</v>
      </c>
      <c r="O46" s="7">
        <v>296841.0</v>
      </c>
      <c r="P46" s="7" t="s">
        <v>409</v>
      </c>
      <c r="Q46" s="7">
        <v>94.09</v>
      </c>
      <c r="R46" s="3">
        <f t="shared" si="1"/>
        <v>94.09</v>
      </c>
    </row>
    <row r="47" ht="22.5" customHeight="1">
      <c r="B47" s="7" t="s">
        <v>96</v>
      </c>
      <c r="C47" s="7">
        <v>686.0</v>
      </c>
      <c r="D47" s="7">
        <v>19096.0</v>
      </c>
      <c r="E47" s="7">
        <v>607160.0</v>
      </c>
      <c r="F47" s="7">
        <v>602277.0</v>
      </c>
      <c r="G47" s="7">
        <v>1039995.0</v>
      </c>
      <c r="H47" s="7">
        <v>5.3468642E7</v>
      </c>
      <c r="I47" s="7">
        <v>33688.0</v>
      </c>
      <c r="J47" s="7">
        <v>32801.0</v>
      </c>
      <c r="K47" s="7">
        <v>887.0</v>
      </c>
      <c r="L47" s="7">
        <v>21.59</v>
      </c>
      <c r="M47" s="7">
        <v>-0.07</v>
      </c>
      <c r="N47" s="7">
        <v>1407.0</v>
      </c>
      <c r="O47" s="7">
        <v>265931.0</v>
      </c>
      <c r="P47" s="7" t="s">
        <v>409</v>
      </c>
      <c r="Q47" s="7">
        <v>94.83</v>
      </c>
      <c r="R47" s="3">
        <f t="shared" si="1"/>
        <v>94.83</v>
      </c>
    </row>
    <row r="48" ht="22.5" customHeight="1">
      <c r="B48" s="7" t="s">
        <v>64</v>
      </c>
      <c r="C48" s="7">
        <v>11137.0</v>
      </c>
      <c r="D48" s="7">
        <v>29956.0</v>
      </c>
      <c r="E48" s="7">
        <v>1269143.0</v>
      </c>
      <c r="F48" s="7">
        <v>1250032.0</v>
      </c>
      <c r="G48" s="7">
        <v>1992038.0</v>
      </c>
      <c r="H48" s="7">
        <v>1.37612364E8</v>
      </c>
      <c r="I48" s="7">
        <v>36968.0</v>
      </c>
      <c r="J48" s="7">
        <v>34952.0</v>
      </c>
      <c r="K48" s="7">
        <v>2016.0</v>
      </c>
      <c r="L48" s="7">
        <v>19.85</v>
      </c>
      <c r="M48" s="7">
        <v>-0.06</v>
      </c>
      <c r="N48" s="7">
        <v>3349.0</v>
      </c>
      <c r="O48" s="7">
        <v>525370.0</v>
      </c>
      <c r="P48" s="7" t="s">
        <v>410</v>
      </c>
      <c r="Q48" s="7">
        <v>95.44</v>
      </c>
      <c r="R48" s="3">
        <f t="shared" si="1"/>
        <v>95.44</v>
      </c>
    </row>
    <row r="49" ht="22.5" customHeight="1">
      <c r="B49" s="7" t="s">
        <v>129</v>
      </c>
      <c r="C49" s="7">
        <v>2470.0</v>
      </c>
      <c r="D49" s="7">
        <v>10585.0</v>
      </c>
      <c r="E49" s="7">
        <v>988283.0</v>
      </c>
      <c r="F49" s="7">
        <v>975155.0</v>
      </c>
      <c r="G49" s="7">
        <v>1807791.0</v>
      </c>
      <c r="H49" s="7">
        <v>1.14245938E8</v>
      </c>
      <c r="I49" s="7">
        <v>34504.0</v>
      </c>
      <c r="J49" s="7">
        <v>32571.0</v>
      </c>
      <c r="K49" s="7">
        <v>1933.0</v>
      </c>
      <c r="L49" s="7">
        <v>33.27</v>
      </c>
      <c r="M49" s="7">
        <v>-0.06</v>
      </c>
      <c r="N49" s="7">
        <v>3199.0</v>
      </c>
      <c r="O49" s="7">
        <v>280822.0</v>
      </c>
      <c r="P49" s="7" t="s">
        <v>409</v>
      </c>
      <c r="Q49" s="7">
        <v>96.92</v>
      </c>
      <c r="R49" s="3">
        <f t="shared" si="1"/>
        <v>96.92</v>
      </c>
    </row>
    <row r="50" ht="22.5" customHeight="1">
      <c r="B50" s="7" t="s">
        <v>117</v>
      </c>
      <c r="C50" s="7">
        <v>827.0</v>
      </c>
      <c r="D50" s="7">
        <v>20669.0</v>
      </c>
      <c r="E50" s="7">
        <v>676823.0</v>
      </c>
      <c r="F50" s="7">
        <v>670820.0</v>
      </c>
      <c r="G50" s="7">
        <v>1197960.0</v>
      </c>
      <c r="H50" s="7">
        <v>6.6777554E7</v>
      </c>
      <c r="I50" s="7">
        <v>38369.0</v>
      </c>
      <c r="J50" s="7">
        <v>37336.0</v>
      </c>
      <c r="K50" s="7">
        <v>1033.0</v>
      </c>
      <c r="L50" s="7">
        <v>22.94</v>
      </c>
      <c r="M50" s="7">
        <v>-0.07</v>
      </c>
      <c r="N50" s="7">
        <v>1690.0</v>
      </c>
      <c r="O50" s="7">
        <v>257247.0</v>
      </c>
      <c r="P50" s="7" t="s">
        <v>409</v>
      </c>
      <c r="Q50" s="7">
        <v>104.05</v>
      </c>
      <c r="R50" s="3">
        <f t="shared" si="1"/>
        <v>104.05</v>
      </c>
    </row>
    <row r="51" ht="22.5" customHeight="1">
      <c r="B51" s="7" t="s">
        <v>89</v>
      </c>
      <c r="C51" s="7">
        <v>3191.0</v>
      </c>
      <c r="D51" s="7">
        <v>73950.0</v>
      </c>
      <c r="E51" s="7">
        <v>958764.0</v>
      </c>
      <c r="F51" s="7">
        <v>927136.0</v>
      </c>
      <c r="G51" s="7">
        <v>1762826.0</v>
      </c>
      <c r="H51" s="7">
        <v>1.4129665E8</v>
      </c>
      <c r="I51" s="7">
        <v>18316.0</v>
      </c>
      <c r="J51" s="7">
        <v>16347.0</v>
      </c>
      <c r="K51" s="7">
        <v>1969.0</v>
      </c>
      <c r="L51" s="7">
        <v>119.57</v>
      </c>
      <c r="M51" s="7">
        <v>-0.05</v>
      </c>
      <c r="N51" s="7">
        <v>3169.0</v>
      </c>
      <c r="O51" s="7">
        <v>447688.0</v>
      </c>
      <c r="P51" s="7" t="s">
        <v>409</v>
      </c>
      <c r="Q51" s="7">
        <v>105.76</v>
      </c>
      <c r="R51" s="3">
        <f t="shared" si="1"/>
        <v>105.76</v>
      </c>
    </row>
    <row r="52" ht="22.5" customHeight="1">
      <c r="B52" s="7" t="s">
        <v>84</v>
      </c>
      <c r="C52" s="7">
        <v>2958.0</v>
      </c>
      <c r="D52" s="7">
        <v>8708.0</v>
      </c>
      <c r="E52" s="7">
        <v>1034230.0</v>
      </c>
      <c r="F52" s="7">
        <v>1032091.0</v>
      </c>
      <c r="G52" s="7">
        <v>1083683.0</v>
      </c>
      <c r="H52" s="7">
        <v>2.14912033E8</v>
      </c>
      <c r="I52" s="7">
        <v>24365.0</v>
      </c>
      <c r="J52" s="7">
        <v>22203.0</v>
      </c>
      <c r="K52" s="7">
        <v>2162.0</v>
      </c>
      <c r="L52" s="7">
        <v>43.02</v>
      </c>
      <c r="M52" s="7">
        <v>-0.01</v>
      </c>
      <c r="N52" s="7">
        <v>3496.0</v>
      </c>
      <c r="O52" s="7">
        <v>291284.0</v>
      </c>
      <c r="P52" s="7" t="s">
        <v>410</v>
      </c>
      <c r="Q52" s="7">
        <v>114.58</v>
      </c>
      <c r="R52" s="3">
        <f t="shared" si="1"/>
        <v>114.58</v>
      </c>
    </row>
    <row r="53" ht="22.5" customHeight="1">
      <c r="B53" s="7" t="s">
        <v>37</v>
      </c>
      <c r="C53" s="7">
        <v>270120.0</v>
      </c>
      <c r="D53" s="7">
        <v>1227441.0</v>
      </c>
      <c r="E53" s="7">
        <v>375560.0</v>
      </c>
      <c r="F53" s="7">
        <v>358047.0</v>
      </c>
      <c r="G53" s="7">
        <v>1430085.0</v>
      </c>
      <c r="H53" s="7">
        <v>3.62221746E8</v>
      </c>
      <c r="I53" s="7">
        <v>8752.0</v>
      </c>
      <c r="J53" s="7">
        <v>8247.0</v>
      </c>
      <c r="K53" s="7">
        <v>505.0</v>
      </c>
      <c r="L53" s="7">
        <v>161.55</v>
      </c>
      <c r="M53" s="7">
        <v>-0.05</v>
      </c>
      <c r="N53" s="7">
        <v>837.0</v>
      </c>
      <c r="O53" s="7">
        <v>220336.0</v>
      </c>
      <c r="P53" s="7" t="s">
        <v>409</v>
      </c>
      <c r="Q53" s="7">
        <v>119.12</v>
      </c>
      <c r="R53" s="3">
        <f t="shared" si="1"/>
        <v>119.12</v>
      </c>
    </row>
    <row r="54" ht="22.5" customHeight="1">
      <c r="B54" s="7" t="s">
        <v>115</v>
      </c>
      <c r="C54" s="7">
        <v>3073.0</v>
      </c>
      <c r="D54" s="7">
        <v>19610.0</v>
      </c>
      <c r="E54" s="7">
        <v>552519.0</v>
      </c>
      <c r="F54" s="7">
        <v>546050.0</v>
      </c>
      <c r="G54" s="7">
        <v>1005780.0</v>
      </c>
      <c r="H54" s="7">
        <v>1.50625089E8</v>
      </c>
      <c r="I54" s="7">
        <v>30121.0</v>
      </c>
      <c r="J54" s="7">
        <v>29460.0</v>
      </c>
      <c r="K54" s="7">
        <v>661.0</v>
      </c>
      <c r="L54" s="7">
        <v>28.87</v>
      </c>
      <c r="M54" s="7">
        <v>-0.08</v>
      </c>
      <c r="N54" s="7">
        <v>1076.0</v>
      </c>
      <c r="O54" s="7">
        <v>280342.0</v>
      </c>
      <c r="P54" s="7" t="s">
        <v>409</v>
      </c>
      <c r="Q54" s="7">
        <v>120.19</v>
      </c>
      <c r="R54" s="3">
        <f t="shared" si="1"/>
        <v>120.19</v>
      </c>
    </row>
    <row r="55" ht="22.5" customHeight="1">
      <c r="B55" s="7" t="s">
        <v>54</v>
      </c>
      <c r="C55" s="7">
        <v>7807714.0</v>
      </c>
      <c r="D55" s="7">
        <v>3.59743E7</v>
      </c>
      <c r="E55" s="7">
        <v>1322.0</v>
      </c>
      <c r="F55" s="7">
        <v>1222.0</v>
      </c>
      <c r="G55" s="7">
        <v>2744543.0</v>
      </c>
      <c r="H55" s="7">
        <v>3.3737143E7</v>
      </c>
      <c r="I55" s="7">
        <v>70.0</v>
      </c>
      <c r="J55" s="7">
        <v>70.0</v>
      </c>
      <c r="K55" s="7">
        <v>0.0</v>
      </c>
      <c r="L55" s="7">
        <v>15.74</v>
      </c>
      <c r="M55" s="7">
        <v>-0.27</v>
      </c>
      <c r="N55" s="7">
        <v>1.0</v>
      </c>
      <c r="O55" s="7">
        <v>13679.0</v>
      </c>
      <c r="P55" s="7" t="s">
        <v>409</v>
      </c>
      <c r="Q55" s="7">
        <v>129.56</v>
      </c>
      <c r="R55" s="3">
        <f t="shared" si="1"/>
        <v>129.56</v>
      </c>
    </row>
    <row r="56" ht="22.5" customHeight="1">
      <c r="B56" s="7" t="s">
        <v>86</v>
      </c>
      <c r="C56" s="7">
        <v>139915.0</v>
      </c>
      <c r="D56" s="7">
        <v>590682.0</v>
      </c>
      <c r="E56" s="7">
        <v>431332.0</v>
      </c>
      <c r="F56" s="7">
        <v>407443.0</v>
      </c>
      <c r="G56" s="7">
        <v>1837630.0</v>
      </c>
      <c r="H56" s="7">
        <v>2.76046619E8</v>
      </c>
      <c r="I56" s="7">
        <v>21402.0</v>
      </c>
      <c r="J56" s="7">
        <v>21003.0</v>
      </c>
      <c r="K56" s="7">
        <v>399.0</v>
      </c>
      <c r="L56" s="7">
        <v>37.2</v>
      </c>
      <c r="M56" s="7">
        <v>-0.16</v>
      </c>
      <c r="N56" s="7">
        <v>734.0</v>
      </c>
      <c r="O56" s="7">
        <v>367090.0</v>
      </c>
      <c r="P56" s="7" t="s">
        <v>410</v>
      </c>
      <c r="Q56" s="7">
        <v>134.26</v>
      </c>
      <c r="R56" s="3">
        <f t="shared" si="1"/>
        <v>134.26</v>
      </c>
    </row>
    <row r="57" ht="22.5" customHeight="1">
      <c r="B57" s="7" t="s">
        <v>75</v>
      </c>
      <c r="C57" s="7">
        <v>679.0</v>
      </c>
      <c r="D57" s="7">
        <v>18292.0</v>
      </c>
      <c r="E57" s="7">
        <v>777409.0</v>
      </c>
      <c r="F57" s="7">
        <v>771687.0</v>
      </c>
      <c r="G57" s="7">
        <v>1206858.0</v>
      </c>
      <c r="H57" s="7">
        <v>7.1619932E7</v>
      </c>
      <c r="I57" s="7">
        <v>37326.0</v>
      </c>
      <c r="J57" s="7">
        <v>35901.0</v>
      </c>
      <c r="K57" s="7">
        <v>1425.0</v>
      </c>
      <c r="L57" s="7">
        <v>21.64</v>
      </c>
      <c r="M57" s="7">
        <v>-0.06</v>
      </c>
      <c r="N57" s="7">
        <v>2277.0</v>
      </c>
      <c r="O57" s="7">
        <v>258888.0</v>
      </c>
      <c r="P57" s="7" t="s">
        <v>409</v>
      </c>
      <c r="Q57" s="7">
        <v>141.09</v>
      </c>
      <c r="R57" s="3">
        <f t="shared" si="1"/>
        <v>141.09</v>
      </c>
    </row>
    <row r="58" ht="22.5" customHeight="1">
      <c r="B58" s="7" t="s">
        <v>60</v>
      </c>
      <c r="C58" s="7">
        <v>110108.0</v>
      </c>
      <c r="D58" s="7">
        <v>506718.0</v>
      </c>
      <c r="E58" s="7">
        <v>114495.0</v>
      </c>
      <c r="F58" s="7">
        <v>109106.0</v>
      </c>
      <c r="G58" s="7">
        <v>302983.0</v>
      </c>
      <c r="H58" s="7">
        <v>4.1652056E8</v>
      </c>
      <c r="I58" s="7">
        <v>3769.0</v>
      </c>
      <c r="J58" s="7">
        <v>3658.0</v>
      </c>
      <c r="K58" s="7">
        <v>111.0</v>
      </c>
      <c r="L58" s="7">
        <v>64.65</v>
      </c>
      <c r="M58" s="7">
        <v>-0.09</v>
      </c>
      <c r="N58" s="7">
        <v>194.0</v>
      </c>
      <c r="O58" s="7">
        <v>110890.0</v>
      </c>
      <c r="P58" s="7" t="s">
        <v>409</v>
      </c>
      <c r="Q58" s="7">
        <v>143.21</v>
      </c>
      <c r="R58" s="3">
        <f t="shared" si="1"/>
        <v>143.21</v>
      </c>
    </row>
    <row r="59" ht="22.5" customHeight="1">
      <c r="B59" s="7" t="s">
        <v>65</v>
      </c>
      <c r="C59" s="7">
        <v>1140.0</v>
      </c>
      <c r="D59" s="7">
        <v>4253.0</v>
      </c>
      <c r="E59" s="7">
        <v>1921489.0</v>
      </c>
      <c r="F59" s="7">
        <v>1898028.0</v>
      </c>
      <c r="G59" s="7">
        <v>3225629.0</v>
      </c>
      <c r="H59" s="7">
        <v>8.6882767E7</v>
      </c>
      <c r="I59" s="7">
        <v>92523.0</v>
      </c>
      <c r="J59" s="7">
        <v>90424.0</v>
      </c>
      <c r="K59" s="7">
        <v>2099.0</v>
      </c>
      <c r="L59" s="7">
        <v>19.51</v>
      </c>
      <c r="M59" s="7">
        <v>-0.07</v>
      </c>
      <c r="N59" s="7">
        <v>3431.0</v>
      </c>
      <c r="O59" s="7">
        <v>1036177.0</v>
      </c>
      <c r="P59" s="7" t="s">
        <v>410</v>
      </c>
      <c r="Q59" s="7">
        <v>149.31</v>
      </c>
      <c r="R59" s="3">
        <f t="shared" si="1"/>
        <v>149.31</v>
      </c>
    </row>
    <row r="60" ht="22.5" customHeight="1">
      <c r="B60" s="7" t="s">
        <v>61</v>
      </c>
      <c r="C60" s="7">
        <v>57220.0</v>
      </c>
      <c r="D60" s="7">
        <v>568572.0</v>
      </c>
      <c r="E60" s="7">
        <v>300088.0</v>
      </c>
      <c r="F60" s="7">
        <v>292257.0</v>
      </c>
      <c r="G60" s="7">
        <v>1838412.0</v>
      </c>
      <c r="H60" s="7">
        <v>3.16150661E8</v>
      </c>
      <c r="I60" s="7">
        <v>23740.0</v>
      </c>
      <c r="J60" s="7">
        <v>23275.0</v>
      </c>
      <c r="K60" s="7">
        <v>465.0</v>
      </c>
      <c r="L60" s="7">
        <v>28.51</v>
      </c>
      <c r="M60" s="7">
        <v>-0.18</v>
      </c>
      <c r="N60" s="7">
        <v>798.0</v>
      </c>
      <c r="O60" s="7">
        <v>152045.0</v>
      </c>
      <c r="P60" s="7" t="s">
        <v>409</v>
      </c>
      <c r="Q60" s="7">
        <v>154.43</v>
      </c>
      <c r="R60" s="3">
        <f t="shared" si="1"/>
        <v>154.43</v>
      </c>
    </row>
    <row r="61" ht="22.5" customHeight="1">
      <c r="B61" s="7" t="s">
        <v>76</v>
      </c>
      <c r="C61" s="7">
        <v>687.0</v>
      </c>
      <c r="D61" s="7">
        <v>19681.0</v>
      </c>
      <c r="E61" s="7">
        <v>848366.0</v>
      </c>
      <c r="F61" s="7">
        <v>841890.0</v>
      </c>
      <c r="G61" s="7">
        <v>1318678.0</v>
      </c>
      <c r="H61" s="7">
        <v>8.0284311E7</v>
      </c>
      <c r="I61" s="7">
        <v>36901.0</v>
      </c>
      <c r="J61" s="7">
        <v>35300.0</v>
      </c>
      <c r="K61" s="7">
        <v>1601.0</v>
      </c>
      <c r="L61" s="7">
        <v>22.02</v>
      </c>
      <c r="M61" s="7">
        <v>-0.06</v>
      </c>
      <c r="N61" s="7">
        <v>2593.0</v>
      </c>
      <c r="O61" s="7">
        <v>260039.0</v>
      </c>
      <c r="P61" s="7" t="s">
        <v>409</v>
      </c>
      <c r="Q61" s="7">
        <v>155.39</v>
      </c>
      <c r="R61" s="3">
        <f t="shared" si="1"/>
        <v>155.39</v>
      </c>
    </row>
    <row r="62" ht="22.5" customHeight="1">
      <c r="B62" s="7" t="s">
        <v>222</v>
      </c>
      <c r="C62" s="7">
        <v>3220.0</v>
      </c>
      <c r="D62" s="7">
        <v>12314.0</v>
      </c>
      <c r="E62" s="7">
        <v>2101550.0</v>
      </c>
      <c r="F62" s="7">
        <v>2066878.0</v>
      </c>
      <c r="G62" s="7">
        <v>7290997.0</v>
      </c>
      <c r="H62" s="7">
        <v>1.44624407E8</v>
      </c>
      <c r="I62" s="7">
        <v>129283.0</v>
      </c>
      <c r="J62" s="7">
        <v>127093.0</v>
      </c>
      <c r="K62" s="7">
        <v>2190.0</v>
      </c>
      <c r="L62" s="7">
        <v>29.9</v>
      </c>
      <c r="M62" s="7">
        <v>-0.12</v>
      </c>
      <c r="N62" s="7">
        <v>3631.0</v>
      </c>
      <c r="O62" s="7">
        <v>1183332.0</v>
      </c>
      <c r="P62" s="7" t="s">
        <v>409</v>
      </c>
      <c r="Q62" s="7">
        <v>159.67</v>
      </c>
      <c r="R62" s="3">
        <f t="shared" si="1"/>
        <v>159.67</v>
      </c>
    </row>
    <row r="63" ht="22.5" customHeight="1">
      <c r="B63" s="7" t="s">
        <v>110</v>
      </c>
      <c r="C63" s="7">
        <v>14912.0</v>
      </c>
      <c r="D63" s="7">
        <v>381544.0</v>
      </c>
      <c r="E63" s="7">
        <v>516912.0</v>
      </c>
      <c r="F63" s="7">
        <v>501638.0</v>
      </c>
      <c r="G63" s="7">
        <v>2449067.0</v>
      </c>
      <c r="H63" s="7">
        <v>1.84173443E8</v>
      </c>
      <c r="I63" s="7">
        <v>37767.0</v>
      </c>
      <c r="J63" s="7">
        <v>37298.0</v>
      </c>
      <c r="K63" s="7">
        <v>469.0</v>
      </c>
      <c r="L63" s="7">
        <v>31.28</v>
      </c>
      <c r="M63" s="7">
        <v>-0.18</v>
      </c>
      <c r="N63" s="7">
        <v>815.0</v>
      </c>
      <c r="O63" s="7">
        <v>409139.0</v>
      </c>
      <c r="P63" s="7" t="s">
        <v>409</v>
      </c>
      <c r="Q63" s="7">
        <v>166.48</v>
      </c>
      <c r="R63" s="3">
        <f t="shared" si="1"/>
        <v>166.48</v>
      </c>
    </row>
    <row r="64" ht="22.5" customHeight="1">
      <c r="B64" s="7" t="s">
        <v>231</v>
      </c>
      <c r="C64" s="7">
        <v>3220.0</v>
      </c>
      <c r="D64" s="7">
        <v>12314.0</v>
      </c>
      <c r="E64" s="7">
        <v>2143163.0</v>
      </c>
      <c r="F64" s="7">
        <v>2107473.0</v>
      </c>
      <c r="G64" s="7">
        <v>7765718.0</v>
      </c>
      <c r="H64" s="7">
        <v>1.45802047E8</v>
      </c>
      <c r="I64" s="7">
        <v>130316.0</v>
      </c>
      <c r="J64" s="7">
        <v>128067.0</v>
      </c>
      <c r="K64" s="7">
        <v>2249.0</v>
      </c>
      <c r="L64" s="7">
        <v>31.08</v>
      </c>
      <c r="M64" s="7">
        <v>-0.12</v>
      </c>
      <c r="N64" s="7">
        <v>3772.0</v>
      </c>
      <c r="O64" s="7">
        <v>1197103.0</v>
      </c>
      <c r="P64" s="7" t="s">
        <v>409</v>
      </c>
      <c r="Q64" s="7">
        <v>168.46</v>
      </c>
      <c r="R64" s="3">
        <f t="shared" si="1"/>
        <v>168.46</v>
      </c>
    </row>
    <row r="65" ht="22.5" customHeight="1">
      <c r="B65" s="7" t="s">
        <v>122</v>
      </c>
      <c r="C65" s="7">
        <v>687.0</v>
      </c>
      <c r="D65" s="7">
        <v>19618.0</v>
      </c>
      <c r="E65" s="7">
        <v>882301.0</v>
      </c>
      <c r="F65" s="7">
        <v>876137.0</v>
      </c>
      <c r="G65" s="7">
        <v>1350177.0</v>
      </c>
      <c r="H65" s="7">
        <v>8.5670813E7</v>
      </c>
      <c r="I65" s="7">
        <v>35849.0</v>
      </c>
      <c r="J65" s="7">
        <v>34092.0</v>
      </c>
      <c r="K65" s="7">
        <v>1757.0</v>
      </c>
      <c r="L65" s="7">
        <v>22.62</v>
      </c>
      <c r="M65" s="7">
        <v>-0.05</v>
      </c>
      <c r="N65" s="7">
        <v>2814.0</v>
      </c>
      <c r="O65" s="7">
        <v>265351.0</v>
      </c>
      <c r="P65" s="7" t="s">
        <v>409</v>
      </c>
      <c r="Q65" s="7">
        <v>169.71</v>
      </c>
      <c r="R65" s="3">
        <f t="shared" si="1"/>
        <v>169.71</v>
      </c>
    </row>
    <row r="66" ht="22.5" customHeight="1">
      <c r="B66" s="7" t="s">
        <v>67</v>
      </c>
      <c r="C66" s="7">
        <v>110079.0</v>
      </c>
      <c r="D66" s="7">
        <v>506624.0</v>
      </c>
      <c r="E66" s="7">
        <v>95059.0</v>
      </c>
      <c r="F66" s="7">
        <v>91657.0</v>
      </c>
      <c r="G66" s="7">
        <v>285890.0</v>
      </c>
      <c r="H66" s="7">
        <v>5.36556329E8</v>
      </c>
      <c r="I66" s="7">
        <v>5928.0</v>
      </c>
      <c r="J66" s="7">
        <v>5816.0</v>
      </c>
      <c r="K66" s="7">
        <v>112.0</v>
      </c>
      <c r="L66" s="7">
        <v>103.03</v>
      </c>
      <c r="M66" s="7">
        <v>-0.1</v>
      </c>
      <c r="N66" s="7">
        <v>195.0</v>
      </c>
      <c r="O66" s="7">
        <v>66266.0</v>
      </c>
      <c r="P66" s="7" t="s">
        <v>409</v>
      </c>
      <c r="Q66" s="7">
        <v>173.24</v>
      </c>
      <c r="R66" s="3">
        <f t="shared" si="1"/>
        <v>173.24</v>
      </c>
    </row>
    <row r="67" ht="22.5" customHeight="1">
      <c r="B67" s="7" t="s">
        <v>185</v>
      </c>
      <c r="C67" s="7">
        <v>3426.0</v>
      </c>
      <c r="D67" s="7">
        <v>15230.0</v>
      </c>
      <c r="E67" s="7">
        <v>1217917.0</v>
      </c>
      <c r="F67" s="7">
        <v>1217900.0</v>
      </c>
      <c r="G67" s="7">
        <v>1219651.0</v>
      </c>
      <c r="H67" s="7">
        <v>6.78556025E8</v>
      </c>
      <c r="I67" s="7">
        <v>20622.0</v>
      </c>
      <c r="J67" s="7">
        <v>18548.0</v>
      </c>
      <c r="K67" s="7">
        <v>2074.0</v>
      </c>
      <c r="L67" s="7">
        <v>17.96</v>
      </c>
      <c r="M67" s="7">
        <v>0.0</v>
      </c>
      <c r="N67" s="7">
        <v>3411.0</v>
      </c>
      <c r="O67" s="7">
        <v>483011.0</v>
      </c>
      <c r="P67" s="7" t="s">
        <v>409</v>
      </c>
      <c r="Q67" s="7">
        <v>174.97</v>
      </c>
      <c r="R67" s="3">
        <f t="shared" si="1"/>
        <v>174.97</v>
      </c>
    </row>
    <row r="68" ht="22.5" customHeight="1">
      <c r="B68" s="7" t="s">
        <v>95</v>
      </c>
      <c r="C68" s="7">
        <v>686.0</v>
      </c>
      <c r="D68" s="7">
        <v>19093.0</v>
      </c>
      <c r="E68" s="7">
        <v>928985.0</v>
      </c>
      <c r="F68" s="7">
        <v>922860.0</v>
      </c>
      <c r="G68" s="7">
        <v>1405790.0</v>
      </c>
      <c r="H68" s="7">
        <v>9.3636016E7</v>
      </c>
      <c r="I68" s="7">
        <v>36954.0</v>
      </c>
      <c r="J68" s="7">
        <v>35042.0</v>
      </c>
      <c r="K68" s="7">
        <v>1912.0</v>
      </c>
      <c r="L68" s="7">
        <v>20.72</v>
      </c>
      <c r="M68" s="7">
        <v>-0.05</v>
      </c>
      <c r="N68" s="7">
        <v>3060.0</v>
      </c>
      <c r="O68" s="7">
        <v>260712.0</v>
      </c>
      <c r="P68" s="7" t="s">
        <v>409</v>
      </c>
      <c r="Q68" s="7">
        <v>175.83</v>
      </c>
      <c r="R68" s="3">
        <f t="shared" si="1"/>
        <v>175.83</v>
      </c>
    </row>
    <row r="69" ht="22.5" customHeight="1">
      <c r="B69" s="7" t="s">
        <v>42</v>
      </c>
      <c r="C69" s="7">
        <v>76943.0</v>
      </c>
      <c r="D69" s="7">
        <v>231299.0</v>
      </c>
      <c r="E69" s="7">
        <v>731919.0</v>
      </c>
      <c r="F69" s="7">
        <v>715783.0</v>
      </c>
      <c r="G69" s="7">
        <v>2986329.0</v>
      </c>
      <c r="H69" s="7">
        <v>3.70357339E8</v>
      </c>
      <c r="I69" s="7">
        <v>42414.0</v>
      </c>
      <c r="J69" s="7">
        <v>41271.0</v>
      </c>
      <c r="K69" s="7">
        <v>1143.0</v>
      </c>
      <c r="L69" s="7">
        <v>44.95</v>
      </c>
      <c r="M69" s="7">
        <v>-0.14</v>
      </c>
      <c r="N69" s="7">
        <v>1907.0</v>
      </c>
      <c r="O69" s="7">
        <v>394432.0</v>
      </c>
      <c r="P69" s="7" t="s">
        <v>409</v>
      </c>
      <c r="Q69" s="7">
        <v>179.98</v>
      </c>
      <c r="R69" s="3">
        <f t="shared" si="1"/>
        <v>179.98</v>
      </c>
    </row>
    <row r="70" ht="22.5" customHeight="1">
      <c r="B70" s="7" t="s">
        <v>74</v>
      </c>
      <c r="C70" s="7">
        <v>1140.0</v>
      </c>
      <c r="D70" s="7">
        <v>4253.0</v>
      </c>
      <c r="E70" s="7">
        <v>2241375.0</v>
      </c>
      <c r="F70" s="7">
        <v>2213645.0</v>
      </c>
      <c r="G70" s="7">
        <v>3847255.0</v>
      </c>
      <c r="H70" s="7">
        <v>9.6934923E7</v>
      </c>
      <c r="I70" s="7">
        <v>113035.0</v>
      </c>
      <c r="J70" s="7">
        <v>110469.0</v>
      </c>
      <c r="K70" s="7">
        <v>2566.0</v>
      </c>
      <c r="L70" s="7">
        <v>19.17</v>
      </c>
      <c r="M70" s="7">
        <v>-0.08</v>
      </c>
      <c r="N70" s="7">
        <v>4281.0</v>
      </c>
      <c r="O70" s="7">
        <v>1112323.0</v>
      </c>
      <c r="P70" s="7" t="s">
        <v>410</v>
      </c>
      <c r="Q70" s="7">
        <v>192.11</v>
      </c>
      <c r="R70" s="3">
        <f t="shared" si="1"/>
        <v>192.11</v>
      </c>
    </row>
    <row r="71" ht="22.5" customHeight="1">
      <c r="B71" s="7" t="s">
        <v>25</v>
      </c>
      <c r="C71" s="7">
        <v>2205.0</v>
      </c>
      <c r="D71" s="7">
        <v>6555.0</v>
      </c>
      <c r="E71" s="7">
        <v>1681511.0</v>
      </c>
      <c r="F71" s="7">
        <v>1664979.0</v>
      </c>
      <c r="G71" s="7">
        <v>2374702.0</v>
      </c>
      <c r="H71" s="7">
        <v>1.40515413E8</v>
      </c>
      <c r="I71" s="7">
        <v>81479.0</v>
      </c>
      <c r="J71" s="7">
        <v>79191.0</v>
      </c>
      <c r="K71" s="7">
        <v>2288.0</v>
      </c>
      <c r="L71" s="7">
        <v>25.61</v>
      </c>
      <c r="M71" s="7">
        <v>-0.05</v>
      </c>
      <c r="N71" s="7">
        <v>3617.0</v>
      </c>
      <c r="O71" s="7">
        <v>808589.0</v>
      </c>
      <c r="P71" s="7" t="s">
        <v>410</v>
      </c>
      <c r="Q71" s="7">
        <v>192.62</v>
      </c>
      <c r="R71" s="3">
        <f t="shared" si="1"/>
        <v>192.62</v>
      </c>
    </row>
    <row r="72" ht="22.5" customHeight="1">
      <c r="B72" s="7" t="s">
        <v>183</v>
      </c>
      <c r="C72" s="7">
        <v>13408.0</v>
      </c>
      <c r="D72" s="7">
        <v>309439.0</v>
      </c>
      <c r="E72" s="7">
        <v>2556600.0</v>
      </c>
      <c r="F72" s="7">
        <v>2496438.0</v>
      </c>
      <c r="G72" s="7">
        <v>4.7311065E7</v>
      </c>
      <c r="H72" s="7">
        <v>2.84973365E8</v>
      </c>
      <c r="I72" s="7">
        <v>118370.0</v>
      </c>
      <c r="J72" s="7">
        <v>115946.0</v>
      </c>
      <c r="K72" s="7">
        <v>2424.0</v>
      </c>
      <c r="L72" s="7">
        <v>35.64</v>
      </c>
      <c r="M72" s="7">
        <v>-0.21</v>
      </c>
      <c r="N72" s="7">
        <v>4771.0</v>
      </c>
      <c r="O72" s="7">
        <v>9293211.0</v>
      </c>
      <c r="P72" s="7" t="s">
        <v>409</v>
      </c>
      <c r="Q72" s="7">
        <v>193.52</v>
      </c>
      <c r="R72" s="3">
        <f t="shared" si="1"/>
        <v>193.52</v>
      </c>
    </row>
    <row r="73" ht="22.5" customHeight="1">
      <c r="B73" s="7" t="s">
        <v>70</v>
      </c>
      <c r="C73" s="7">
        <v>679.0</v>
      </c>
      <c r="D73" s="7">
        <v>18422.0</v>
      </c>
      <c r="E73" s="7">
        <v>951503.0</v>
      </c>
      <c r="F73" s="7">
        <v>945266.0</v>
      </c>
      <c r="G73" s="7">
        <v>1394938.0</v>
      </c>
      <c r="H73" s="7">
        <v>9.6314139E7</v>
      </c>
      <c r="I73" s="7">
        <v>36784.0</v>
      </c>
      <c r="J73" s="7">
        <v>34760.0</v>
      </c>
      <c r="K73" s="7">
        <v>2024.0</v>
      </c>
      <c r="L73" s="7">
        <v>22.05</v>
      </c>
      <c r="M73" s="7">
        <v>-0.05</v>
      </c>
      <c r="N73" s="7">
        <v>3215.0</v>
      </c>
      <c r="O73" s="7">
        <v>262374.0</v>
      </c>
      <c r="P73" s="7" t="s">
        <v>409</v>
      </c>
      <c r="Q73" s="7">
        <v>198.53</v>
      </c>
      <c r="R73" s="3">
        <f t="shared" si="1"/>
        <v>198.53</v>
      </c>
    </row>
    <row r="74" ht="22.5" customHeight="1">
      <c r="B74" s="7" t="s">
        <v>63</v>
      </c>
      <c r="C74" s="7">
        <v>26275.0</v>
      </c>
      <c r="D74" s="7">
        <v>121056.0</v>
      </c>
      <c r="E74" s="7">
        <v>195024.0</v>
      </c>
      <c r="F74" s="7">
        <v>192766.0</v>
      </c>
      <c r="G74" s="7">
        <v>228414.0</v>
      </c>
      <c r="H74" s="7">
        <v>8.46981456E8</v>
      </c>
      <c r="I74" s="7">
        <v>6158.0</v>
      </c>
      <c r="J74" s="7">
        <v>5776.0</v>
      </c>
      <c r="K74" s="7">
        <v>382.0</v>
      </c>
      <c r="L74" s="7">
        <v>34.52</v>
      </c>
      <c r="M74" s="7">
        <v>-0.02</v>
      </c>
      <c r="N74" s="7">
        <v>598.0</v>
      </c>
      <c r="O74" s="7">
        <v>78391.0</v>
      </c>
      <c r="P74" s="7" t="s">
        <v>410</v>
      </c>
      <c r="Q74" s="7">
        <v>209.89</v>
      </c>
      <c r="R74" s="3">
        <f t="shared" si="1"/>
        <v>209.89</v>
      </c>
    </row>
    <row r="75" ht="22.5" customHeight="1">
      <c r="B75" s="7" t="s">
        <v>102</v>
      </c>
      <c r="C75" s="7">
        <v>110108.0</v>
      </c>
      <c r="D75" s="7">
        <v>506718.0</v>
      </c>
      <c r="E75" s="7">
        <v>197511.0</v>
      </c>
      <c r="F75" s="7">
        <v>190342.0</v>
      </c>
      <c r="G75" s="7">
        <v>393946.0</v>
      </c>
      <c r="H75" s="7">
        <v>6.31763592E8</v>
      </c>
      <c r="I75" s="7">
        <v>2065.0</v>
      </c>
      <c r="J75" s="7">
        <v>1773.0</v>
      </c>
      <c r="K75" s="7">
        <v>292.0</v>
      </c>
      <c r="L75" s="7">
        <v>70.96</v>
      </c>
      <c r="M75" s="7">
        <v>-0.07</v>
      </c>
      <c r="N75" s="7">
        <v>513.0</v>
      </c>
      <c r="O75" s="7">
        <v>114810.0</v>
      </c>
      <c r="P75" s="7" t="s">
        <v>410</v>
      </c>
      <c r="Q75" s="7">
        <v>213.61</v>
      </c>
      <c r="R75" s="3">
        <f t="shared" si="1"/>
        <v>213.61</v>
      </c>
    </row>
    <row r="76" ht="22.5" customHeight="1">
      <c r="B76" s="7" t="s">
        <v>104</v>
      </c>
      <c r="C76" s="7">
        <v>1140.0</v>
      </c>
      <c r="D76" s="7">
        <v>4253.0</v>
      </c>
      <c r="E76" s="7">
        <v>2485652.0</v>
      </c>
      <c r="F76" s="7">
        <v>2455475.0</v>
      </c>
      <c r="G76" s="7">
        <v>4147043.0</v>
      </c>
      <c r="H76" s="7">
        <v>1.0504633E8</v>
      </c>
      <c r="I76" s="7">
        <v>113833.0</v>
      </c>
      <c r="J76" s="7">
        <v>110510.0</v>
      </c>
      <c r="K76" s="7">
        <v>3323.0</v>
      </c>
      <c r="L76" s="7">
        <v>19.26</v>
      </c>
      <c r="M76" s="7">
        <v>-0.07</v>
      </c>
      <c r="N76" s="7">
        <v>5513.0</v>
      </c>
      <c r="O76" s="7">
        <v>1105201.0</v>
      </c>
      <c r="P76" s="7" t="s">
        <v>410</v>
      </c>
      <c r="Q76" s="7">
        <v>215.12</v>
      </c>
      <c r="R76" s="3">
        <f t="shared" si="1"/>
        <v>215.12</v>
      </c>
    </row>
    <row r="77" ht="22.5" customHeight="1">
      <c r="B77" s="7" t="s">
        <v>113</v>
      </c>
      <c r="C77" s="7">
        <v>1140.0</v>
      </c>
      <c r="D77" s="7">
        <v>4253.0</v>
      </c>
      <c r="E77" s="7">
        <v>2515566.0</v>
      </c>
      <c r="F77" s="7">
        <v>2484899.0</v>
      </c>
      <c r="G77" s="7">
        <v>4189517.0</v>
      </c>
      <c r="H77" s="7">
        <v>1.09480746E8</v>
      </c>
      <c r="I77" s="7">
        <v>112370.0</v>
      </c>
      <c r="J77" s="7">
        <v>108923.0</v>
      </c>
      <c r="K77" s="7">
        <v>3447.0</v>
      </c>
      <c r="L77" s="7">
        <v>19.8</v>
      </c>
      <c r="M77" s="7">
        <v>-0.07</v>
      </c>
      <c r="N77" s="7">
        <v>5696.0</v>
      </c>
      <c r="O77" s="7">
        <v>1111051.0</v>
      </c>
      <c r="P77" s="7" t="s">
        <v>410</v>
      </c>
      <c r="Q77" s="7">
        <v>219.75</v>
      </c>
      <c r="R77" s="3">
        <f t="shared" si="1"/>
        <v>219.75</v>
      </c>
    </row>
    <row r="78" ht="22.5" customHeight="1">
      <c r="B78" s="7" t="s">
        <v>130</v>
      </c>
      <c r="C78" s="7">
        <v>5241.0</v>
      </c>
      <c r="D78" s="7">
        <v>15431.0</v>
      </c>
      <c r="E78" s="7">
        <v>3304958.0</v>
      </c>
      <c r="F78" s="7">
        <v>3234314.0</v>
      </c>
      <c r="G78" s="7">
        <v>6761228.0</v>
      </c>
      <c r="H78" s="7">
        <v>2.37767589E8</v>
      </c>
      <c r="I78" s="7">
        <v>113824.0</v>
      </c>
      <c r="J78" s="7">
        <v>108159.0</v>
      </c>
      <c r="K78" s="7">
        <v>5665.0</v>
      </c>
      <c r="L78" s="7">
        <v>24.82</v>
      </c>
      <c r="M78" s="7">
        <v>-0.07</v>
      </c>
      <c r="N78" s="7">
        <v>9457.0</v>
      </c>
      <c r="O78" s="7">
        <v>1359116.0</v>
      </c>
      <c r="P78" s="7" t="s">
        <v>410</v>
      </c>
      <c r="Q78" s="7">
        <v>220.24</v>
      </c>
      <c r="R78" s="3">
        <f t="shared" si="1"/>
        <v>220.24</v>
      </c>
    </row>
    <row r="79" ht="22.5" customHeight="1">
      <c r="B79" s="7" t="s">
        <v>87</v>
      </c>
      <c r="C79" s="7">
        <v>11785.0</v>
      </c>
      <c r="D79" s="7">
        <v>35160.0</v>
      </c>
      <c r="E79" s="7">
        <v>1337169.0</v>
      </c>
      <c r="F79" s="7">
        <v>1310377.0</v>
      </c>
      <c r="G79" s="7">
        <v>3160793.0</v>
      </c>
      <c r="H79" s="7">
        <v>2.4132155E8</v>
      </c>
      <c r="I79" s="7">
        <v>67438.0</v>
      </c>
      <c r="J79" s="7">
        <v>65450.0</v>
      </c>
      <c r="K79" s="7">
        <v>1988.0</v>
      </c>
      <c r="L79" s="7">
        <v>26.61</v>
      </c>
      <c r="M79" s="7">
        <v>-0.11</v>
      </c>
      <c r="N79" s="7">
        <v>3321.0</v>
      </c>
      <c r="O79" s="7">
        <v>580085.0</v>
      </c>
      <c r="P79" s="7" t="s">
        <v>410</v>
      </c>
      <c r="Q79" s="7">
        <v>220.26</v>
      </c>
      <c r="R79" s="3">
        <f t="shared" si="1"/>
        <v>220.26</v>
      </c>
    </row>
    <row r="80" ht="22.5" customHeight="1">
      <c r="B80" s="7" t="s">
        <v>82</v>
      </c>
      <c r="C80" s="7">
        <v>164887.0</v>
      </c>
      <c r="D80" s="7">
        <v>759228.0</v>
      </c>
      <c r="E80" s="7">
        <v>163245.0</v>
      </c>
      <c r="F80" s="7">
        <v>156157.0</v>
      </c>
      <c r="G80" s="7">
        <v>514509.0</v>
      </c>
      <c r="H80" s="7">
        <v>6.00881064E8</v>
      </c>
      <c r="I80" s="7">
        <v>5467.0</v>
      </c>
      <c r="J80" s="7">
        <v>5253.0</v>
      </c>
      <c r="K80" s="7">
        <v>214.0</v>
      </c>
      <c r="L80" s="7">
        <v>77.06</v>
      </c>
      <c r="M80" s="7">
        <v>-0.11</v>
      </c>
      <c r="N80" s="7">
        <v>369.0</v>
      </c>
      <c r="O80" s="7">
        <v>126139.0</v>
      </c>
      <c r="P80" s="7" t="s">
        <v>409</v>
      </c>
      <c r="Q80" s="7">
        <v>224.93</v>
      </c>
      <c r="R80" s="3">
        <f t="shared" si="1"/>
        <v>224.93</v>
      </c>
    </row>
    <row r="81" ht="22.5" customHeight="1">
      <c r="B81" s="7" t="s">
        <v>195</v>
      </c>
      <c r="C81" s="7">
        <v>6658.0</v>
      </c>
      <c r="D81" s="7">
        <v>31909.0</v>
      </c>
      <c r="E81" s="7">
        <v>900513.0</v>
      </c>
      <c r="F81" s="7">
        <v>900103.0</v>
      </c>
      <c r="G81" s="7">
        <v>908578.0</v>
      </c>
      <c r="H81" s="7">
        <v>7.97053641E8</v>
      </c>
      <c r="I81" s="7">
        <v>18360.0</v>
      </c>
      <c r="J81" s="7">
        <v>16588.0</v>
      </c>
      <c r="K81" s="7">
        <v>1772.0</v>
      </c>
      <c r="L81" s="7">
        <v>20.67</v>
      </c>
      <c r="M81" s="7">
        <v>0.0</v>
      </c>
      <c r="N81" s="7">
        <v>2868.0</v>
      </c>
      <c r="O81" s="7">
        <v>294040.0</v>
      </c>
      <c r="P81" s="7" t="s">
        <v>409</v>
      </c>
      <c r="Q81" s="7">
        <v>226.54</v>
      </c>
      <c r="R81" s="3">
        <f t="shared" si="1"/>
        <v>226.54</v>
      </c>
    </row>
    <row r="82" ht="22.5" customHeight="1">
      <c r="B82" s="7" t="s">
        <v>123</v>
      </c>
      <c r="C82" s="7">
        <v>895.0</v>
      </c>
      <c r="D82" s="7">
        <v>20818.0</v>
      </c>
      <c r="E82" s="7">
        <v>1289504.0</v>
      </c>
      <c r="F82" s="7">
        <v>1279120.0</v>
      </c>
      <c r="G82" s="7">
        <v>2067062.0</v>
      </c>
      <c r="H82" s="7">
        <v>1.33290465E8</v>
      </c>
      <c r="I82" s="7">
        <v>61483.0</v>
      </c>
      <c r="J82" s="7">
        <v>59270.0</v>
      </c>
      <c r="K82" s="7">
        <v>2213.0</v>
      </c>
      <c r="L82" s="7">
        <v>23.99</v>
      </c>
      <c r="M82" s="7">
        <v>-0.06</v>
      </c>
      <c r="N82" s="7">
        <v>3545.0</v>
      </c>
      <c r="O82" s="7">
        <v>477025.0</v>
      </c>
      <c r="P82" s="7" t="s">
        <v>409</v>
      </c>
      <c r="Q82" s="7">
        <v>243.44</v>
      </c>
      <c r="R82" s="3">
        <f t="shared" si="1"/>
        <v>243.44</v>
      </c>
    </row>
    <row r="83" ht="22.5" customHeight="1">
      <c r="B83" s="7" t="s">
        <v>206</v>
      </c>
      <c r="C83" s="7">
        <v>3220.0</v>
      </c>
      <c r="D83" s="7">
        <v>12314.0</v>
      </c>
      <c r="E83" s="7">
        <v>2837990.0</v>
      </c>
      <c r="F83" s="7">
        <v>2793855.0</v>
      </c>
      <c r="G83" s="7">
        <v>8358172.0</v>
      </c>
      <c r="H83" s="7">
        <v>2.08710689E8</v>
      </c>
      <c r="I83" s="7">
        <v>130161.0</v>
      </c>
      <c r="J83" s="7">
        <v>125793.0</v>
      </c>
      <c r="K83" s="7">
        <v>4368.0</v>
      </c>
      <c r="L83" s="7">
        <v>34.83</v>
      </c>
      <c r="M83" s="7">
        <v>-0.09</v>
      </c>
      <c r="N83" s="7">
        <v>7246.0</v>
      </c>
      <c r="O83" s="7">
        <v>1194791.0</v>
      </c>
      <c r="P83" s="7" t="s">
        <v>409</v>
      </c>
      <c r="Q83" s="7">
        <v>243.89</v>
      </c>
      <c r="R83" s="3">
        <f t="shared" si="1"/>
        <v>243.89</v>
      </c>
    </row>
    <row r="84" ht="22.5" customHeight="1">
      <c r="B84" s="7" t="s">
        <v>118</v>
      </c>
      <c r="C84" s="7">
        <v>1140.0</v>
      </c>
      <c r="D84" s="7">
        <v>4253.0</v>
      </c>
      <c r="E84" s="7">
        <v>2889626.0</v>
      </c>
      <c r="F84" s="7">
        <v>2856555.0</v>
      </c>
      <c r="G84" s="7">
        <v>4555486.0</v>
      </c>
      <c r="H84" s="7">
        <v>1.2161939E8</v>
      </c>
      <c r="I84" s="7">
        <v>114787.0</v>
      </c>
      <c r="J84" s="7">
        <v>110088.0</v>
      </c>
      <c r="K84" s="7">
        <v>4699.0</v>
      </c>
      <c r="L84" s="7">
        <v>19.6</v>
      </c>
      <c r="M84" s="7">
        <v>-0.06</v>
      </c>
      <c r="N84" s="7">
        <v>7675.0</v>
      </c>
      <c r="O84" s="7">
        <v>1109077.0</v>
      </c>
      <c r="P84" s="7" t="s">
        <v>410</v>
      </c>
      <c r="Q84" s="7">
        <v>250.6</v>
      </c>
      <c r="R84" s="3">
        <f t="shared" si="1"/>
        <v>250.6</v>
      </c>
    </row>
    <row r="85" ht="22.5" customHeight="1">
      <c r="B85" s="7" t="s">
        <v>107</v>
      </c>
      <c r="C85" s="7">
        <v>827.0</v>
      </c>
      <c r="D85" s="7">
        <v>20730.0</v>
      </c>
      <c r="E85" s="7">
        <v>1175033.0</v>
      </c>
      <c r="F85" s="7">
        <v>1165824.0</v>
      </c>
      <c r="G85" s="7">
        <v>1946475.0</v>
      </c>
      <c r="H85" s="7">
        <v>1.29424219E8</v>
      </c>
      <c r="I85" s="7">
        <v>54347.0</v>
      </c>
      <c r="J85" s="7">
        <v>52181.0</v>
      </c>
      <c r="K85" s="7">
        <v>2166.0</v>
      </c>
      <c r="L85" s="7">
        <v>23.0</v>
      </c>
      <c r="M85" s="7">
        <v>-0.06</v>
      </c>
      <c r="N85" s="7">
        <v>3498.0</v>
      </c>
      <c r="O85" s="7">
        <v>372687.0</v>
      </c>
      <c r="P85" s="7" t="s">
        <v>409</v>
      </c>
      <c r="Q85" s="7">
        <v>253.23</v>
      </c>
      <c r="R85" s="3">
        <f t="shared" si="1"/>
        <v>253.23</v>
      </c>
    </row>
    <row r="86" ht="22.5" customHeight="1">
      <c r="B86" s="7" t="s">
        <v>19</v>
      </c>
      <c r="C86" s="7">
        <v>48258.0</v>
      </c>
      <c r="D86" s="7">
        <v>140967.0</v>
      </c>
      <c r="E86" s="7">
        <v>2235659.0</v>
      </c>
      <c r="F86" s="7">
        <v>2203733.0</v>
      </c>
      <c r="G86" s="7">
        <v>1.1373295E7</v>
      </c>
      <c r="H86" s="7">
        <v>3.87256889E8</v>
      </c>
      <c r="I86" s="7">
        <v>147537.0</v>
      </c>
      <c r="J86" s="7">
        <v>145096.0</v>
      </c>
      <c r="K86" s="7">
        <v>2441.0</v>
      </c>
      <c r="L86" s="7">
        <v>21.98</v>
      </c>
      <c r="M86" s="7">
        <v>-0.12</v>
      </c>
      <c r="N86" s="7">
        <v>4145.0</v>
      </c>
      <c r="O86" s="7">
        <v>1856846.0</v>
      </c>
      <c r="P86" s="7" t="s">
        <v>410</v>
      </c>
      <c r="Q86" s="7">
        <v>276.92</v>
      </c>
      <c r="R86" s="3">
        <f t="shared" si="1"/>
        <v>276.92</v>
      </c>
    </row>
    <row r="87" ht="22.5" customHeight="1">
      <c r="B87" s="7" t="s">
        <v>81</v>
      </c>
      <c r="C87" s="7">
        <v>3426.0</v>
      </c>
      <c r="D87" s="7">
        <v>15230.0</v>
      </c>
      <c r="E87" s="7">
        <v>2034331.0</v>
      </c>
      <c r="F87" s="7">
        <v>2034313.0</v>
      </c>
      <c r="G87" s="7">
        <v>2037282.0</v>
      </c>
      <c r="H87" s="7">
        <v>9.78636844E8</v>
      </c>
      <c r="I87" s="7">
        <v>71743.0</v>
      </c>
      <c r="J87" s="7">
        <v>69474.0</v>
      </c>
      <c r="K87" s="7">
        <v>2269.0</v>
      </c>
      <c r="L87" s="7">
        <v>17.98</v>
      </c>
      <c r="M87" s="7">
        <v>0.0</v>
      </c>
      <c r="N87" s="7">
        <v>3601.0</v>
      </c>
      <c r="O87" s="7">
        <v>1170893.0</v>
      </c>
      <c r="P87" s="7" t="s">
        <v>409</v>
      </c>
      <c r="Q87" s="7">
        <v>279.32</v>
      </c>
      <c r="R87" s="3">
        <f t="shared" si="1"/>
        <v>279.32</v>
      </c>
    </row>
    <row r="88" ht="22.5" customHeight="1">
      <c r="B88" s="7" t="s">
        <v>168</v>
      </c>
      <c r="C88" s="7">
        <v>164916.0</v>
      </c>
      <c r="D88" s="7">
        <v>759313.0</v>
      </c>
      <c r="E88" s="7">
        <v>219270.0</v>
      </c>
      <c r="F88" s="7">
        <v>210164.0</v>
      </c>
      <c r="G88" s="7">
        <v>575956.0</v>
      </c>
      <c r="H88" s="7">
        <v>7.890084E8</v>
      </c>
      <c r="I88" s="7">
        <v>4265.0</v>
      </c>
      <c r="J88" s="7">
        <v>3892.0</v>
      </c>
      <c r="K88" s="7">
        <v>373.0</v>
      </c>
      <c r="L88" s="7">
        <v>98.47</v>
      </c>
      <c r="M88" s="7">
        <v>-0.09</v>
      </c>
      <c r="N88" s="7">
        <v>637.0</v>
      </c>
      <c r="O88" s="7">
        <v>133313.0</v>
      </c>
      <c r="P88" s="7" t="s">
        <v>409</v>
      </c>
      <c r="Q88" s="7">
        <v>283.91</v>
      </c>
      <c r="R88" s="3">
        <f t="shared" si="1"/>
        <v>283.91</v>
      </c>
    </row>
    <row r="89" ht="22.5" customHeight="1">
      <c r="B89" s="7" t="s">
        <v>109</v>
      </c>
      <c r="C89" s="7">
        <v>2275.0</v>
      </c>
      <c r="D89" s="7">
        <v>6764.0</v>
      </c>
      <c r="E89" s="7">
        <v>2395541.0</v>
      </c>
      <c r="F89" s="7">
        <v>2370151.0</v>
      </c>
      <c r="G89" s="7">
        <v>3076858.0</v>
      </c>
      <c r="H89" s="7">
        <v>2.43403103E8</v>
      </c>
      <c r="I89" s="7">
        <v>113000.0</v>
      </c>
      <c r="J89" s="7">
        <v>109722.0</v>
      </c>
      <c r="K89" s="7">
        <v>3278.0</v>
      </c>
      <c r="L89" s="7">
        <v>26.86</v>
      </c>
      <c r="M89" s="7">
        <v>-0.03</v>
      </c>
      <c r="N89" s="7">
        <v>5289.0</v>
      </c>
      <c r="O89" s="7">
        <v>1096371.0</v>
      </c>
      <c r="P89" s="7" t="s">
        <v>410</v>
      </c>
      <c r="Q89" s="7">
        <v>288.27</v>
      </c>
      <c r="R89" s="3">
        <f t="shared" si="1"/>
        <v>288.27</v>
      </c>
    </row>
    <row r="90" ht="22.5" customHeight="1">
      <c r="B90" s="7" t="s">
        <v>106</v>
      </c>
      <c r="C90" s="7">
        <v>22022.0</v>
      </c>
      <c r="D90" s="7">
        <v>172772.0</v>
      </c>
      <c r="E90" s="7">
        <v>2304350.0</v>
      </c>
      <c r="F90" s="7">
        <v>2217335.0</v>
      </c>
      <c r="G90" s="7">
        <v>2.9969307E7</v>
      </c>
      <c r="H90" s="7">
        <v>2.90706683E8</v>
      </c>
      <c r="I90" s="7">
        <v>136457.0</v>
      </c>
      <c r="J90" s="7">
        <v>134637.0</v>
      </c>
      <c r="K90" s="7">
        <v>1820.0</v>
      </c>
      <c r="L90" s="7">
        <v>17.92</v>
      </c>
      <c r="M90" s="7">
        <v>-0.23</v>
      </c>
      <c r="N90" s="7">
        <v>3675.0</v>
      </c>
      <c r="O90" s="7">
        <v>6095429.0</v>
      </c>
      <c r="P90" s="7" t="s">
        <v>409</v>
      </c>
      <c r="Q90" s="7">
        <v>295.48</v>
      </c>
      <c r="R90" s="3">
        <f t="shared" si="1"/>
        <v>295.48</v>
      </c>
    </row>
    <row r="91" ht="22.5" customHeight="1">
      <c r="B91" s="7" t="s">
        <v>120</v>
      </c>
      <c r="C91" s="7">
        <v>1140.0</v>
      </c>
      <c r="D91" s="7">
        <v>4253.0</v>
      </c>
      <c r="E91" s="7">
        <v>3425850.0</v>
      </c>
      <c r="F91" s="7">
        <v>3387417.0</v>
      </c>
      <c r="G91" s="7">
        <v>5110587.0</v>
      </c>
      <c r="H91" s="7">
        <v>1.47521378E8</v>
      </c>
      <c r="I91" s="7">
        <v>112056.0</v>
      </c>
      <c r="J91" s="7">
        <v>105816.0</v>
      </c>
      <c r="K91" s="7">
        <v>6240.0</v>
      </c>
      <c r="L91" s="7">
        <v>19.59</v>
      </c>
      <c r="M91" s="7">
        <v>-0.05</v>
      </c>
      <c r="N91" s="7">
        <v>10264.0</v>
      </c>
      <c r="O91" s="7">
        <v>1122164.0</v>
      </c>
      <c r="P91" s="7" t="s">
        <v>410</v>
      </c>
      <c r="Q91" s="7">
        <v>300.78</v>
      </c>
      <c r="R91" s="3">
        <f t="shared" si="1"/>
        <v>300.78</v>
      </c>
    </row>
    <row r="92" ht="22.5" customHeight="1">
      <c r="B92" s="7" t="s">
        <v>55</v>
      </c>
      <c r="C92" s="7">
        <v>1672.0</v>
      </c>
      <c r="D92" s="7">
        <v>5262.0</v>
      </c>
      <c r="E92" s="7">
        <v>2214948.0</v>
      </c>
      <c r="F92" s="7">
        <v>2172659.0</v>
      </c>
      <c r="G92" s="7">
        <v>5151346.0</v>
      </c>
      <c r="H92" s="7">
        <v>1.50087285E8</v>
      </c>
      <c r="I92" s="7">
        <v>124892.0</v>
      </c>
      <c r="J92" s="7">
        <v>122329.0</v>
      </c>
      <c r="K92" s="7">
        <v>2563.0</v>
      </c>
      <c r="L92" s="7">
        <v>22.97</v>
      </c>
      <c r="M92" s="7">
        <v>-0.1</v>
      </c>
      <c r="N92" s="7">
        <v>4224.0</v>
      </c>
      <c r="O92" s="7">
        <v>1099820.0</v>
      </c>
      <c r="P92" s="7" t="s">
        <v>409</v>
      </c>
      <c r="Q92" s="7">
        <v>317.89</v>
      </c>
      <c r="R92" s="3">
        <f t="shared" si="1"/>
        <v>317.89</v>
      </c>
    </row>
    <row r="93" ht="22.5" customHeight="1">
      <c r="B93" s="7" t="s">
        <v>23</v>
      </c>
      <c r="C93" s="7">
        <v>53919.0</v>
      </c>
      <c r="D93" s="7">
        <v>307816.0</v>
      </c>
      <c r="E93" s="7">
        <v>868372.0</v>
      </c>
      <c r="F93" s="7">
        <v>844975.0</v>
      </c>
      <c r="G93" s="7">
        <v>2675863.0</v>
      </c>
      <c r="H93" s="7">
        <v>7.62681618E8</v>
      </c>
      <c r="I93" s="7">
        <v>25487.0</v>
      </c>
      <c r="J93" s="7">
        <v>23944.0</v>
      </c>
      <c r="K93" s="7">
        <v>1543.0</v>
      </c>
      <c r="L93" s="7">
        <v>96.61</v>
      </c>
      <c r="M93" s="7">
        <v>-0.07</v>
      </c>
      <c r="N93" s="7">
        <v>2573.0</v>
      </c>
      <c r="O93" s="7">
        <v>337815.0</v>
      </c>
      <c r="P93" s="7" t="s">
        <v>409</v>
      </c>
      <c r="Q93" s="7">
        <v>327.91</v>
      </c>
      <c r="R93" s="3">
        <f t="shared" si="1"/>
        <v>327.91</v>
      </c>
    </row>
    <row r="94" ht="22.5" customHeight="1">
      <c r="B94" s="7" t="s">
        <v>78</v>
      </c>
      <c r="C94" s="7">
        <v>2477.0</v>
      </c>
      <c r="D94" s="7">
        <v>10608.0</v>
      </c>
      <c r="E94" s="7">
        <v>2250563.0</v>
      </c>
      <c r="F94" s="7">
        <v>2217944.0</v>
      </c>
      <c r="G94" s="7">
        <v>4524495.0</v>
      </c>
      <c r="H94" s="7">
        <v>2.26490527E8</v>
      </c>
      <c r="I94" s="7">
        <v>126046.0</v>
      </c>
      <c r="J94" s="7">
        <v>123370.0</v>
      </c>
      <c r="K94" s="7">
        <v>2676.0</v>
      </c>
      <c r="L94" s="7">
        <v>34.12</v>
      </c>
      <c r="M94" s="7">
        <v>-0.08</v>
      </c>
      <c r="N94" s="7">
        <v>4408.0</v>
      </c>
      <c r="O94" s="7">
        <v>1079074.0</v>
      </c>
      <c r="P94" s="7" t="s">
        <v>409</v>
      </c>
      <c r="Q94" s="7">
        <v>329.58</v>
      </c>
      <c r="R94" s="3">
        <f t="shared" si="1"/>
        <v>329.58</v>
      </c>
    </row>
    <row r="95" ht="22.5" customHeight="1">
      <c r="B95" s="7" t="s">
        <v>108</v>
      </c>
      <c r="C95" s="7">
        <v>33721.0</v>
      </c>
      <c r="D95" s="7">
        <v>157681.0</v>
      </c>
      <c r="E95" s="7">
        <v>1922285.0</v>
      </c>
      <c r="F95" s="7">
        <v>1833916.0</v>
      </c>
      <c r="G95" s="7">
        <v>7957552.0</v>
      </c>
      <c r="H95" s="7">
        <v>6.15144427E8</v>
      </c>
      <c r="I95" s="7">
        <v>67441.0</v>
      </c>
      <c r="J95" s="7">
        <v>65494.0</v>
      </c>
      <c r="K95" s="7">
        <v>1947.0</v>
      </c>
      <c r="L95" s="7">
        <v>71.54</v>
      </c>
      <c r="M95" s="7">
        <v>-0.1</v>
      </c>
      <c r="N95" s="7">
        <v>3278.0</v>
      </c>
      <c r="O95" s="7">
        <v>1602047.0</v>
      </c>
      <c r="P95" s="7" t="s">
        <v>409</v>
      </c>
      <c r="Q95" s="7">
        <v>330.68</v>
      </c>
      <c r="R95" s="3">
        <f t="shared" si="1"/>
        <v>330.68</v>
      </c>
    </row>
    <row r="96" ht="22.5" customHeight="1">
      <c r="B96" s="7" t="s">
        <v>187</v>
      </c>
      <c r="C96" s="7">
        <v>39547.0</v>
      </c>
      <c r="D96" s="7">
        <v>130954.0</v>
      </c>
      <c r="E96" s="7">
        <v>3501258.0</v>
      </c>
      <c r="F96" s="7">
        <v>3428634.0</v>
      </c>
      <c r="G96" s="7">
        <v>5.522596E7</v>
      </c>
      <c r="H96" s="7">
        <v>4.6687779E8</v>
      </c>
      <c r="I96" s="7">
        <v>149199.0</v>
      </c>
      <c r="J96" s="7">
        <v>144013.0</v>
      </c>
      <c r="K96" s="7">
        <v>5186.0</v>
      </c>
      <c r="L96" s="7">
        <v>26.37</v>
      </c>
      <c r="M96" s="7">
        <v>-0.17</v>
      </c>
      <c r="N96" s="7">
        <v>9379.0</v>
      </c>
      <c r="O96" s="7">
        <v>6224690.0</v>
      </c>
      <c r="P96" s="7" t="s">
        <v>409</v>
      </c>
      <c r="Q96" s="7">
        <v>331.07</v>
      </c>
      <c r="R96" s="3">
        <f t="shared" si="1"/>
        <v>331.07</v>
      </c>
    </row>
    <row r="97" ht="22.5" customHeight="1">
      <c r="B97" s="7" t="s">
        <v>121</v>
      </c>
      <c r="C97" s="7">
        <v>1140.0</v>
      </c>
      <c r="D97" s="7">
        <v>4253.0</v>
      </c>
      <c r="E97" s="7">
        <v>3182721.0</v>
      </c>
      <c r="F97" s="7">
        <v>3147322.0</v>
      </c>
      <c r="G97" s="7">
        <v>4890064.0</v>
      </c>
      <c r="H97" s="7">
        <v>1.43093288E8</v>
      </c>
      <c r="I97" s="7">
        <v>114491.0</v>
      </c>
      <c r="J97" s="7">
        <v>109065.0</v>
      </c>
      <c r="K97" s="7">
        <v>5426.0</v>
      </c>
      <c r="L97" s="7">
        <v>20.75</v>
      </c>
      <c r="M97" s="7">
        <v>-0.06</v>
      </c>
      <c r="N97" s="7">
        <v>8977.0</v>
      </c>
      <c r="O97" s="7">
        <v>1108331.0</v>
      </c>
      <c r="P97" s="7" t="s">
        <v>410</v>
      </c>
      <c r="Q97" s="7">
        <v>332.56</v>
      </c>
      <c r="R97" s="3">
        <f t="shared" si="1"/>
        <v>332.56</v>
      </c>
    </row>
    <row r="98" ht="22.5" customHeight="1">
      <c r="B98" s="7" t="s">
        <v>194</v>
      </c>
      <c r="C98" s="7">
        <v>1094922.0</v>
      </c>
      <c r="D98" s="7">
        <v>5009021.0</v>
      </c>
      <c r="E98" s="7">
        <v>175326.0</v>
      </c>
      <c r="F98" s="7">
        <v>165629.0</v>
      </c>
      <c r="G98" s="7">
        <v>4158693.0</v>
      </c>
      <c r="H98" s="7">
        <v>5.67318755E8</v>
      </c>
      <c r="I98" s="7">
        <v>10705.0</v>
      </c>
      <c r="J98" s="7">
        <v>10557.0</v>
      </c>
      <c r="K98" s="7">
        <v>148.0</v>
      </c>
      <c r="L98" s="7">
        <v>51.01</v>
      </c>
      <c r="M98" s="7">
        <v>-0.25</v>
      </c>
      <c r="N98" s="7">
        <v>324.0</v>
      </c>
      <c r="O98" s="7">
        <v>565663.0</v>
      </c>
      <c r="P98" s="7" t="s">
        <v>409</v>
      </c>
      <c r="Q98" s="7">
        <v>333.71</v>
      </c>
      <c r="R98" s="3">
        <f t="shared" si="1"/>
        <v>333.71</v>
      </c>
    </row>
    <row r="99" ht="22.5" customHeight="1">
      <c r="B99" s="7" t="s">
        <v>126</v>
      </c>
      <c r="C99" s="7">
        <v>2089.0</v>
      </c>
      <c r="D99" s="7">
        <v>6206.0</v>
      </c>
      <c r="E99" s="7">
        <v>2396054.0</v>
      </c>
      <c r="F99" s="7">
        <v>2375153.0</v>
      </c>
      <c r="G99" s="7">
        <v>2957680.0</v>
      </c>
      <c r="H99" s="7">
        <v>2.47357702E8</v>
      </c>
      <c r="I99" s="7">
        <v>114166.0</v>
      </c>
      <c r="J99" s="7">
        <v>110812.0</v>
      </c>
      <c r="K99" s="7">
        <v>3354.0</v>
      </c>
      <c r="L99" s="7">
        <v>27.78</v>
      </c>
      <c r="M99" s="7">
        <v>-0.03</v>
      </c>
      <c r="N99" s="7">
        <v>5366.0</v>
      </c>
      <c r="O99" s="7">
        <v>1081193.0</v>
      </c>
      <c r="P99" s="7" t="s">
        <v>410</v>
      </c>
      <c r="Q99" s="7">
        <v>336.33</v>
      </c>
      <c r="R99" s="3">
        <f t="shared" si="1"/>
        <v>336.33</v>
      </c>
    </row>
    <row r="100" ht="22.5" customHeight="1">
      <c r="B100" s="7" t="s">
        <v>177</v>
      </c>
      <c r="C100" s="7">
        <v>49112.0</v>
      </c>
      <c r="D100" s="7">
        <v>2317836.0</v>
      </c>
      <c r="E100" s="7">
        <v>325239.0</v>
      </c>
      <c r="F100" s="7">
        <v>314962.0</v>
      </c>
      <c r="G100" s="7">
        <v>2229815.0</v>
      </c>
      <c r="H100" s="7">
        <v>3.4988762E8</v>
      </c>
      <c r="I100" s="7">
        <v>7002.0</v>
      </c>
      <c r="J100" s="7">
        <v>6535.0</v>
      </c>
      <c r="K100" s="7">
        <v>467.0</v>
      </c>
      <c r="L100" s="7">
        <v>233.44</v>
      </c>
      <c r="M100" s="7">
        <v>-0.08</v>
      </c>
      <c r="N100" s="7">
        <v>800.0</v>
      </c>
      <c r="O100" s="7">
        <v>718060.0</v>
      </c>
      <c r="P100" s="7" t="s">
        <v>410</v>
      </c>
      <c r="Q100" s="7">
        <v>348.78</v>
      </c>
      <c r="R100" s="3">
        <f t="shared" si="1"/>
        <v>348.78</v>
      </c>
    </row>
    <row r="101" ht="22.5" customHeight="1">
      <c r="B101" s="7" t="s">
        <v>146</v>
      </c>
      <c r="C101" s="7">
        <v>520.0</v>
      </c>
      <c r="D101" s="7">
        <v>5763.0</v>
      </c>
      <c r="E101" s="7">
        <v>1749903.0</v>
      </c>
      <c r="F101" s="7">
        <v>1744237.0</v>
      </c>
      <c r="G101" s="7">
        <v>2605920.0</v>
      </c>
      <c r="H101" s="7">
        <v>8.0917423E7</v>
      </c>
      <c r="I101" s="7">
        <v>115597.0</v>
      </c>
      <c r="J101" s="7">
        <v>113348.0</v>
      </c>
      <c r="K101" s="7">
        <v>2249.0</v>
      </c>
      <c r="L101" s="7">
        <v>25.66</v>
      </c>
      <c r="M101" s="7">
        <v>-0.04</v>
      </c>
      <c r="N101" s="7">
        <v>3580.0</v>
      </c>
      <c r="O101" s="7">
        <v>763998.0</v>
      </c>
      <c r="P101" s="7" t="s">
        <v>409</v>
      </c>
      <c r="Q101" s="7">
        <v>355.56</v>
      </c>
      <c r="R101" s="3">
        <f t="shared" si="1"/>
        <v>355.56</v>
      </c>
    </row>
    <row r="102" ht="22.5" customHeight="1">
      <c r="B102" s="7" t="s">
        <v>92</v>
      </c>
      <c r="C102" s="7">
        <v>349350.0</v>
      </c>
      <c r="D102" s="7">
        <v>1419267.0</v>
      </c>
      <c r="E102" s="7">
        <v>1114276.0</v>
      </c>
      <c r="F102" s="7">
        <v>1086310.0</v>
      </c>
      <c r="G102" s="7">
        <v>3577417.0</v>
      </c>
      <c r="H102" s="7">
        <v>6.81722391E8</v>
      </c>
      <c r="I102" s="7">
        <v>51790.0</v>
      </c>
      <c r="J102" s="7">
        <v>49919.0</v>
      </c>
      <c r="K102" s="7">
        <v>1871.0</v>
      </c>
      <c r="L102" s="7">
        <v>32.01</v>
      </c>
      <c r="M102" s="7">
        <v>-0.14</v>
      </c>
      <c r="N102" s="7">
        <v>3206.0</v>
      </c>
      <c r="O102" s="7">
        <v>589490.0</v>
      </c>
      <c r="P102" s="7" t="s">
        <v>410</v>
      </c>
      <c r="Q102" s="7">
        <v>362.85</v>
      </c>
      <c r="R102" s="3">
        <f t="shared" si="1"/>
        <v>362.85</v>
      </c>
    </row>
    <row r="103" ht="22.5" customHeight="1">
      <c r="B103" s="7" t="s">
        <v>57</v>
      </c>
      <c r="C103" s="7">
        <v>36208.0</v>
      </c>
      <c r="D103" s="7">
        <v>7010872.0</v>
      </c>
      <c r="E103" s="7">
        <v>320960.0</v>
      </c>
      <c r="F103" s="7">
        <v>313971.0</v>
      </c>
      <c r="G103" s="7">
        <v>698240.0</v>
      </c>
      <c r="H103" s="7">
        <v>2.31297809E8</v>
      </c>
      <c r="I103" s="7">
        <v>4093.0</v>
      </c>
      <c r="J103" s="7">
        <v>3506.0</v>
      </c>
      <c r="K103" s="7">
        <v>587.0</v>
      </c>
      <c r="L103" s="7">
        <v>229.16</v>
      </c>
      <c r="M103" s="7">
        <v>-0.05</v>
      </c>
      <c r="N103" s="7">
        <v>918.0</v>
      </c>
      <c r="O103" s="7">
        <v>212036.0</v>
      </c>
      <c r="P103" s="7" t="s">
        <v>410</v>
      </c>
      <c r="Q103" s="7">
        <v>363.42</v>
      </c>
      <c r="R103" s="3">
        <f t="shared" si="1"/>
        <v>363.42</v>
      </c>
    </row>
    <row r="104" ht="22.5" customHeight="1">
      <c r="B104" s="7" t="s">
        <v>136</v>
      </c>
      <c r="C104" s="7">
        <v>2616.0</v>
      </c>
      <c r="D104" s="7">
        <v>7788.0</v>
      </c>
      <c r="E104" s="7">
        <v>2551311.0</v>
      </c>
      <c r="F104" s="7">
        <v>2531257.0</v>
      </c>
      <c r="G104" s="7">
        <v>3232709.0</v>
      </c>
      <c r="H104" s="7">
        <v>2.96252195E8</v>
      </c>
      <c r="I104" s="7">
        <v>118273.0</v>
      </c>
      <c r="J104" s="7">
        <v>114351.0</v>
      </c>
      <c r="K104" s="7">
        <v>3922.0</v>
      </c>
      <c r="L104" s="7">
        <v>29.58</v>
      </c>
      <c r="M104" s="7">
        <v>-0.03</v>
      </c>
      <c r="N104" s="7">
        <v>6235.0</v>
      </c>
      <c r="O104" s="7">
        <v>1089674.0</v>
      </c>
      <c r="P104" s="7" t="s">
        <v>410</v>
      </c>
      <c r="Q104" s="7">
        <v>364.42</v>
      </c>
      <c r="R104" s="3">
        <f t="shared" si="1"/>
        <v>364.42</v>
      </c>
    </row>
    <row r="105" ht="22.5" customHeight="1">
      <c r="B105" s="7" t="s">
        <v>125</v>
      </c>
      <c r="C105" s="7">
        <v>164915.0</v>
      </c>
      <c r="D105" s="7">
        <v>759314.0</v>
      </c>
      <c r="E105" s="7">
        <v>200934.0</v>
      </c>
      <c r="F105" s="7">
        <v>192370.0</v>
      </c>
      <c r="G105" s="7">
        <v>497465.0</v>
      </c>
      <c r="H105" s="7">
        <v>1.100828499E9</v>
      </c>
      <c r="I105" s="7">
        <v>8087.0</v>
      </c>
      <c r="J105" s="7">
        <v>7766.0</v>
      </c>
      <c r="K105" s="7">
        <v>321.0</v>
      </c>
      <c r="L105" s="7">
        <v>98.45</v>
      </c>
      <c r="M105" s="7">
        <v>-0.07</v>
      </c>
      <c r="N105" s="7">
        <v>549.0</v>
      </c>
      <c r="O105" s="7">
        <v>107745.0</v>
      </c>
      <c r="P105" s="7" t="s">
        <v>409</v>
      </c>
      <c r="Q105" s="7">
        <v>374.0</v>
      </c>
      <c r="R105" s="3">
        <f t="shared" si="1"/>
        <v>374</v>
      </c>
    </row>
    <row r="106" ht="22.5" customHeight="1">
      <c r="B106" s="7" t="s">
        <v>98</v>
      </c>
      <c r="C106" s="7">
        <v>1579557.0</v>
      </c>
      <c r="D106" s="7">
        <v>5889425.0</v>
      </c>
      <c r="E106" s="7">
        <v>144443.0</v>
      </c>
      <c r="F106" s="7">
        <v>140470.0</v>
      </c>
      <c r="G106" s="7">
        <v>4.2999564E7</v>
      </c>
      <c r="H106" s="7">
        <v>4.71971471E8</v>
      </c>
      <c r="I106" s="7">
        <v>9186.0</v>
      </c>
      <c r="J106" s="7">
        <v>9113.0</v>
      </c>
      <c r="K106" s="7">
        <v>73.0</v>
      </c>
      <c r="L106" s="7">
        <v>11.45</v>
      </c>
      <c r="M106" s="7">
        <v>-0.22</v>
      </c>
      <c r="N106" s="7">
        <v>192.0</v>
      </c>
      <c r="O106" s="7">
        <v>1.546232E7</v>
      </c>
      <c r="P106" s="7" t="s">
        <v>409</v>
      </c>
      <c r="Q106" s="7">
        <v>374.24</v>
      </c>
      <c r="R106" s="3">
        <f t="shared" si="1"/>
        <v>374.24</v>
      </c>
    </row>
    <row r="107" ht="22.5" customHeight="1">
      <c r="B107" s="7" t="s">
        <v>90</v>
      </c>
      <c r="C107" s="7">
        <v>224962.0</v>
      </c>
      <c r="D107" s="7">
        <v>1192377.0</v>
      </c>
      <c r="E107" s="7">
        <v>523561.0</v>
      </c>
      <c r="F107" s="7">
        <v>433825.0</v>
      </c>
      <c r="G107" s="7">
        <v>5208591.0</v>
      </c>
      <c r="H107" s="7">
        <v>1.360027773E9</v>
      </c>
      <c r="I107" s="7">
        <v>24617.0</v>
      </c>
      <c r="J107" s="7">
        <v>24098.0</v>
      </c>
      <c r="K107" s="7">
        <v>519.0</v>
      </c>
      <c r="L107" s="7">
        <v>218.61</v>
      </c>
      <c r="M107" s="7">
        <v>-0.14</v>
      </c>
      <c r="N107" s="7">
        <v>874.0</v>
      </c>
      <c r="O107" s="7">
        <v>592613.0</v>
      </c>
      <c r="P107" s="7" t="s">
        <v>409</v>
      </c>
      <c r="Q107" s="7">
        <v>380.47</v>
      </c>
      <c r="R107" s="3">
        <f t="shared" si="1"/>
        <v>380.47</v>
      </c>
    </row>
    <row r="108" ht="22.5" customHeight="1">
      <c r="B108" s="7" t="s">
        <v>22</v>
      </c>
      <c r="C108" s="7">
        <v>3566.0</v>
      </c>
      <c r="D108" s="7">
        <v>14138.0</v>
      </c>
      <c r="E108" s="7">
        <v>2467561.0</v>
      </c>
      <c r="F108" s="7">
        <v>2435682.0</v>
      </c>
      <c r="G108" s="7">
        <v>4616618.0</v>
      </c>
      <c r="H108" s="7">
        <v>2.48249376E8</v>
      </c>
      <c r="I108" s="7">
        <v>125264.0</v>
      </c>
      <c r="J108" s="7">
        <v>121883.0</v>
      </c>
      <c r="K108" s="7">
        <v>3381.0</v>
      </c>
      <c r="L108" s="7">
        <v>34.12</v>
      </c>
      <c r="M108" s="7">
        <v>-0.07</v>
      </c>
      <c r="N108" s="7">
        <v>5535.0</v>
      </c>
      <c r="O108" s="7">
        <v>1083212.0</v>
      </c>
      <c r="P108" s="7" t="s">
        <v>409</v>
      </c>
      <c r="Q108" s="7">
        <v>386.04</v>
      </c>
      <c r="R108" s="3">
        <f t="shared" si="1"/>
        <v>386.04</v>
      </c>
    </row>
    <row r="109" ht="22.5" customHeight="1">
      <c r="B109" s="7" t="s">
        <v>41</v>
      </c>
      <c r="C109" s="7">
        <v>320.0</v>
      </c>
      <c r="D109" s="7">
        <v>1120.0</v>
      </c>
      <c r="E109" s="7">
        <v>2850145.0</v>
      </c>
      <c r="F109" s="7">
        <v>2784052.0</v>
      </c>
      <c r="G109" s="7">
        <v>5413991.0</v>
      </c>
      <c r="H109" s="7">
        <v>1.23383478E8</v>
      </c>
      <c r="I109" s="7">
        <v>83573.0</v>
      </c>
      <c r="J109" s="7">
        <v>79263.0</v>
      </c>
      <c r="K109" s="7">
        <v>4310.0</v>
      </c>
      <c r="L109" s="7">
        <v>24.96</v>
      </c>
      <c r="M109" s="7">
        <v>-0.06</v>
      </c>
      <c r="N109" s="7">
        <v>7214.0</v>
      </c>
      <c r="O109" s="7">
        <v>1179886.0</v>
      </c>
      <c r="P109" s="7" t="s">
        <v>409</v>
      </c>
      <c r="Q109" s="7">
        <v>390.34</v>
      </c>
      <c r="R109" s="3">
        <f t="shared" si="1"/>
        <v>390.34</v>
      </c>
    </row>
    <row r="110" ht="22.5" customHeight="1">
      <c r="B110" s="7" t="s">
        <v>27</v>
      </c>
      <c r="C110" s="7">
        <v>320.0</v>
      </c>
      <c r="D110" s="7">
        <v>1120.0</v>
      </c>
      <c r="E110" s="7">
        <v>2850142.0</v>
      </c>
      <c r="F110" s="7">
        <v>2783505.0</v>
      </c>
      <c r="G110" s="7">
        <v>5445184.0</v>
      </c>
      <c r="H110" s="7">
        <v>1.22553938E8</v>
      </c>
      <c r="I110" s="7">
        <v>85472.0</v>
      </c>
      <c r="J110" s="7">
        <v>81087.0</v>
      </c>
      <c r="K110" s="7">
        <v>4385.0</v>
      </c>
      <c r="L110" s="7">
        <v>24.73</v>
      </c>
      <c r="M110" s="7">
        <v>-0.06</v>
      </c>
      <c r="N110" s="7">
        <v>7287.0</v>
      </c>
      <c r="O110" s="7">
        <v>1174497.0</v>
      </c>
      <c r="P110" s="7" t="s">
        <v>409</v>
      </c>
      <c r="Q110" s="7">
        <v>396.78</v>
      </c>
      <c r="R110" s="3">
        <f t="shared" si="1"/>
        <v>396.78</v>
      </c>
    </row>
    <row r="111" ht="22.5" customHeight="1">
      <c r="B111" s="7" t="s">
        <v>94</v>
      </c>
      <c r="C111" s="7">
        <v>3593.0</v>
      </c>
      <c r="D111" s="7">
        <v>14282.0</v>
      </c>
      <c r="E111" s="7">
        <v>2852089.0</v>
      </c>
      <c r="F111" s="7">
        <v>2812422.0</v>
      </c>
      <c r="G111" s="7">
        <v>5285489.0</v>
      </c>
      <c r="H111" s="7">
        <v>3.01109064E8</v>
      </c>
      <c r="I111" s="7">
        <v>123494.0</v>
      </c>
      <c r="J111" s="7">
        <v>118997.0</v>
      </c>
      <c r="K111" s="7">
        <v>4497.0</v>
      </c>
      <c r="L111" s="7">
        <v>35.39</v>
      </c>
      <c r="M111" s="7">
        <v>-0.07</v>
      </c>
      <c r="N111" s="7">
        <v>7403.0</v>
      </c>
      <c r="O111" s="7">
        <v>1091881.0</v>
      </c>
      <c r="P111" s="7" t="s">
        <v>409</v>
      </c>
      <c r="Q111" s="7">
        <v>409.14</v>
      </c>
      <c r="R111" s="3">
        <f t="shared" si="1"/>
        <v>409.14</v>
      </c>
    </row>
    <row r="112" ht="22.5" customHeight="1">
      <c r="B112" s="7" t="s">
        <v>154</v>
      </c>
      <c r="C112" s="7">
        <v>99736.0</v>
      </c>
      <c r="D112" s="7">
        <v>783852.0</v>
      </c>
      <c r="E112" s="7">
        <v>483074.0</v>
      </c>
      <c r="F112" s="7">
        <v>456474.0</v>
      </c>
      <c r="G112" s="7">
        <v>1494871.0</v>
      </c>
      <c r="H112" s="7">
        <v>1.72623226E9</v>
      </c>
      <c r="I112" s="7">
        <v>17588.0</v>
      </c>
      <c r="J112" s="7">
        <v>17078.0</v>
      </c>
      <c r="K112" s="7">
        <v>510.0</v>
      </c>
      <c r="L112" s="7">
        <v>95.4</v>
      </c>
      <c r="M112" s="7">
        <v>-0.08</v>
      </c>
      <c r="N112" s="7">
        <v>842.0</v>
      </c>
      <c r="O112" s="7">
        <v>374038.0</v>
      </c>
      <c r="P112" s="7" t="s">
        <v>410</v>
      </c>
      <c r="Q112" s="7">
        <v>412.63</v>
      </c>
      <c r="R112" s="3">
        <f t="shared" si="1"/>
        <v>412.63</v>
      </c>
    </row>
    <row r="113" ht="22.5" customHeight="1">
      <c r="B113" s="7" t="s">
        <v>205</v>
      </c>
      <c r="C113" s="7">
        <v>2187.0</v>
      </c>
      <c r="D113" s="7">
        <v>21358.0</v>
      </c>
      <c r="E113" s="7">
        <v>3706277.0</v>
      </c>
      <c r="F113" s="7">
        <v>3693224.0</v>
      </c>
      <c r="G113" s="7">
        <v>4841813.0</v>
      </c>
      <c r="H113" s="7">
        <v>2.49248657E8</v>
      </c>
      <c r="I113" s="7">
        <v>117893.0</v>
      </c>
      <c r="J113" s="7">
        <v>110118.0</v>
      </c>
      <c r="K113" s="7">
        <v>7775.0</v>
      </c>
      <c r="L113" s="7">
        <v>25.06</v>
      </c>
      <c r="M113" s="7">
        <v>-0.03</v>
      </c>
      <c r="N113" s="7">
        <v>12338.0</v>
      </c>
      <c r="O113" s="7">
        <v>1078575.0</v>
      </c>
      <c r="P113" s="7" t="s">
        <v>409</v>
      </c>
      <c r="Q113" s="7">
        <v>412.75</v>
      </c>
      <c r="R113" s="3">
        <f t="shared" si="1"/>
        <v>412.75</v>
      </c>
    </row>
    <row r="114" ht="22.5" customHeight="1">
      <c r="B114" s="7" t="s">
        <v>59</v>
      </c>
      <c r="C114" s="7">
        <v>2200.0</v>
      </c>
      <c r="D114" s="7">
        <v>9086.0</v>
      </c>
      <c r="E114" s="7">
        <v>2082908.0</v>
      </c>
      <c r="F114" s="7">
        <v>2027108.0</v>
      </c>
      <c r="G114" s="7">
        <v>5170755.0</v>
      </c>
      <c r="H114" s="7">
        <v>3.67257688E8</v>
      </c>
      <c r="I114" s="7">
        <v>118739.0</v>
      </c>
      <c r="J114" s="7">
        <v>116585.0</v>
      </c>
      <c r="K114" s="7">
        <v>2154.0</v>
      </c>
      <c r="L114" s="7">
        <v>25.25</v>
      </c>
      <c r="M114" s="7">
        <v>-0.1</v>
      </c>
      <c r="N114" s="7">
        <v>3555.0</v>
      </c>
      <c r="O114" s="7">
        <v>1130611.0</v>
      </c>
      <c r="P114" s="7" t="s">
        <v>409</v>
      </c>
      <c r="Q114" s="7">
        <v>419.75</v>
      </c>
      <c r="R114" s="3">
        <f t="shared" si="1"/>
        <v>419.75</v>
      </c>
    </row>
    <row r="115" ht="22.5" customHeight="1">
      <c r="B115" s="7" t="s">
        <v>173</v>
      </c>
      <c r="C115" s="7">
        <v>900.0</v>
      </c>
      <c r="D115" s="7">
        <v>133080.0</v>
      </c>
      <c r="E115" s="7">
        <v>2367461.0</v>
      </c>
      <c r="F115" s="7">
        <v>2283610.0</v>
      </c>
      <c r="G115" s="7">
        <v>5221671.0</v>
      </c>
      <c r="H115" s="7">
        <v>2.65293867E8</v>
      </c>
      <c r="I115" s="7">
        <v>80546.0</v>
      </c>
      <c r="J115" s="7">
        <v>77326.0</v>
      </c>
      <c r="K115" s="7">
        <v>3220.0</v>
      </c>
      <c r="L115" s="7">
        <v>46.56</v>
      </c>
      <c r="M115" s="7">
        <v>-0.07</v>
      </c>
      <c r="N115" s="7">
        <v>5164.0</v>
      </c>
      <c r="O115" s="7">
        <v>2086005.0</v>
      </c>
      <c r="P115" s="7" t="s">
        <v>409</v>
      </c>
      <c r="Q115" s="7">
        <v>422.49</v>
      </c>
      <c r="R115" s="3">
        <f t="shared" si="1"/>
        <v>422.49</v>
      </c>
    </row>
    <row r="116" ht="22.5" customHeight="1">
      <c r="B116" s="7" t="s">
        <v>152</v>
      </c>
      <c r="C116" s="7">
        <v>501284.0</v>
      </c>
      <c r="D116" s="7">
        <v>2745938.0</v>
      </c>
      <c r="E116" s="7">
        <v>2039282.0</v>
      </c>
      <c r="F116" s="7">
        <v>2029785.0</v>
      </c>
      <c r="G116" s="7">
        <v>1.5174864E7</v>
      </c>
      <c r="H116" s="7">
        <v>1.33647611E8</v>
      </c>
      <c r="I116" s="7">
        <v>95077.0</v>
      </c>
      <c r="J116" s="7">
        <v>92546.0</v>
      </c>
      <c r="K116" s="7">
        <v>2531.0</v>
      </c>
      <c r="L116" s="7">
        <v>14.83</v>
      </c>
      <c r="M116" s="7">
        <v>-0.07</v>
      </c>
      <c r="N116" s="7">
        <v>3856.0</v>
      </c>
      <c r="O116" s="7">
        <v>2267638.0</v>
      </c>
      <c r="P116" s="7" t="s">
        <v>410</v>
      </c>
      <c r="Q116" s="7">
        <v>423.51</v>
      </c>
      <c r="R116" s="3">
        <f t="shared" si="1"/>
        <v>423.51</v>
      </c>
    </row>
    <row r="117" ht="22.5" customHeight="1">
      <c r="B117" s="7" t="s">
        <v>20</v>
      </c>
      <c r="C117" s="7">
        <v>13408.0</v>
      </c>
      <c r="D117" s="7">
        <v>309437.0</v>
      </c>
      <c r="E117" s="7">
        <v>3224542.0</v>
      </c>
      <c r="F117" s="7">
        <v>3140633.0</v>
      </c>
      <c r="G117" s="7">
        <v>6.3152516E7</v>
      </c>
      <c r="H117" s="7">
        <v>5.66487079E8</v>
      </c>
      <c r="I117" s="7">
        <v>135849.0</v>
      </c>
      <c r="J117" s="7">
        <v>131689.0</v>
      </c>
      <c r="K117" s="7">
        <v>4160.0</v>
      </c>
      <c r="L117" s="7">
        <v>65.54</v>
      </c>
      <c r="M117" s="7">
        <v>-0.21</v>
      </c>
      <c r="N117" s="7">
        <v>7814.0</v>
      </c>
      <c r="O117" s="7">
        <v>1.0269734E7</v>
      </c>
      <c r="P117" s="7" t="s">
        <v>409</v>
      </c>
      <c r="Q117" s="7">
        <v>425.81</v>
      </c>
      <c r="R117" s="3">
        <f t="shared" si="1"/>
        <v>425.81</v>
      </c>
    </row>
    <row r="118" ht="22.5" customHeight="1">
      <c r="B118" s="7" t="s">
        <v>132</v>
      </c>
      <c r="C118" s="7">
        <v>9643.0</v>
      </c>
      <c r="D118" s="7">
        <v>145203.0</v>
      </c>
      <c r="E118" s="7">
        <v>2901821.0</v>
      </c>
      <c r="F118" s="7">
        <v>2855595.0</v>
      </c>
      <c r="G118" s="7">
        <v>5282829.0</v>
      </c>
      <c r="H118" s="7">
        <v>5.35715482E8</v>
      </c>
      <c r="I118" s="7">
        <v>122859.0</v>
      </c>
      <c r="J118" s="7">
        <v>118391.0</v>
      </c>
      <c r="K118" s="7">
        <v>4468.0</v>
      </c>
      <c r="L118" s="7">
        <v>24.05</v>
      </c>
      <c r="M118" s="7">
        <v>-0.08</v>
      </c>
      <c r="N118" s="7">
        <v>7469.0</v>
      </c>
      <c r="O118" s="7">
        <v>1126809.0</v>
      </c>
      <c r="P118" s="7" t="s">
        <v>409</v>
      </c>
      <c r="Q118" s="7">
        <v>427.67</v>
      </c>
      <c r="R118" s="3">
        <f t="shared" si="1"/>
        <v>427.67</v>
      </c>
    </row>
    <row r="119" ht="22.5" customHeight="1">
      <c r="B119" s="7" t="s">
        <v>103</v>
      </c>
      <c r="C119" s="7">
        <v>110108.0</v>
      </c>
      <c r="D119" s="7">
        <v>506714.0</v>
      </c>
      <c r="E119" s="7">
        <v>248930.0</v>
      </c>
      <c r="F119" s="7">
        <v>241519.0</v>
      </c>
      <c r="G119" s="7">
        <v>505059.0</v>
      </c>
      <c r="H119" s="7">
        <v>1.445587625E9</v>
      </c>
      <c r="I119" s="7">
        <v>8947.0</v>
      </c>
      <c r="J119" s="7">
        <v>8489.0</v>
      </c>
      <c r="K119" s="7">
        <v>458.0</v>
      </c>
      <c r="L119" s="7">
        <v>88.91</v>
      </c>
      <c r="M119" s="7">
        <v>-0.06</v>
      </c>
      <c r="N119" s="7">
        <v>780.0</v>
      </c>
      <c r="O119" s="7">
        <v>92782.0</v>
      </c>
      <c r="P119" s="7" t="s">
        <v>410</v>
      </c>
      <c r="Q119" s="7">
        <v>427.75</v>
      </c>
      <c r="R119" s="3">
        <f t="shared" si="1"/>
        <v>427.75</v>
      </c>
    </row>
    <row r="120" ht="22.5" customHeight="1">
      <c r="B120" s="7" t="s">
        <v>73</v>
      </c>
      <c r="C120" s="7">
        <v>2514.0</v>
      </c>
      <c r="D120" s="7">
        <v>10733.0</v>
      </c>
      <c r="E120" s="7">
        <v>2671386.0</v>
      </c>
      <c r="F120" s="7">
        <v>2637772.0</v>
      </c>
      <c r="G120" s="7">
        <v>4907502.0</v>
      </c>
      <c r="H120" s="7">
        <v>2.6753049E8</v>
      </c>
      <c r="I120" s="7">
        <v>126428.0</v>
      </c>
      <c r="J120" s="7">
        <v>122430.0</v>
      </c>
      <c r="K120" s="7">
        <v>3998.0</v>
      </c>
      <c r="L120" s="7">
        <v>34.02</v>
      </c>
      <c r="M120" s="7">
        <v>-0.07</v>
      </c>
      <c r="N120" s="7">
        <v>6550.0</v>
      </c>
      <c r="O120" s="7">
        <v>1085258.0</v>
      </c>
      <c r="P120" s="7" t="s">
        <v>409</v>
      </c>
      <c r="Q120" s="7">
        <v>429.75</v>
      </c>
      <c r="R120" s="3">
        <f t="shared" si="1"/>
        <v>429.75</v>
      </c>
    </row>
    <row r="121" ht="22.5" customHeight="1">
      <c r="B121" s="7" t="s">
        <v>100</v>
      </c>
      <c r="C121" s="7">
        <v>2692.0</v>
      </c>
      <c r="D121" s="7">
        <v>79064.0</v>
      </c>
      <c r="E121" s="7">
        <v>2474948.0</v>
      </c>
      <c r="F121" s="7">
        <v>2421858.0</v>
      </c>
      <c r="G121" s="7">
        <v>6597456.0</v>
      </c>
      <c r="H121" s="7">
        <v>2.99763247E8</v>
      </c>
      <c r="I121" s="7">
        <v>90617.0</v>
      </c>
      <c r="J121" s="7">
        <v>87508.0</v>
      </c>
      <c r="K121" s="7">
        <v>3109.0</v>
      </c>
      <c r="L121" s="7">
        <v>64.71</v>
      </c>
      <c r="M121" s="7">
        <v>-0.1</v>
      </c>
      <c r="N121" s="7">
        <v>5279.0</v>
      </c>
      <c r="O121" s="7">
        <v>1663298.0</v>
      </c>
      <c r="P121" s="7" t="s">
        <v>409</v>
      </c>
      <c r="Q121" s="7">
        <v>432.53</v>
      </c>
      <c r="R121" s="3">
        <f t="shared" si="1"/>
        <v>432.53</v>
      </c>
    </row>
    <row r="122" ht="22.5" customHeight="1">
      <c r="B122" s="7" t="s">
        <v>190</v>
      </c>
      <c r="C122" s="7">
        <v>13408.0</v>
      </c>
      <c r="D122" s="7">
        <v>309438.0</v>
      </c>
      <c r="E122" s="7">
        <v>3091933.0</v>
      </c>
      <c r="F122" s="7">
        <v>3010534.0</v>
      </c>
      <c r="G122" s="7">
        <v>5.7511107E7</v>
      </c>
      <c r="H122" s="7">
        <v>6.29465194E8</v>
      </c>
      <c r="I122" s="7">
        <v>131736.0</v>
      </c>
      <c r="J122" s="7">
        <v>127419.0</v>
      </c>
      <c r="K122" s="7">
        <v>4317.0</v>
      </c>
      <c r="L122" s="7">
        <v>79.18</v>
      </c>
      <c r="M122" s="7">
        <v>-0.2</v>
      </c>
      <c r="N122" s="7">
        <v>7702.0</v>
      </c>
      <c r="O122" s="7">
        <v>9722084.0</v>
      </c>
      <c r="P122" s="7" t="s">
        <v>409</v>
      </c>
      <c r="Q122" s="7">
        <v>438.0</v>
      </c>
      <c r="R122" s="3">
        <f t="shared" si="1"/>
        <v>438</v>
      </c>
    </row>
    <row r="123" ht="22.5" customHeight="1">
      <c r="B123" s="7" t="s">
        <v>135</v>
      </c>
      <c r="C123" s="7">
        <v>225296.0</v>
      </c>
      <c r="D123" s="7">
        <v>1180795.0</v>
      </c>
      <c r="E123" s="7">
        <v>1257016.0</v>
      </c>
      <c r="F123" s="7">
        <v>1157352.0</v>
      </c>
      <c r="G123" s="7">
        <v>6594243.0</v>
      </c>
      <c r="H123" s="7">
        <v>1.498533545E9</v>
      </c>
      <c r="I123" s="7">
        <v>40522.0</v>
      </c>
      <c r="J123" s="7">
        <v>38569.0</v>
      </c>
      <c r="K123" s="7">
        <v>1953.0</v>
      </c>
      <c r="L123" s="7">
        <v>132.7</v>
      </c>
      <c r="M123" s="7">
        <v>-0.1</v>
      </c>
      <c r="N123" s="7">
        <v>3278.0</v>
      </c>
      <c r="O123" s="7">
        <v>796408.0</v>
      </c>
      <c r="P123" s="7" t="s">
        <v>410</v>
      </c>
      <c r="Q123" s="7">
        <v>450.23</v>
      </c>
      <c r="R123" s="3">
        <f t="shared" si="1"/>
        <v>450.23</v>
      </c>
    </row>
    <row r="124" ht="22.5" customHeight="1">
      <c r="B124" s="7" t="s">
        <v>91</v>
      </c>
      <c r="C124" s="7">
        <v>110108.0</v>
      </c>
      <c r="D124" s="7">
        <v>506714.0</v>
      </c>
      <c r="E124" s="7">
        <v>269008.0</v>
      </c>
      <c r="F124" s="7">
        <v>260615.0</v>
      </c>
      <c r="G124" s="7">
        <v>585803.0</v>
      </c>
      <c r="H124" s="7">
        <v>1.339511488E9</v>
      </c>
      <c r="I124" s="7">
        <v>9557.0</v>
      </c>
      <c r="J124" s="7">
        <v>9094.0</v>
      </c>
      <c r="K124" s="7">
        <v>463.0</v>
      </c>
      <c r="L124" s="7">
        <v>99.8</v>
      </c>
      <c r="M124" s="7">
        <v>-0.07</v>
      </c>
      <c r="N124" s="7">
        <v>797.0</v>
      </c>
      <c r="O124" s="7">
        <v>115643.0</v>
      </c>
      <c r="P124" s="7" t="s">
        <v>410</v>
      </c>
      <c r="Q124" s="7">
        <v>455.15</v>
      </c>
      <c r="R124" s="3">
        <f t="shared" si="1"/>
        <v>455.15</v>
      </c>
    </row>
    <row r="125" ht="22.5" customHeight="1">
      <c r="B125" s="7" t="s">
        <v>80</v>
      </c>
      <c r="C125" s="7">
        <v>2703.0</v>
      </c>
      <c r="D125" s="7">
        <v>17985.0</v>
      </c>
      <c r="E125" s="7">
        <v>1694631.0</v>
      </c>
      <c r="F125" s="7">
        <v>1675378.0</v>
      </c>
      <c r="G125" s="7">
        <v>2562312.0</v>
      </c>
      <c r="H125" s="7">
        <v>1.15182102E8</v>
      </c>
      <c r="I125" s="7">
        <v>62045.0</v>
      </c>
      <c r="J125" s="7">
        <v>59979.0</v>
      </c>
      <c r="K125" s="7">
        <v>2066.0</v>
      </c>
      <c r="L125" s="7">
        <v>32.46</v>
      </c>
      <c r="M125" s="7">
        <v>-0.05</v>
      </c>
      <c r="N125" s="7">
        <v>3397.0</v>
      </c>
      <c r="O125" s="7">
        <v>896075.0</v>
      </c>
      <c r="P125" s="7" t="s">
        <v>410</v>
      </c>
      <c r="Q125" s="7">
        <v>456.04</v>
      </c>
      <c r="R125" s="3">
        <f t="shared" si="1"/>
        <v>456.04</v>
      </c>
    </row>
    <row r="126" ht="22.5" customHeight="1">
      <c r="B126" s="7" t="s">
        <v>179</v>
      </c>
      <c r="C126" s="7">
        <v>381708.0</v>
      </c>
      <c r="D126" s="7">
        <v>1619095.0</v>
      </c>
      <c r="E126" s="7">
        <v>231501.0</v>
      </c>
      <c r="F126" s="7">
        <v>185895.0</v>
      </c>
      <c r="G126" s="7">
        <v>1933863.0</v>
      </c>
      <c r="H126" s="7">
        <v>1.750348676E9</v>
      </c>
      <c r="I126" s="7">
        <v>6492.0</v>
      </c>
      <c r="J126" s="7">
        <v>6086.0</v>
      </c>
      <c r="K126" s="7">
        <v>406.0</v>
      </c>
      <c r="L126" s="7">
        <v>278.03</v>
      </c>
      <c r="M126" s="7">
        <v>-0.12</v>
      </c>
      <c r="N126" s="7">
        <v>687.0</v>
      </c>
      <c r="O126" s="7">
        <v>174543.0</v>
      </c>
      <c r="P126" s="7" t="s">
        <v>409</v>
      </c>
      <c r="Q126" s="7">
        <v>470.78</v>
      </c>
      <c r="R126" s="3">
        <f t="shared" si="1"/>
        <v>470.78</v>
      </c>
    </row>
    <row r="127" ht="22.5" customHeight="1">
      <c r="B127" s="7" t="s">
        <v>207</v>
      </c>
      <c r="C127" s="7">
        <v>3836.0</v>
      </c>
      <c r="D127" s="7">
        <v>15071.0</v>
      </c>
      <c r="E127" s="7">
        <v>2541519.0</v>
      </c>
      <c r="F127" s="7">
        <v>2501041.0</v>
      </c>
      <c r="G127" s="7">
        <v>5434219.0</v>
      </c>
      <c r="H127" s="7">
        <v>2.88380203E8</v>
      </c>
      <c r="I127" s="7">
        <v>132194.0</v>
      </c>
      <c r="J127" s="7">
        <v>128767.0</v>
      </c>
      <c r="K127" s="7">
        <v>3427.0</v>
      </c>
      <c r="L127" s="7">
        <v>37.96</v>
      </c>
      <c r="M127" s="7">
        <v>-0.09</v>
      </c>
      <c r="N127" s="7">
        <v>5727.0</v>
      </c>
      <c r="O127" s="7">
        <v>1086802.0</v>
      </c>
      <c r="P127" s="7" t="s">
        <v>409</v>
      </c>
      <c r="Q127" s="7">
        <v>481.45</v>
      </c>
      <c r="R127" s="3">
        <f t="shared" si="1"/>
        <v>481.45</v>
      </c>
    </row>
    <row r="128" ht="22.5" customHeight="1">
      <c r="B128" s="7" t="s">
        <v>138</v>
      </c>
      <c r="C128" s="7">
        <v>3573.0</v>
      </c>
      <c r="D128" s="7">
        <v>14128.0</v>
      </c>
      <c r="E128" s="7">
        <v>2836468.0</v>
      </c>
      <c r="F128" s="7">
        <v>2802537.0</v>
      </c>
      <c r="G128" s="7">
        <v>5045013.0</v>
      </c>
      <c r="H128" s="7">
        <v>2.97443289E8</v>
      </c>
      <c r="I128" s="7">
        <v>126814.0</v>
      </c>
      <c r="J128" s="7">
        <v>122301.0</v>
      </c>
      <c r="K128" s="7">
        <v>4513.0</v>
      </c>
      <c r="L128" s="7">
        <v>34.25</v>
      </c>
      <c r="M128" s="7">
        <v>-0.06</v>
      </c>
      <c r="N128" s="7">
        <v>7387.0</v>
      </c>
      <c r="O128" s="7">
        <v>1083403.0</v>
      </c>
      <c r="P128" s="7" t="s">
        <v>409</v>
      </c>
      <c r="Q128" s="7">
        <v>486.09</v>
      </c>
      <c r="R128" s="3">
        <f t="shared" si="1"/>
        <v>486.09</v>
      </c>
    </row>
    <row r="129" ht="22.5" customHeight="1">
      <c r="B129" s="7" t="s">
        <v>134</v>
      </c>
      <c r="C129" s="7">
        <v>1043.0</v>
      </c>
      <c r="D129" s="7">
        <v>2829.0</v>
      </c>
      <c r="E129" s="7">
        <v>5295006.0</v>
      </c>
      <c r="F129" s="7">
        <v>5238430.0</v>
      </c>
      <c r="G129" s="7">
        <v>6133792.0</v>
      </c>
      <c r="H129" s="7">
        <v>8.1745017E7</v>
      </c>
      <c r="I129" s="7">
        <v>166576.0</v>
      </c>
      <c r="J129" s="7">
        <v>158100.0</v>
      </c>
      <c r="K129" s="7">
        <v>8476.0</v>
      </c>
      <c r="L129" s="7">
        <v>22.76</v>
      </c>
      <c r="M129" s="7">
        <v>-0.03</v>
      </c>
      <c r="N129" s="7">
        <v>13799.0</v>
      </c>
      <c r="O129" s="7">
        <v>2161467.0</v>
      </c>
      <c r="P129" s="7" t="s">
        <v>410</v>
      </c>
      <c r="Q129" s="7">
        <v>487.78</v>
      </c>
      <c r="R129" s="3">
        <f t="shared" si="1"/>
        <v>487.78</v>
      </c>
    </row>
    <row r="130" ht="22.5" customHeight="1">
      <c r="B130" s="7" t="s">
        <v>131</v>
      </c>
      <c r="C130" s="7">
        <v>1140.0</v>
      </c>
      <c r="D130" s="7">
        <v>4253.0</v>
      </c>
      <c r="E130" s="7">
        <v>5112164.0</v>
      </c>
      <c r="F130" s="7">
        <v>5057497.0</v>
      </c>
      <c r="G130" s="7">
        <v>7518000.0</v>
      </c>
      <c r="H130" s="7">
        <v>2.11936092E8</v>
      </c>
      <c r="I130" s="7">
        <v>184824.0</v>
      </c>
      <c r="J130" s="7">
        <v>176606.0</v>
      </c>
      <c r="K130" s="7">
        <v>8218.0</v>
      </c>
      <c r="L130" s="7">
        <v>19.51</v>
      </c>
      <c r="M130" s="7">
        <v>-0.05</v>
      </c>
      <c r="N130" s="7">
        <v>13549.0</v>
      </c>
      <c r="O130" s="7">
        <v>1972131.0</v>
      </c>
      <c r="P130" s="7" t="s">
        <v>410</v>
      </c>
      <c r="Q130" s="7">
        <v>492.33</v>
      </c>
      <c r="R130" s="3">
        <f t="shared" si="1"/>
        <v>492.33</v>
      </c>
    </row>
    <row r="131" ht="22.5" customHeight="1">
      <c r="B131" s="7" t="s">
        <v>58</v>
      </c>
      <c r="C131" s="7">
        <v>55333.0</v>
      </c>
      <c r="D131" s="7">
        <v>219128.0</v>
      </c>
      <c r="E131" s="7">
        <v>2081139.0</v>
      </c>
      <c r="F131" s="7">
        <v>2033544.0</v>
      </c>
      <c r="G131" s="7">
        <v>6.3655854E7</v>
      </c>
      <c r="H131" s="7">
        <v>6.29931013E8</v>
      </c>
      <c r="I131" s="7">
        <v>144158.0</v>
      </c>
      <c r="J131" s="7">
        <v>142231.0</v>
      </c>
      <c r="K131" s="7">
        <v>1927.0</v>
      </c>
      <c r="L131" s="7">
        <v>76.77</v>
      </c>
      <c r="M131" s="7">
        <v>-0.17</v>
      </c>
      <c r="N131" s="7">
        <v>3331.0</v>
      </c>
      <c r="O131" s="7">
        <v>3857103.0</v>
      </c>
      <c r="P131" s="7" t="s">
        <v>409</v>
      </c>
      <c r="Q131" s="7">
        <v>495.23</v>
      </c>
      <c r="R131" s="3">
        <f t="shared" si="1"/>
        <v>495.23</v>
      </c>
    </row>
    <row r="132" ht="22.5" customHeight="1">
      <c r="B132" s="7" t="s">
        <v>97</v>
      </c>
      <c r="C132" s="7">
        <v>506.0</v>
      </c>
      <c r="D132" s="7">
        <v>1406.0</v>
      </c>
      <c r="E132" s="7">
        <v>4001902.0</v>
      </c>
      <c r="F132" s="7">
        <v>3981107.0</v>
      </c>
      <c r="G132" s="7">
        <v>5257133.0</v>
      </c>
      <c r="H132" s="7">
        <v>9.6514778E7</v>
      </c>
      <c r="I132" s="7">
        <v>115608.0</v>
      </c>
      <c r="J132" s="7">
        <v>107529.0</v>
      </c>
      <c r="K132" s="7">
        <v>8079.0</v>
      </c>
      <c r="L132" s="7">
        <v>18.76</v>
      </c>
      <c r="M132" s="7">
        <v>-0.04</v>
      </c>
      <c r="N132" s="7">
        <v>13227.0</v>
      </c>
      <c r="O132" s="7">
        <v>1119900.0</v>
      </c>
      <c r="P132" s="7" t="s">
        <v>410</v>
      </c>
      <c r="Q132" s="7">
        <v>513.17</v>
      </c>
      <c r="R132" s="3">
        <f t="shared" si="1"/>
        <v>513.17</v>
      </c>
    </row>
    <row r="133" ht="22.5" customHeight="1">
      <c r="B133" s="7" t="s">
        <v>128</v>
      </c>
      <c r="C133" s="7">
        <v>259616.0</v>
      </c>
      <c r="D133" s="7">
        <v>1360766.0</v>
      </c>
      <c r="E133" s="7">
        <v>915641.0</v>
      </c>
      <c r="F133" s="7">
        <v>823167.0</v>
      </c>
      <c r="G133" s="7">
        <v>5758459.0</v>
      </c>
      <c r="H133" s="7">
        <v>1.655405539E9</v>
      </c>
      <c r="I133" s="7">
        <v>25114.0</v>
      </c>
      <c r="J133" s="7">
        <v>23401.0</v>
      </c>
      <c r="K133" s="7">
        <v>1713.0</v>
      </c>
      <c r="L133" s="7">
        <v>208.07</v>
      </c>
      <c r="M133" s="7">
        <v>-0.09</v>
      </c>
      <c r="N133" s="7">
        <v>2826.0</v>
      </c>
      <c r="O133" s="7">
        <v>548702.0</v>
      </c>
      <c r="P133" s="7" t="s">
        <v>410</v>
      </c>
      <c r="Q133" s="7">
        <v>517.52</v>
      </c>
      <c r="R133" s="3">
        <f t="shared" si="1"/>
        <v>517.52</v>
      </c>
    </row>
    <row r="134" ht="22.5" customHeight="1">
      <c r="B134" s="7" t="s">
        <v>101</v>
      </c>
      <c r="C134" s="7">
        <v>2935.0</v>
      </c>
      <c r="D134" s="7">
        <v>18371.0</v>
      </c>
      <c r="E134" s="7">
        <v>2163590.0</v>
      </c>
      <c r="F134" s="7">
        <v>2137891.0</v>
      </c>
      <c r="G134" s="7">
        <v>3221594.0</v>
      </c>
      <c r="H134" s="7">
        <v>1.60608715E8</v>
      </c>
      <c r="I134" s="7">
        <v>87241.0</v>
      </c>
      <c r="J134" s="7">
        <v>84844.0</v>
      </c>
      <c r="K134" s="7">
        <v>2397.0</v>
      </c>
      <c r="L134" s="7">
        <v>28.75</v>
      </c>
      <c r="M134" s="7">
        <v>-0.06</v>
      </c>
      <c r="N134" s="7">
        <v>3957.0</v>
      </c>
      <c r="O134" s="7">
        <v>1199735.0</v>
      </c>
      <c r="P134" s="7" t="s">
        <v>410</v>
      </c>
      <c r="Q134" s="7">
        <v>518.51</v>
      </c>
      <c r="R134" s="3">
        <f t="shared" si="1"/>
        <v>518.51</v>
      </c>
    </row>
    <row r="135" ht="22.5" customHeight="1">
      <c r="B135" s="7" t="s">
        <v>166</v>
      </c>
      <c r="C135" s="7">
        <v>58614.0</v>
      </c>
      <c r="D135" s="7">
        <v>175092.0</v>
      </c>
      <c r="E135" s="7">
        <v>2445668.0</v>
      </c>
      <c r="F135" s="7">
        <v>2389012.0</v>
      </c>
      <c r="G135" s="7">
        <v>7070465.0</v>
      </c>
      <c r="H135" s="7">
        <v>1.509972478E9</v>
      </c>
      <c r="I135" s="7">
        <v>121804.0</v>
      </c>
      <c r="J135" s="7">
        <v>118648.0</v>
      </c>
      <c r="K135" s="7">
        <v>3156.0</v>
      </c>
      <c r="L135" s="7">
        <v>32.37</v>
      </c>
      <c r="M135" s="7">
        <v>-0.11</v>
      </c>
      <c r="N135" s="7">
        <v>5267.0</v>
      </c>
      <c r="O135" s="7">
        <v>1478811.0</v>
      </c>
      <c r="P135" s="7" t="s">
        <v>410</v>
      </c>
      <c r="Q135" s="7">
        <v>537.76</v>
      </c>
      <c r="R135" s="3">
        <f t="shared" si="1"/>
        <v>537.76</v>
      </c>
    </row>
    <row r="136" ht="22.5" customHeight="1">
      <c r="B136" s="7" t="s">
        <v>235</v>
      </c>
      <c r="C136" s="7">
        <v>1728.0</v>
      </c>
      <c r="D136" s="7">
        <v>19526.0</v>
      </c>
      <c r="E136" s="7">
        <v>4989265.0</v>
      </c>
      <c r="F136" s="7">
        <v>4965497.0</v>
      </c>
      <c r="G136" s="7">
        <v>5499857.0</v>
      </c>
      <c r="H136" s="7">
        <v>5.9964892E7</v>
      </c>
      <c r="I136" s="7">
        <v>149397.0</v>
      </c>
      <c r="J136" s="7">
        <v>139083.0</v>
      </c>
      <c r="K136" s="7">
        <v>10314.0</v>
      </c>
      <c r="L136" s="7">
        <v>41.71</v>
      </c>
      <c r="M136" s="7">
        <v>-0.02</v>
      </c>
      <c r="N136" s="7">
        <v>15603.0</v>
      </c>
      <c r="O136" s="7">
        <v>1915970.0</v>
      </c>
      <c r="P136" s="7" t="s">
        <v>410</v>
      </c>
      <c r="Q136" s="7">
        <v>542.45</v>
      </c>
      <c r="R136" s="3">
        <f t="shared" si="1"/>
        <v>542.45</v>
      </c>
    </row>
    <row r="137" ht="22.5" customHeight="1">
      <c r="B137" s="7" t="s">
        <v>167</v>
      </c>
      <c r="C137" s="7">
        <v>6658.0</v>
      </c>
      <c r="D137" s="7">
        <v>31909.0</v>
      </c>
      <c r="E137" s="7">
        <v>1940643.0</v>
      </c>
      <c r="F137" s="7">
        <v>1939950.0</v>
      </c>
      <c r="G137" s="7">
        <v>1957738.0</v>
      </c>
      <c r="H137" s="7">
        <v>1.683222418E9</v>
      </c>
      <c r="I137" s="7">
        <v>81681.0</v>
      </c>
      <c r="J137" s="7">
        <v>79465.0</v>
      </c>
      <c r="K137" s="7">
        <v>2216.0</v>
      </c>
      <c r="L137" s="7">
        <v>16.97</v>
      </c>
      <c r="M137" s="7">
        <v>0.0</v>
      </c>
      <c r="N137" s="7">
        <v>3549.0</v>
      </c>
      <c r="O137" s="7">
        <v>1036045.0</v>
      </c>
      <c r="P137" s="7" t="s">
        <v>410</v>
      </c>
      <c r="Q137" s="7">
        <v>542.52</v>
      </c>
      <c r="R137" s="3">
        <f t="shared" si="1"/>
        <v>542.52</v>
      </c>
    </row>
    <row r="138" ht="22.5" customHeight="1">
      <c r="B138" s="7" t="s">
        <v>148</v>
      </c>
      <c r="C138" s="7">
        <v>824210.0</v>
      </c>
      <c r="D138" s="7">
        <v>2459565.0</v>
      </c>
      <c r="E138" s="7">
        <v>1334820.0</v>
      </c>
      <c r="F138" s="7">
        <v>1294627.0</v>
      </c>
      <c r="G138" s="7">
        <v>1.1260391E7</v>
      </c>
      <c r="H138" s="7">
        <v>7.64064904E8</v>
      </c>
      <c r="I138" s="7">
        <v>49456.0</v>
      </c>
      <c r="J138" s="7">
        <v>47648.0</v>
      </c>
      <c r="K138" s="7">
        <v>1808.0</v>
      </c>
      <c r="L138" s="7">
        <v>36.05</v>
      </c>
      <c r="M138" s="7">
        <v>-0.13</v>
      </c>
      <c r="N138" s="7">
        <v>3140.0</v>
      </c>
      <c r="O138" s="7">
        <v>3029243.0</v>
      </c>
      <c r="P138" s="7" t="s">
        <v>410</v>
      </c>
      <c r="Q138" s="7">
        <v>545.89</v>
      </c>
      <c r="R138" s="3">
        <f t="shared" si="1"/>
        <v>545.89</v>
      </c>
    </row>
    <row r="139" ht="22.5" customHeight="1">
      <c r="B139" s="7" t="s">
        <v>142</v>
      </c>
      <c r="C139" s="7">
        <v>290693.0</v>
      </c>
      <c r="D139" s="7">
        <v>1262210.0</v>
      </c>
      <c r="E139" s="7">
        <v>585785.0</v>
      </c>
      <c r="F139" s="7">
        <v>557969.0</v>
      </c>
      <c r="G139" s="7">
        <v>4992399.0</v>
      </c>
      <c r="H139" s="7">
        <v>1.592041364E9</v>
      </c>
      <c r="I139" s="7">
        <v>34736.0</v>
      </c>
      <c r="J139" s="7">
        <v>34294.0</v>
      </c>
      <c r="K139" s="7">
        <v>442.0</v>
      </c>
      <c r="L139" s="7">
        <v>42.74</v>
      </c>
      <c r="M139" s="7">
        <v>-0.23</v>
      </c>
      <c r="N139" s="7">
        <v>926.0</v>
      </c>
      <c r="O139" s="7">
        <v>956760.0</v>
      </c>
      <c r="P139" s="7" t="s">
        <v>409</v>
      </c>
      <c r="Q139" s="7">
        <v>579.67</v>
      </c>
      <c r="R139" s="3">
        <f t="shared" si="1"/>
        <v>579.67</v>
      </c>
    </row>
    <row r="140" ht="22.5" customHeight="1">
      <c r="B140" s="7" t="s">
        <v>255</v>
      </c>
      <c r="C140" s="7">
        <v>13408.0</v>
      </c>
      <c r="D140" s="7">
        <v>309430.0</v>
      </c>
      <c r="E140" s="7">
        <v>3578516.0</v>
      </c>
      <c r="F140" s="7">
        <v>3489163.0</v>
      </c>
      <c r="G140" s="7">
        <v>5.729548E7</v>
      </c>
      <c r="H140" s="7">
        <v>7.13969436E8</v>
      </c>
      <c r="I140" s="7">
        <v>123219.0</v>
      </c>
      <c r="J140" s="7">
        <v>118069.0</v>
      </c>
      <c r="K140" s="7">
        <v>5150.0</v>
      </c>
      <c r="L140" s="7">
        <v>74.39</v>
      </c>
      <c r="M140" s="7">
        <v>-0.18</v>
      </c>
      <c r="N140" s="7">
        <v>9495.0</v>
      </c>
      <c r="O140" s="7">
        <v>1.0066724E7</v>
      </c>
      <c r="P140" s="7" t="s">
        <v>409</v>
      </c>
      <c r="Q140" s="7">
        <v>580.64</v>
      </c>
      <c r="R140" s="3">
        <f t="shared" si="1"/>
        <v>580.64</v>
      </c>
    </row>
    <row r="141" ht="22.5" customHeight="1">
      <c r="B141" s="7" t="s">
        <v>170</v>
      </c>
      <c r="C141" s="7">
        <v>2425.0</v>
      </c>
      <c r="D141" s="7">
        <v>23032.0</v>
      </c>
      <c r="E141" s="7">
        <v>4931288.0</v>
      </c>
      <c r="F141" s="7">
        <v>4923480.0</v>
      </c>
      <c r="G141" s="7">
        <v>5519855.0</v>
      </c>
      <c r="H141" s="7">
        <v>5.13648825E8</v>
      </c>
      <c r="I141" s="7">
        <v>173609.0</v>
      </c>
      <c r="J141" s="7">
        <v>164527.0</v>
      </c>
      <c r="K141" s="7">
        <v>9082.0</v>
      </c>
      <c r="L141" s="7">
        <v>20.06</v>
      </c>
      <c r="M141" s="7">
        <v>-0.01</v>
      </c>
      <c r="N141" s="7">
        <v>14404.0</v>
      </c>
      <c r="O141" s="7">
        <v>1769578.0</v>
      </c>
      <c r="P141" s="7" t="s">
        <v>409</v>
      </c>
      <c r="Q141" s="7">
        <v>588.92</v>
      </c>
      <c r="R141" s="3">
        <f t="shared" si="1"/>
        <v>588.92</v>
      </c>
    </row>
    <row r="142" ht="22.5" customHeight="1">
      <c r="B142" s="7" t="s">
        <v>144</v>
      </c>
      <c r="C142" s="7">
        <v>2504.0</v>
      </c>
      <c r="D142" s="7">
        <v>10705.0</v>
      </c>
      <c r="E142" s="7">
        <v>3348905.0</v>
      </c>
      <c r="F142" s="7">
        <v>3311417.0</v>
      </c>
      <c r="G142" s="7">
        <v>5635809.0</v>
      </c>
      <c r="H142" s="7">
        <v>3.47205747E8</v>
      </c>
      <c r="I142" s="7">
        <v>128757.0</v>
      </c>
      <c r="J142" s="7">
        <v>122690.0</v>
      </c>
      <c r="K142" s="7">
        <v>6067.0</v>
      </c>
      <c r="L142" s="7">
        <v>33.53</v>
      </c>
      <c r="M142" s="7">
        <v>-0.06</v>
      </c>
      <c r="N142" s="7">
        <v>9942.0</v>
      </c>
      <c r="O142" s="7">
        <v>1082124.0</v>
      </c>
      <c r="P142" s="7" t="s">
        <v>409</v>
      </c>
      <c r="Q142" s="7">
        <v>630.48</v>
      </c>
      <c r="R142" s="3">
        <f t="shared" si="1"/>
        <v>630.48</v>
      </c>
    </row>
    <row r="143" ht="22.5" customHeight="1">
      <c r="B143" s="7" t="s">
        <v>163</v>
      </c>
      <c r="C143" s="7">
        <v>72078.0</v>
      </c>
      <c r="D143" s="7">
        <v>517728.0</v>
      </c>
      <c r="E143" s="7">
        <v>2186514.0</v>
      </c>
      <c r="F143" s="7">
        <v>2148235.0</v>
      </c>
      <c r="G143" s="7">
        <v>1.4860934E7</v>
      </c>
      <c r="H143" s="7">
        <v>7.87518629E8</v>
      </c>
      <c r="I143" s="7">
        <v>125828.0</v>
      </c>
      <c r="J143" s="7">
        <v>123297.0</v>
      </c>
      <c r="K143" s="7">
        <v>2531.0</v>
      </c>
      <c r="L143" s="7">
        <v>26.91</v>
      </c>
      <c r="M143" s="7">
        <v>-0.15</v>
      </c>
      <c r="N143" s="7">
        <v>4137.0</v>
      </c>
      <c r="O143" s="7">
        <v>2548082.0</v>
      </c>
      <c r="P143" s="7" t="s">
        <v>410</v>
      </c>
      <c r="Q143" s="7">
        <v>638.66</v>
      </c>
      <c r="R143" s="3">
        <f t="shared" si="1"/>
        <v>638.66</v>
      </c>
    </row>
    <row r="144" ht="22.5" customHeight="1">
      <c r="B144" s="7" t="s">
        <v>156</v>
      </c>
      <c r="C144" s="7">
        <v>752.0</v>
      </c>
      <c r="D144" s="7">
        <v>27325.0</v>
      </c>
      <c r="E144" s="7">
        <v>4961275.0</v>
      </c>
      <c r="F144" s="7">
        <v>4835339.0</v>
      </c>
      <c r="G144" s="7">
        <v>9064882.0</v>
      </c>
      <c r="H144" s="7">
        <v>2.59576597E8</v>
      </c>
      <c r="I144" s="7">
        <v>161380.0</v>
      </c>
      <c r="J144" s="7">
        <v>153104.0</v>
      </c>
      <c r="K144" s="7">
        <v>8276.0</v>
      </c>
      <c r="L144" s="7">
        <v>42.58</v>
      </c>
      <c r="M144" s="7">
        <v>-0.07</v>
      </c>
      <c r="N144" s="7">
        <v>13599.0</v>
      </c>
      <c r="O144" s="7">
        <v>2019722.0</v>
      </c>
      <c r="P144" s="7" t="s">
        <v>409</v>
      </c>
      <c r="Q144" s="7">
        <v>639.36</v>
      </c>
      <c r="R144" s="3">
        <f t="shared" si="1"/>
        <v>639.36</v>
      </c>
    </row>
    <row r="145" ht="22.5" customHeight="1">
      <c r="B145" s="7" t="s">
        <v>124</v>
      </c>
      <c r="C145" s="7">
        <v>895.0</v>
      </c>
      <c r="D145" s="7">
        <v>20756.0</v>
      </c>
      <c r="E145" s="7">
        <v>2223508.0</v>
      </c>
      <c r="F145" s="7">
        <v>2205288.0</v>
      </c>
      <c r="G145" s="7">
        <v>3750083.0</v>
      </c>
      <c r="H145" s="7">
        <v>2.4687513E8</v>
      </c>
      <c r="I145" s="7">
        <v>137334.0</v>
      </c>
      <c r="J145" s="7">
        <v>134551.0</v>
      </c>
      <c r="K145" s="7">
        <v>2783.0</v>
      </c>
      <c r="L145" s="7">
        <v>25.69</v>
      </c>
      <c r="M145" s="7">
        <v>-0.07</v>
      </c>
      <c r="N145" s="7">
        <v>4458.0</v>
      </c>
      <c r="O145" s="7">
        <v>1044098.0</v>
      </c>
      <c r="P145" s="7" t="s">
        <v>409</v>
      </c>
      <c r="Q145" s="7">
        <v>643.25</v>
      </c>
      <c r="R145" s="3">
        <f t="shared" si="1"/>
        <v>643.25</v>
      </c>
    </row>
    <row r="146" ht="22.5" customHeight="1">
      <c r="B146" s="7" t="s">
        <v>50</v>
      </c>
      <c r="C146" s="7">
        <v>1458.0</v>
      </c>
      <c r="D146" s="7">
        <v>30499.0</v>
      </c>
      <c r="E146" s="7">
        <v>4803091.0</v>
      </c>
      <c r="F146" s="7">
        <v>4721613.0</v>
      </c>
      <c r="G146" s="7">
        <v>9451261.0</v>
      </c>
      <c r="H146" s="7">
        <v>2.66589949E8</v>
      </c>
      <c r="I146" s="7">
        <v>162866.0</v>
      </c>
      <c r="J146" s="7">
        <v>154853.0</v>
      </c>
      <c r="K146" s="7">
        <v>8013.0</v>
      </c>
      <c r="L146" s="7">
        <v>42.97</v>
      </c>
      <c r="M146" s="7">
        <v>-0.07</v>
      </c>
      <c r="N146" s="7">
        <v>13342.0</v>
      </c>
      <c r="O146" s="7">
        <v>1801769.0</v>
      </c>
      <c r="P146" s="7" t="s">
        <v>409</v>
      </c>
      <c r="Q146" s="7">
        <v>645.14</v>
      </c>
      <c r="R146" s="3">
        <f t="shared" si="1"/>
        <v>645.14</v>
      </c>
    </row>
    <row r="147" ht="22.5" customHeight="1">
      <c r="B147" s="7" t="s">
        <v>127</v>
      </c>
      <c r="C147" s="7">
        <v>2425.0</v>
      </c>
      <c r="D147" s="7">
        <v>23034.0</v>
      </c>
      <c r="E147" s="7">
        <v>5321282.0</v>
      </c>
      <c r="F147" s="7">
        <v>5314306.0</v>
      </c>
      <c r="G147" s="7">
        <v>5700345.0</v>
      </c>
      <c r="H147" s="7">
        <v>5.26322419E8</v>
      </c>
      <c r="I147" s="7">
        <v>189495.0</v>
      </c>
      <c r="J147" s="7">
        <v>180375.0</v>
      </c>
      <c r="K147" s="7">
        <v>9120.0</v>
      </c>
      <c r="L147" s="7">
        <v>17.82</v>
      </c>
      <c r="M147" s="7">
        <v>-0.01</v>
      </c>
      <c r="N147" s="7">
        <v>14442.0</v>
      </c>
      <c r="O147" s="7">
        <v>2120364.0</v>
      </c>
      <c r="P147" s="7" t="s">
        <v>410</v>
      </c>
      <c r="Q147" s="7">
        <v>664.84</v>
      </c>
      <c r="R147" s="3">
        <f t="shared" si="1"/>
        <v>664.84</v>
      </c>
    </row>
    <row r="148" ht="22.5" customHeight="1">
      <c r="B148" s="7" t="s">
        <v>145</v>
      </c>
      <c r="C148" s="7">
        <v>335424.0</v>
      </c>
      <c r="D148" s="7">
        <v>950345.0</v>
      </c>
      <c r="E148" s="7">
        <v>207135.0</v>
      </c>
      <c r="F148" s="7">
        <v>204189.0</v>
      </c>
      <c r="G148" s="7">
        <v>929272.0</v>
      </c>
      <c r="H148" s="7">
        <v>2.192044632E9</v>
      </c>
      <c r="I148" s="7">
        <v>8392.0</v>
      </c>
      <c r="J148" s="7">
        <v>8020.0</v>
      </c>
      <c r="K148" s="7">
        <v>372.0</v>
      </c>
      <c r="L148" s="7">
        <v>58.27</v>
      </c>
      <c r="M148" s="7">
        <v>-0.08</v>
      </c>
      <c r="N148" s="7">
        <v>612.0</v>
      </c>
      <c r="O148" s="7">
        <v>89687.0</v>
      </c>
      <c r="P148" s="7" t="s">
        <v>409</v>
      </c>
      <c r="Q148" s="7">
        <v>718.79</v>
      </c>
      <c r="R148" s="3">
        <f t="shared" si="1"/>
        <v>718.79</v>
      </c>
    </row>
    <row r="149" ht="22.5" customHeight="1">
      <c r="B149" s="7" t="s">
        <v>141</v>
      </c>
      <c r="C149" s="7">
        <v>827.0</v>
      </c>
      <c r="D149" s="7">
        <v>20662.0</v>
      </c>
      <c r="E149" s="7">
        <v>2111602.0</v>
      </c>
      <c r="F149" s="7">
        <v>2093060.0</v>
      </c>
      <c r="G149" s="7">
        <v>3902608.0</v>
      </c>
      <c r="H149" s="7">
        <v>2.30308925E8</v>
      </c>
      <c r="I149" s="7">
        <v>145787.0</v>
      </c>
      <c r="J149" s="7">
        <v>143437.0</v>
      </c>
      <c r="K149" s="7">
        <v>2350.0</v>
      </c>
      <c r="L149" s="7">
        <v>22.83</v>
      </c>
      <c r="M149" s="7">
        <v>-0.08</v>
      </c>
      <c r="N149" s="7">
        <v>3809.0</v>
      </c>
      <c r="O149" s="7">
        <v>1013082.0</v>
      </c>
      <c r="P149" s="7" t="s">
        <v>409</v>
      </c>
      <c r="Q149" s="7">
        <v>724.49</v>
      </c>
      <c r="R149" s="3">
        <f t="shared" si="1"/>
        <v>724.49</v>
      </c>
    </row>
    <row r="150" ht="22.5" customHeight="1">
      <c r="B150" s="7" t="s">
        <v>114</v>
      </c>
      <c r="C150" s="7">
        <v>259258.0</v>
      </c>
      <c r="D150" s="7">
        <v>1374203.0</v>
      </c>
      <c r="E150" s="7">
        <v>740809.0</v>
      </c>
      <c r="F150" s="7">
        <v>617517.0</v>
      </c>
      <c r="G150" s="7">
        <v>4990715.0</v>
      </c>
      <c r="H150" s="7">
        <v>2.904188885E9</v>
      </c>
      <c r="I150" s="7">
        <v>18889.0</v>
      </c>
      <c r="J150" s="7">
        <v>17665.0</v>
      </c>
      <c r="K150" s="7">
        <v>1224.0</v>
      </c>
      <c r="L150" s="7">
        <v>221.4</v>
      </c>
      <c r="M150" s="7">
        <v>-0.08</v>
      </c>
      <c r="N150" s="7">
        <v>1993.0</v>
      </c>
      <c r="O150" s="7">
        <v>632977.0</v>
      </c>
      <c r="P150" s="7" t="s">
        <v>409</v>
      </c>
      <c r="Q150" s="7">
        <v>738.49</v>
      </c>
      <c r="R150" s="3">
        <f t="shared" si="1"/>
        <v>738.49</v>
      </c>
    </row>
    <row r="151" ht="22.5" customHeight="1">
      <c r="B151" s="7" t="s">
        <v>176</v>
      </c>
      <c r="C151" s="7">
        <v>3831.0</v>
      </c>
      <c r="D151" s="7">
        <v>15062.0</v>
      </c>
      <c r="E151" s="7">
        <v>3725992.0</v>
      </c>
      <c r="F151" s="7">
        <v>3676218.0</v>
      </c>
      <c r="G151" s="7">
        <v>6742582.0</v>
      </c>
      <c r="H151" s="7">
        <v>4.63536953E8</v>
      </c>
      <c r="I151" s="7">
        <v>135591.0</v>
      </c>
      <c r="J151" s="7">
        <v>128738.0</v>
      </c>
      <c r="K151" s="7">
        <v>6853.0</v>
      </c>
      <c r="L151" s="7">
        <v>38.46</v>
      </c>
      <c r="M151" s="7">
        <v>-0.06</v>
      </c>
      <c r="N151" s="7">
        <v>11468.0</v>
      </c>
      <c r="O151" s="7">
        <v>1093366.0</v>
      </c>
      <c r="P151" s="7" t="s">
        <v>409</v>
      </c>
      <c r="Q151" s="7">
        <v>742.94</v>
      </c>
      <c r="R151" s="3">
        <f t="shared" si="1"/>
        <v>742.94</v>
      </c>
    </row>
    <row r="152" ht="22.5" customHeight="1">
      <c r="B152" s="7" t="s">
        <v>191</v>
      </c>
      <c r="C152" s="7">
        <v>137472.0</v>
      </c>
      <c r="D152" s="7">
        <v>810768.0</v>
      </c>
      <c r="E152" s="7">
        <v>5342791.0</v>
      </c>
      <c r="F152" s="7">
        <v>5308343.0</v>
      </c>
      <c r="G152" s="7">
        <v>7956253.0</v>
      </c>
      <c r="H152" s="7">
        <v>3.56133306E8</v>
      </c>
      <c r="I152" s="7">
        <v>129442.0</v>
      </c>
      <c r="J152" s="7">
        <v>121993.0</v>
      </c>
      <c r="K152" s="7">
        <v>7449.0</v>
      </c>
      <c r="L152" s="7">
        <v>22.22</v>
      </c>
      <c r="M152" s="7">
        <v>-0.06</v>
      </c>
      <c r="N152" s="7">
        <v>12793.0</v>
      </c>
      <c r="O152" s="7">
        <v>2646582.0</v>
      </c>
      <c r="P152" s="7" t="s">
        <v>409</v>
      </c>
      <c r="Q152" s="7">
        <v>761.84</v>
      </c>
      <c r="R152" s="3">
        <f t="shared" si="1"/>
        <v>761.84</v>
      </c>
    </row>
    <row r="153" ht="22.5" customHeight="1">
      <c r="B153" s="7" t="s">
        <v>210</v>
      </c>
      <c r="C153" s="7">
        <v>8043699.0</v>
      </c>
      <c r="D153" s="7">
        <v>3.9376148E7</v>
      </c>
      <c r="E153" s="7">
        <v>8510.0</v>
      </c>
      <c r="F153" s="7">
        <v>8074.0</v>
      </c>
      <c r="G153" s="7">
        <v>1471126.0</v>
      </c>
      <c r="H153" s="7">
        <v>7.7746963E7</v>
      </c>
      <c r="I153" s="7">
        <v>297.0</v>
      </c>
      <c r="J153" s="7">
        <v>296.0</v>
      </c>
      <c r="K153" s="7">
        <v>1.0</v>
      </c>
      <c r="L153" s="7">
        <v>48.8</v>
      </c>
      <c r="M153" s="7">
        <v>-0.24</v>
      </c>
      <c r="N153" s="7">
        <v>9.0</v>
      </c>
      <c r="O153" s="7">
        <v>18214.0</v>
      </c>
      <c r="P153" s="7" t="s">
        <v>409</v>
      </c>
      <c r="Q153" s="7">
        <v>762.18</v>
      </c>
      <c r="R153" s="3">
        <f t="shared" si="1"/>
        <v>762.18</v>
      </c>
    </row>
    <row r="154" ht="22.5" customHeight="1">
      <c r="B154" s="7" t="s">
        <v>230</v>
      </c>
      <c r="C154" s="7">
        <v>3838.0</v>
      </c>
      <c r="D154" s="7">
        <v>15113.0</v>
      </c>
      <c r="E154" s="7">
        <v>3098590.0</v>
      </c>
      <c r="F154" s="7">
        <v>3053192.0</v>
      </c>
      <c r="G154" s="7">
        <v>6031728.0</v>
      </c>
      <c r="H154" s="7">
        <v>3.61997118E8</v>
      </c>
      <c r="I154" s="7">
        <v>133270.0</v>
      </c>
      <c r="J154" s="7">
        <v>128258.0</v>
      </c>
      <c r="K154" s="7">
        <v>5012.0</v>
      </c>
      <c r="L154" s="7">
        <v>37.94</v>
      </c>
      <c r="M154" s="7">
        <v>-0.07</v>
      </c>
      <c r="N154" s="7">
        <v>8402.0</v>
      </c>
      <c r="O154" s="7">
        <v>1092104.0</v>
      </c>
      <c r="P154" s="7" t="s">
        <v>409</v>
      </c>
      <c r="Q154" s="7">
        <v>765.83</v>
      </c>
      <c r="R154" s="3">
        <f t="shared" si="1"/>
        <v>765.83</v>
      </c>
    </row>
    <row r="155" ht="22.5" customHeight="1">
      <c r="B155" s="7" t="s">
        <v>66</v>
      </c>
      <c r="C155" s="7">
        <v>3426.0</v>
      </c>
      <c r="D155" s="7">
        <v>20302.0</v>
      </c>
      <c r="E155" s="7">
        <v>2980808.0</v>
      </c>
      <c r="F155" s="7">
        <v>2980749.0</v>
      </c>
      <c r="G155" s="7">
        <v>2984920.0</v>
      </c>
      <c r="H155" s="7">
        <v>2.490910716E9</v>
      </c>
      <c r="I155" s="7">
        <v>48699.0</v>
      </c>
      <c r="J155" s="7">
        <v>43649.0</v>
      </c>
      <c r="K155" s="7">
        <v>5050.0</v>
      </c>
      <c r="L155" s="7">
        <v>17.86</v>
      </c>
      <c r="M155" s="7">
        <v>0.0</v>
      </c>
      <c r="N155" s="7">
        <v>8215.0</v>
      </c>
      <c r="O155" s="7">
        <v>1240057.0</v>
      </c>
      <c r="P155" s="7" t="s">
        <v>409</v>
      </c>
      <c r="Q155" s="7">
        <v>778.34</v>
      </c>
      <c r="R155" s="3">
        <f t="shared" si="1"/>
        <v>778.34</v>
      </c>
    </row>
    <row r="156" ht="22.5" customHeight="1">
      <c r="B156" s="7" t="s">
        <v>196</v>
      </c>
      <c r="C156" s="7">
        <v>511.0</v>
      </c>
      <c r="D156" s="7">
        <v>1418.0</v>
      </c>
      <c r="E156" s="7">
        <v>8995319.0</v>
      </c>
      <c r="F156" s="7">
        <v>8956350.0</v>
      </c>
      <c r="G156" s="7">
        <v>1.1233227E7</v>
      </c>
      <c r="H156" s="7">
        <v>2.05914126E8</v>
      </c>
      <c r="I156" s="7">
        <v>406623.0</v>
      </c>
      <c r="J156" s="7">
        <v>395573.0</v>
      </c>
      <c r="K156" s="7">
        <v>11050.0</v>
      </c>
      <c r="L156" s="7">
        <v>19.75</v>
      </c>
      <c r="M156" s="7">
        <v>-0.03</v>
      </c>
      <c r="N156" s="7">
        <v>17950.0</v>
      </c>
      <c r="O156" s="7">
        <v>4601863.0</v>
      </c>
      <c r="P156" s="7" t="s">
        <v>410</v>
      </c>
      <c r="Q156" s="7">
        <v>783.94</v>
      </c>
      <c r="R156" s="3">
        <f t="shared" si="1"/>
        <v>783.94</v>
      </c>
    </row>
    <row r="157" ht="22.5" customHeight="1">
      <c r="B157" s="7" t="s">
        <v>248</v>
      </c>
      <c r="C157" s="7">
        <v>895721.0</v>
      </c>
      <c r="D157" s="7">
        <v>1.7648874E7</v>
      </c>
      <c r="E157" s="7">
        <v>162431.0</v>
      </c>
      <c r="F157" s="7">
        <v>157331.0</v>
      </c>
      <c r="G157" s="7">
        <v>597757.0</v>
      </c>
      <c r="H157" s="7">
        <v>3.6514392E8</v>
      </c>
      <c r="I157" s="7">
        <v>5387.0</v>
      </c>
      <c r="J157" s="7">
        <v>5177.0</v>
      </c>
      <c r="K157" s="7">
        <v>210.0</v>
      </c>
      <c r="L157" s="7">
        <v>18.76</v>
      </c>
      <c r="M157" s="7">
        <v>-0.12</v>
      </c>
      <c r="N157" s="7">
        <v>363.0</v>
      </c>
      <c r="O157" s="7">
        <v>178378.0</v>
      </c>
      <c r="P157" s="7" t="s">
        <v>409</v>
      </c>
      <c r="Q157" s="7">
        <v>818.15</v>
      </c>
      <c r="R157" s="3">
        <f t="shared" si="1"/>
        <v>818.15</v>
      </c>
    </row>
    <row r="158" ht="22.5" customHeight="1">
      <c r="B158" s="7" t="s">
        <v>21</v>
      </c>
      <c r="C158" s="7">
        <v>9540.0</v>
      </c>
      <c r="D158" s="7">
        <v>61421.0</v>
      </c>
      <c r="E158" s="7">
        <v>5157402.0</v>
      </c>
      <c r="F158" s="7">
        <v>5071095.0</v>
      </c>
      <c r="G158" s="7">
        <v>1.7262741E7</v>
      </c>
      <c r="H158" s="7">
        <v>1.146413529E9</v>
      </c>
      <c r="I158" s="7">
        <v>236057.0</v>
      </c>
      <c r="J158" s="7">
        <v>227814.0</v>
      </c>
      <c r="K158" s="7">
        <v>8243.0</v>
      </c>
      <c r="L158" s="7">
        <v>39.97</v>
      </c>
      <c r="M158" s="7">
        <v>-0.11</v>
      </c>
      <c r="N158" s="7">
        <v>13573.0</v>
      </c>
      <c r="O158" s="7">
        <v>2444645.0</v>
      </c>
      <c r="P158" s="7" t="s">
        <v>410</v>
      </c>
      <c r="Q158" s="7">
        <v>842.94</v>
      </c>
      <c r="R158" s="3">
        <f t="shared" si="1"/>
        <v>842.94</v>
      </c>
    </row>
    <row r="159" ht="22.5" customHeight="1">
      <c r="B159" s="7" t="s">
        <v>69</v>
      </c>
      <c r="C159" s="7">
        <v>827.0</v>
      </c>
      <c r="D159" s="7">
        <v>20629.0</v>
      </c>
      <c r="E159" s="7">
        <v>2211064.0</v>
      </c>
      <c r="F159" s="7">
        <v>2193877.0</v>
      </c>
      <c r="G159" s="7">
        <v>4032743.0</v>
      </c>
      <c r="H159" s="7">
        <v>2.40544653E8</v>
      </c>
      <c r="I159" s="7">
        <v>143931.0</v>
      </c>
      <c r="J159" s="7">
        <v>141286.0</v>
      </c>
      <c r="K159" s="7">
        <v>2645.0</v>
      </c>
      <c r="L159" s="7">
        <v>24.38</v>
      </c>
      <c r="M159" s="7">
        <v>-0.07</v>
      </c>
      <c r="N159" s="7">
        <v>4298.0</v>
      </c>
      <c r="O159" s="7">
        <v>1019321.0</v>
      </c>
      <c r="P159" s="7" t="s">
        <v>409</v>
      </c>
      <c r="Q159" s="7">
        <v>849.35</v>
      </c>
      <c r="R159" s="3">
        <f t="shared" si="1"/>
        <v>849.35</v>
      </c>
    </row>
    <row r="160" ht="22.5" customHeight="1">
      <c r="B160" s="7" t="s">
        <v>158</v>
      </c>
      <c r="C160" s="7">
        <v>51996.0</v>
      </c>
      <c r="D160" s="7">
        <v>147555.0</v>
      </c>
      <c r="E160" s="7">
        <v>9540902.0</v>
      </c>
      <c r="F160" s="7">
        <v>9491916.0</v>
      </c>
      <c r="G160" s="7">
        <v>1.09310978E8</v>
      </c>
      <c r="H160" s="7">
        <v>1.154873421E9</v>
      </c>
      <c r="I160" s="7">
        <v>357913.0</v>
      </c>
      <c r="J160" s="7">
        <v>342569.0</v>
      </c>
      <c r="K160" s="7">
        <v>15344.0</v>
      </c>
      <c r="L160" s="7">
        <v>48.36</v>
      </c>
      <c r="M160" s="7">
        <v>-0.03</v>
      </c>
      <c r="N160" s="7">
        <v>23211.0</v>
      </c>
      <c r="O160" s="7">
        <v>4.3030344E7</v>
      </c>
      <c r="P160" s="7" t="s">
        <v>410</v>
      </c>
      <c r="Q160" s="7">
        <v>910.68</v>
      </c>
      <c r="R160" s="3">
        <f t="shared" si="1"/>
        <v>910.68</v>
      </c>
    </row>
    <row r="161" ht="22.5" customHeight="1">
      <c r="B161" s="7" t="s">
        <v>225</v>
      </c>
      <c r="C161" s="7">
        <v>2721.0</v>
      </c>
      <c r="D161" s="7">
        <v>11396.0</v>
      </c>
      <c r="E161" s="7">
        <v>3764394.0</v>
      </c>
      <c r="F161" s="7">
        <v>3713105.0</v>
      </c>
      <c r="G161" s="7">
        <v>6785882.0</v>
      </c>
      <c r="H161" s="7">
        <v>4.36567286E8</v>
      </c>
      <c r="I161" s="7">
        <v>138566.0</v>
      </c>
      <c r="J161" s="7">
        <v>131620.0</v>
      </c>
      <c r="K161" s="7">
        <v>6946.0</v>
      </c>
      <c r="L161" s="7">
        <v>38.68</v>
      </c>
      <c r="M161" s="7">
        <v>-0.06</v>
      </c>
      <c r="N161" s="7">
        <v>11637.0</v>
      </c>
      <c r="O161" s="7">
        <v>1075727.0</v>
      </c>
      <c r="P161" s="7" t="s">
        <v>409</v>
      </c>
      <c r="Q161" s="7">
        <v>913.04</v>
      </c>
      <c r="R161" s="3">
        <f t="shared" si="1"/>
        <v>913.04</v>
      </c>
    </row>
    <row r="162" ht="22.5" customHeight="1">
      <c r="B162" s="7" t="s">
        <v>45</v>
      </c>
      <c r="C162" s="7">
        <v>895.0</v>
      </c>
      <c r="D162" s="7">
        <v>20847.0</v>
      </c>
      <c r="E162" s="7">
        <v>2787127.0</v>
      </c>
      <c r="F162" s="7">
        <v>2765652.0</v>
      </c>
      <c r="G162" s="7">
        <v>4591396.0</v>
      </c>
      <c r="H162" s="7">
        <v>3.16824801E8</v>
      </c>
      <c r="I162" s="7">
        <v>136695.0</v>
      </c>
      <c r="J162" s="7">
        <v>132206.0</v>
      </c>
      <c r="K162" s="7">
        <v>4489.0</v>
      </c>
      <c r="L162" s="7">
        <v>25.16</v>
      </c>
      <c r="M162" s="7">
        <v>-0.06</v>
      </c>
      <c r="N162" s="7">
        <v>7265.0</v>
      </c>
      <c r="O162" s="7">
        <v>1060031.0</v>
      </c>
      <c r="P162" s="7" t="s">
        <v>409</v>
      </c>
      <c r="Q162" s="7">
        <v>921.63</v>
      </c>
      <c r="R162" s="3">
        <f t="shared" si="1"/>
        <v>921.63</v>
      </c>
    </row>
    <row r="163" ht="22.5" customHeight="1">
      <c r="B163" s="7" t="s">
        <v>182</v>
      </c>
      <c r="C163" s="7">
        <v>113407.0</v>
      </c>
      <c r="D163" s="7">
        <v>1010625.0</v>
      </c>
      <c r="E163" s="7">
        <v>1296932.0</v>
      </c>
      <c r="F163" s="7">
        <v>1279640.0</v>
      </c>
      <c r="G163" s="7">
        <v>2078551.0</v>
      </c>
      <c r="H163" s="7">
        <v>2.517794232E9</v>
      </c>
      <c r="I163" s="7">
        <v>50794.0</v>
      </c>
      <c r="J163" s="7">
        <v>48757.0</v>
      </c>
      <c r="K163" s="7">
        <v>2037.0</v>
      </c>
      <c r="L163" s="7">
        <v>55.17</v>
      </c>
      <c r="M163" s="7">
        <v>-0.07</v>
      </c>
      <c r="N163" s="7">
        <v>3369.0</v>
      </c>
      <c r="O163" s="7">
        <v>504074.0</v>
      </c>
      <c r="P163" s="7" t="s">
        <v>410</v>
      </c>
      <c r="Q163" s="7">
        <v>927.69</v>
      </c>
      <c r="R163" s="3">
        <f t="shared" si="1"/>
        <v>927.69</v>
      </c>
    </row>
    <row r="164" ht="22.5" customHeight="1">
      <c r="B164" s="7" t="s">
        <v>209</v>
      </c>
      <c r="C164" s="7">
        <v>2750.0</v>
      </c>
      <c r="D164" s="7">
        <v>286160.0</v>
      </c>
      <c r="E164" s="7">
        <v>8314769.0</v>
      </c>
      <c r="F164" s="7">
        <v>8105353.0</v>
      </c>
      <c r="G164" s="7">
        <v>1.844511E7</v>
      </c>
      <c r="H164" s="7">
        <v>3.63445052E8</v>
      </c>
      <c r="I164" s="7">
        <v>381690.0</v>
      </c>
      <c r="J164" s="7">
        <v>372345.0</v>
      </c>
      <c r="K164" s="7">
        <v>9345.0</v>
      </c>
      <c r="L164" s="7">
        <v>97.74</v>
      </c>
      <c r="M164" s="7">
        <v>-0.05</v>
      </c>
      <c r="N164" s="7">
        <v>14874.0</v>
      </c>
      <c r="O164" s="7">
        <v>6934713.0</v>
      </c>
      <c r="P164" s="7" t="s">
        <v>410</v>
      </c>
      <c r="Q164" s="7">
        <v>955.93</v>
      </c>
      <c r="R164" s="3">
        <f t="shared" si="1"/>
        <v>955.93</v>
      </c>
    </row>
    <row r="165" ht="22.5" customHeight="1">
      <c r="B165" s="7" t="s">
        <v>234</v>
      </c>
      <c r="C165" s="7">
        <v>2720.0</v>
      </c>
      <c r="D165" s="7">
        <v>11392.0</v>
      </c>
      <c r="E165" s="7">
        <v>3974501.0</v>
      </c>
      <c r="F165" s="7">
        <v>3923442.0</v>
      </c>
      <c r="G165" s="7">
        <v>6845082.0</v>
      </c>
      <c r="H165" s="7">
        <v>4.48048008E8</v>
      </c>
      <c r="I165" s="7">
        <v>133610.0</v>
      </c>
      <c r="J165" s="7">
        <v>126181.0</v>
      </c>
      <c r="K165" s="7">
        <v>7429.0</v>
      </c>
      <c r="L165" s="7">
        <v>38.94</v>
      </c>
      <c r="M165" s="7">
        <v>-0.06</v>
      </c>
      <c r="N165" s="7">
        <v>12532.0</v>
      </c>
      <c r="O165" s="7">
        <v>1094237.0</v>
      </c>
      <c r="P165" s="7" t="s">
        <v>409</v>
      </c>
      <c r="Q165" s="7">
        <v>968.79</v>
      </c>
      <c r="R165" s="3">
        <f t="shared" si="1"/>
        <v>968.79</v>
      </c>
    </row>
    <row r="166" ht="22.5" customHeight="1">
      <c r="B166" s="7" t="s">
        <v>192</v>
      </c>
      <c r="C166" s="7">
        <v>3426.0</v>
      </c>
      <c r="D166" s="7">
        <v>20454.0</v>
      </c>
      <c r="E166" s="7">
        <v>4862596.0</v>
      </c>
      <c r="F166" s="7">
        <v>4862582.0</v>
      </c>
      <c r="G166" s="7">
        <v>4865813.0</v>
      </c>
      <c r="H166" s="7">
        <v>3.214718917E9</v>
      </c>
      <c r="I166" s="7">
        <v>98077.0</v>
      </c>
      <c r="J166" s="7">
        <v>89744.0</v>
      </c>
      <c r="K166" s="7">
        <v>8333.0</v>
      </c>
      <c r="L166" s="7">
        <v>15.58</v>
      </c>
      <c r="M166" s="7">
        <v>0.0</v>
      </c>
      <c r="N166" s="7">
        <v>13683.0</v>
      </c>
      <c r="O166" s="7">
        <v>1872625.0</v>
      </c>
      <c r="P166" s="7" t="s">
        <v>409</v>
      </c>
      <c r="Q166" s="7">
        <v>996.84</v>
      </c>
      <c r="R166" s="3">
        <f t="shared" si="1"/>
        <v>996.84</v>
      </c>
    </row>
    <row r="167" ht="22.5" customHeight="1">
      <c r="B167" s="7" t="s">
        <v>139</v>
      </c>
      <c r="C167" s="7">
        <v>1314940.0</v>
      </c>
      <c r="D167" s="7">
        <v>2548425.0</v>
      </c>
      <c r="E167" s="7">
        <v>624082.0</v>
      </c>
      <c r="F167" s="7">
        <v>602636.0</v>
      </c>
      <c r="G167" s="7">
        <v>6268769.0</v>
      </c>
      <c r="H167" s="7">
        <v>2.248160827E9</v>
      </c>
      <c r="I167" s="7">
        <v>33081.0</v>
      </c>
      <c r="J167" s="7">
        <v>32478.0</v>
      </c>
      <c r="K167" s="7">
        <v>603.0</v>
      </c>
      <c r="L167" s="7">
        <v>23.3</v>
      </c>
      <c r="M167" s="7">
        <v>-0.19</v>
      </c>
      <c r="N167" s="7">
        <v>1162.0</v>
      </c>
      <c r="O167" s="7">
        <v>716356.0</v>
      </c>
      <c r="P167" s="7" t="s">
        <v>409</v>
      </c>
      <c r="Q167" s="7">
        <v>1008.89</v>
      </c>
      <c r="R167" s="3">
        <f t="shared" si="1"/>
        <v>1008.89</v>
      </c>
    </row>
    <row r="168" ht="22.5" customHeight="1">
      <c r="B168" s="7" t="s">
        <v>189</v>
      </c>
      <c r="C168" s="7">
        <v>153834.0</v>
      </c>
      <c r="D168" s="7">
        <v>459957.0</v>
      </c>
      <c r="E168" s="7">
        <v>5621550.0</v>
      </c>
      <c r="F168" s="7">
        <v>5418031.0</v>
      </c>
      <c r="G168" s="7">
        <v>4.7203412E7</v>
      </c>
      <c r="H168" s="7">
        <v>8.1807168E8</v>
      </c>
      <c r="I168" s="7">
        <v>174633.0</v>
      </c>
      <c r="J168" s="7">
        <v>165654.0</v>
      </c>
      <c r="K168" s="7">
        <v>8979.0</v>
      </c>
      <c r="L168" s="7">
        <v>106.17</v>
      </c>
      <c r="M168" s="7">
        <v>-0.07</v>
      </c>
      <c r="N168" s="7">
        <v>14262.0</v>
      </c>
      <c r="O168" s="7">
        <v>1.6975878E7</v>
      </c>
      <c r="P168" s="7" t="s">
        <v>410</v>
      </c>
      <c r="Q168" s="7">
        <v>1015.12</v>
      </c>
      <c r="R168" s="3">
        <f t="shared" si="1"/>
        <v>1015.12</v>
      </c>
    </row>
    <row r="169" ht="22.5" customHeight="1">
      <c r="B169" s="7" t="s">
        <v>224</v>
      </c>
      <c r="C169" s="7">
        <v>3220.0</v>
      </c>
      <c r="D169" s="7">
        <v>12314.0</v>
      </c>
      <c r="E169" s="7">
        <v>9088137.0</v>
      </c>
      <c r="F169" s="7">
        <v>8950185.0</v>
      </c>
      <c r="G169" s="7">
        <v>2.5929069E7</v>
      </c>
      <c r="H169" s="7">
        <v>5.97072284E8</v>
      </c>
      <c r="I169" s="7">
        <v>449290.0</v>
      </c>
      <c r="J169" s="7">
        <v>438728.0</v>
      </c>
      <c r="K169" s="7">
        <v>10562.0</v>
      </c>
      <c r="L169" s="7">
        <v>32.17</v>
      </c>
      <c r="M169" s="7">
        <v>-0.1</v>
      </c>
      <c r="N169" s="7">
        <v>17651.0</v>
      </c>
      <c r="O169" s="7">
        <v>4888296.0</v>
      </c>
      <c r="P169" s="7" t="s">
        <v>409</v>
      </c>
      <c r="Q169" s="7">
        <v>1026.21</v>
      </c>
      <c r="R169" s="3">
        <f t="shared" si="1"/>
        <v>1026.21</v>
      </c>
    </row>
    <row r="170" ht="22.5" customHeight="1">
      <c r="B170" s="7" t="s">
        <v>199</v>
      </c>
      <c r="C170" s="7">
        <v>72078.0</v>
      </c>
      <c r="D170" s="7">
        <v>517705.0</v>
      </c>
      <c r="E170" s="7">
        <v>2914042.0</v>
      </c>
      <c r="F170" s="7">
        <v>2872090.0</v>
      </c>
      <c r="G170" s="7">
        <v>1.5323825E7</v>
      </c>
      <c r="H170" s="7">
        <v>1.236827831E9</v>
      </c>
      <c r="I170" s="7">
        <v>125593.0</v>
      </c>
      <c r="J170" s="7">
        <v>120668.0</v>
      </c>
      <c r="K170" s="7">
        <v>4925.0</v>
      </c>
      <c r="L170" s="7">
        <v>27.27</v>
      </c>
      <c r="M170" s="7">
        <v>-0.11</v>
      </c>
      <c r="N170" s="7">
        <v>7949.0</v>
      </c>
      <c r="O170" s="7">
        <v>2522782.0</v>
      </c>
      <c r="P170" s="7" t="s">
        <v>410</v>
      </c>
      <c r="Q170" s="7">
        <v>1062.96</v>
      </c>
      <c r="R170" s="3">
        <f t="shared" si="1"/>
        <v>1062.96</v>
      </c>
    </row>
    <row r="171" ht="22.5" customHeight="1">
      <c r="B171" s="7" t="s">
        <v>282</v>
      </c>
      <c r="C171" s="7">
        <v>98048.0</v>
      </c>
      <c r="D171" s="7">
        <v>293756.0</v>
      </c>
      <c r="E171" s="7">
        <v>5504001.0</v>
      </c>
      <c r="F171" s="7">
        <v>5397822.0</v>
      </c>
      <c r="G171" s="7">
        <v>1.4960614E7</v>
      </c>
      <c r="H171" s="7">
        <v>2.043210255E9</v>
      </c>
      <c r="I171" s="7">
        <v>231047.0</v>
      </c>
      <c r="J171" s="7">
        <v>223582.0</v>
      </c>
      <c r="K171" s="7">
        <v>7465.0</v>
      </c>
      <c r="L171" s="7">
        <v>77.81</v>
      </c>
      <c r="M171" s="7">
        <v>-0.1</v>
      </c>
      <c r="N171" s="7">
        <v>12806.0</v>
      </c>
      <c r="O171" s="7">
        <v>2776691.0</v>
      </c>
      <c r="P171" s="7" t="s">
        <v>410</v>
      </c>
      <c r="Q171" s="7">
        <v>1066.44</v>
      </c>
      <c r="R171" s="3">
        <f t="shared" si="1"/>
        <v>1066.44</v>
      </c>
    </row>
    <row r="172" ht="22.5" customHeight="1">
      <c r="B172" s="7" t="s">
        <v>212</v>
      </c>
      <c r="C172" s="7">
        <v>482548.0</v>
      </c>
      <c r="D172" s="7">
        <v>1368963.0</v>
      </c>
      <c r="E172" s="7">
        <v>5036489.0</v>
      </c>
      <c r="F172" s="7">
        <v>4986932.0</v>
      </c>
      <c r="G172" s="7">
        <v>1.14981107E8</v>
      </c>
      <c r="H172" s="7">
        <v>3.912280004E9</v>
      </c>
      <c r="I172" s="7">
        <v>233219.0</v>
      </c>
      <c r="J172" s="7">
        <v>224692.0</v>
      </c>
      <c r="K172" s="7">
        <v>8527.0</v>
      </c>
      <c r="L172" s="7">
        <v>25.79</v>
      </c>
      <c r="M172" s="7">
        <v>-0.08</v>
      </c>
      <c r="N172" s="7">
        <v>13856.0</v>
      </c>
      <c r="O172" s="7">
        <v>3.8138426E7</v>
      </c>
      <c r="P172" s="7" t="s">
        <v>410</v>
      </c>
      <c r="Q172" s="7">
        <v>1089.45</v>
      </c>
      <c r="R172" s="3">
        <f t="shared" si="1"/>
        <v>1089.45</v>
      </c>
    </row>
    <row r="173" ht="22.5" customHeight="1">
      <c r="B173" s="7" t="s">
        <v>204</v>
      </c>
      <c r="C173" s="7">
        <v>3220.0</v>
      </c>
      <c r="D173" s="7">
        <v>12314.0</v>
      </c>
      <c r="E173" s="7">
        <v>8621716.0</v>
      </c>
      <c r="F173" s="7">
        <v>8488206.0</v>
      </c>
      <c r="G173" s="7">
        <v>2.6751596E7</v>
      </c>
      <c r="H173" s="7">
        <v>5.99104681E8</v>
      </c>
      <c r="I173" s="7">
        <v>485527.0</v>
      </c>
      <c r="J173" s="7">
        <v>476222.0</v>
      </c>
      <c r="K173" s="7">
        <v>9305.0</v>
      </c>
      <c r="L173" s="7">
        <v>31.26</v>
      </c>
      <c r="M173" s="7">
        <v>-0.11</v>
      </c>
      <c r="N173" s="7">
        <v>15482.0</v>
      </c>
      <c r="O173" s="7">
        <v>4749823.0</v>
      </c>
      <c r="P173" s="7" t="s">
        <v>409</v>
      </c>
      <c r="Q173" s="7">
        <v>1115.65</v>
      </c>
      <c r="R173" s="3">
        <f t="shared" si="1"/>
        <v>1115.65</v>
      </c>
    </row>
    <row r="174" ht="22.5" customHeight="1">
      <c r="B174" s="7" t="s">
        <v>88</v>
      </c>
      <c r="C174" s="7">
        <v>260342.0</v>
      </c>
      <c r="D174" s="7">
        <v>1377484.0</v>
      </c>
      <c r="E174" s="7">
        <v>2062050.0</v>
      </c>
      <c r="F174" s="7">
        <v>1855173.0</v>
      </c>
      <c r="G174" s="7">
        <v>1.3368929E7</v>
      </c>
      <c r="H174" s="7">
        <v>3.310535534E9</v>
      </c>
      <c r="I174" s="7">
        <v>78567.0</v>
      </c>
      <c r="J174" s="7">
        <v>76603.0</v>
      </c>
      <c r="K174" s="7">
        <v>1964.0</v>
      </c>
      <c r="L174" s="7">
        <v>217.48</v>
      </c>
      <c r="M174" s="7">
        <v>-0.1</v>
      </c>
      <c r="N174" s="7">
        <v>3316.0</v>
      </c>
      <c r="O174" s="7">
        <v>2014795.0</v>
      </c>
      <c r="P174" s="7" t="s">
        <v>409</v>
      </c>
      <c r="Q174" s="7">
        <v>1134.72</v>
      </c>
      <c r="R174" s="3">
        <f t="shared" si="1"/>
        <v>1134.72</v>
      </c>
    </row>
    <row r="175" ht="22.5" customHeight="1">
      <c r="B175" s="7" t="s">
        <v>83</v>
      </c>
      <c r="C175" s="7">
        <v>2425.0</v>
      </c>
      <c r="D175" s="7">
        <v>23118.0</v>
      </c>
      <c r="E175" s="7">
        <v>7134227.0</v>
      </c>
      <c r="F175" s="7">
        <v>7119988.0</v>
      </c>
      <c r="G175" s="7">
        <v>8407255.0</v>
      </c>
      <c r="H175" s="7">
        <v>6.75639475E8</v>
      </c>
      <c r="I175" s="7">
        <v>329233.0</v>
      </c>
      <c r="J175" s="7">
        <v>320018.0</v>
      </c>
      <c r="K175" s="7">
        <v>9215.0</v>
      </c>
      <c r="L175" s="7">
        <v>20.94</v>
      </c>
      <c r="M175" s="7">
        <v>-0.02</v>
      </c>
      <c r="N175" s="7">
        <v>14534.0</v>
      </c>
      <c r="O175" s="7">
        <v>3568165.0</v>
      </c>
      <c r="P175" s="7" t="s">
        <v>409</v>
      </c>
      <c r="Q175" s="7">
        <v>1143.94</v>
      </c>
      <c r="R175" s="3">
        <f t="shared" si="1"/>
        <v>1143.94</v>
      </c>
    </row>
    <row r="176" ht="22.5" customHeight="1">
      <c r="B176" s="7" t="s">
        <v>232</v>
      </c>
      <c r="C176" s="7">
        <v>371419.0</v>
      </c>
      <c r="D176" s="7">
        <v>7170905.0</v>
      </c>
      <c r="E176" s="7">
        <v>1134620.0</v>
      </c>
      <c r="F176" s="7">
        <v>1103020.0</v>
      </c>
      <c r="G176" s="7">
        <v>2.853271E7</v>
      </c>
      <c r="H176" s="7">
        <v>2.591764804E9</v>
      </c>
      <c r="I176" s="7">
        <v>39376.0</v>
      </c>
      <c r="J176" s="7">
        <v>37483.0</v>
      </c>
      <c r="K176" s="7">
        <v>1893.0</v>
      </c>
      <c r="L176" s="7">
        <v>103.58</v>
      </c>
      <c r="M176" s="7">
        <v>-0.1</v>
      </c>
      <c r="N176" s="7">
        <v>3226.0</v>
      </c>
      <c r="O176" s="7">
        <v>4516775.0</v>
      </c>
      <c r="P176" s="7" t="s">
        <v>410</v>
      </c>
      <c r="Q176" s="7">
        <v>1146.78</v>
      </c>
      <c r="R176" s="3">
        <f t="shared" si="1"/>
        <v>1146.78</v>
      </c>
    </row>
    <row r="177" ht="22.5" customHeight="1">
      <c r="B177" s="7" t="s">
        <v>181</v>
      </c>
      <c r="C177" s="7">
        <v>2343808.0</v>
      </c>
      <c r="D177" s="7">
        <v>5010575.0</v>
      </c>
      <c r="E177" s="7">
        <v>1245866.0</v>
      </c>
      <c r="F177" s="7">
        <v>1124335.0</v>
      </c>
      <c r="G177" s="7">
        <v>1.0581366E7</v>
      </c>
      <c r="H177" s="7">
        <v>1.378467861E9</v>
      </c>
      <c r="I177" s="7">
        <v>23290.0</v>
      </c>
      <c r="J177" s="7">
        <v>21159.0</v>
      </c>
      <c r="K177" s="7">
        <v>2131.0</v>
      </c>
      <c r="L177" s="7">
        <v>370.54</v>
      </c>
      <c r="M177" s="7">
        <v>-0.07</v>
      </c>
      <c r="N177" s="7">
        <v>3445.0</v>
      </c>
      <c r="O177" s="7">
        <v>1604662.0</v>
      </c>
      <c r="P177" s="7" t="s">
        <v>410</v>
      </c>
      <c r="Q177" s="7">
        <v>1155.08</v>
      </c>
      <c r="R177" s="3">
        <f t="shared" si="1"/>
        <v>1155.08</v>
      </c>
    </row>
    <row r="178" ht="22.5" customHeight="1">
      <c r="B178" s="7" t="s">
        <v>112</v>
      </c>
      <c r="C178" s="7">
        <v>720.0</v>
      </c>
      <c r="D178" s="7">
        <v>58758.0</v>
      </c>
      <c r="E178" s="7">
        <v>4415190.0</v>
      </c>
      <c r="F178" s="7">
        <v>4334997.0</v>
      </c>
      <c r="G178" s="7">
        <v>5845676.0</v>
      </c>
      <c r="H178" s="7">
        <v>2.40356594E8</v>
      </c>
      <c r="I178" s="7">
        <v>123511.0</v>
      </c>
      <c r="J178" s="7">
        <v>114228.0</v>
      </c>
      <c r="K178" s="7">
        <v>9283.0</v>
      </c>
      <c r="L178" s="7">
        <v>105.97</v>
      </c>
      <c r="M178" s="7">
        <v>-0.03</v>
      </c>
      <c r="N178" s="7">
        <v>14572.0</v>
      </c>
      <c r="O178" s="7">
        <v>1593516.0</v>
      </c>
      <c r="P178" s="7" t="s">
        <v>410</v>
      </c>
      <c r="Q178" s="7">
        <v>1179.74</v>
      </c>
      <c r="R178" s="3">
        <f t="shared" si="1"/>
        <v>1179.74</v>
      </c>
    </row>
    <row r="179" ht="22.5" customHeight="1">
      <c r="B179" s="7" t="s">
        <v>161</v>
      </c>
      <c r="C179" s="7">
        <v>69644.0</v>
      </c>
      <c r="D179" s="7">
        <v>306029.0</v>
      </c>
      <c r="E179" s="7">
        <v>5444952.0</v>
      </c>
      <c r="F179" s="7">
        <v>5329902.0</v>
      </c>
      <c r="G179" s="7">
        <v>1.1084756E7</v>
      </c>
      <c r="H179" s="7">
        <v>1.746746535E9</v>
      </c>
      <c r="I179" s="7">
        <v>194595.0</v>
      </c>
      <c r="J179" s="7">
        <v>186693.0</v>
      </c>
      <c r="K179" s="7">
        <v>7902.0</v>
      </c>
      <c r="L179" s="7">
        <v>53.11</v>
      </c>
      <c r="M179" s="7">
        <v>-0.08</v>
      </c>
      <c r="N179" s="7">
        <v>13228.0</v>
      </c>
      <c r="O179" s="7">
        <v>2678492.0</v>
      </c>
      <c r="P179" s="7" t="s">
        <v>410</v>
      </c>
      <c r="Q179" s="7">
        <v>1217.67</v>
      </c>
      <c r="R179" s="3">
        <f t="shared" si="1"/>
        <v>1217.67</v>
      </c>
    </row>
    <row r="180" ht="22.5" customHeight="1">
      <c r="B180" s="7" t="s">
        <v>85</v>
      </c>
      <c r="C180" s="7">
        <v>708.0</v>
      </c>
      <c r="D180" s="7">
        <v>2539.0</v>
      </c>
      <c r="E180" s="7">
        <v>5911090.0</v>
      </c>
      <c r="F180" s="7">
        <v>5891999.0</v>
      </c>
      <c r="G180" s="7">
        <v>8715734.0</v>
      </c>
      <c r="H180" s="7">
        <v>2.77668687E8</v>
      </c>
      <c r="I180" s="7">
        <v>291435.0</v>
      </c>
      <c r="J180" s="7">
        <v>283073.0</v>
      </c>
      <c r="K180" s="7">
        <v>8362.0</v>
      </c>
      <c r="L180" s="7">
        <v>22.91</v>
      </c>
      <c r="M180" s="7">
        <v>-0.04</v>
      </c>
      <c r="N180" s="7">
        <v>13693.0</v>
      </c>
      <c r="O180" s="7">
        <v>2444499.0</v>
      </c>
      <c r="P180" s="7" t="s">
        <v>409</v>
      </c>
      <c r="Q180" s="7">
        <v>1224.1</v>
      </c>
      <c r="R180" s="3">
        <f t="shared" si="1"/>
        <v>1224.1</v>
      </c>
    </row>
    <row r="181" ht="22.5" customHeight="1">
      <c r="B181" s="7" t="s">
        <v>214</v>
      </c>
      <c r="C181" s="7">
        <v>1236271.0</v>
      </c>
      <c r="D181" s="7">
        <v>4906536.0</v>
      </c>
      <c r="E181" s="7">
        <v>191913.0</v>
      </c>
      <c r="F181" s="7">
        <v>187445.0</v>
      </c>
      <c r="G181" s="7">
        <v>348309.0</v>
      </c>
      <c r="H181" s="7">
        <v>2.688536245E9</v>
      </c>
      <c r="I181" s="7">
        <v>5113.0</v>
      </c>
      <c r="J181" s="7">
        <v>4821.0</v>
      </c>
      <c r="K181" s="7">
        <v>292.0</v>
      </c>
      <c r="L181" s="7">
        <v>20.79</v>
      </c>
      <c r="M181" s="7">
        <v>-0.07</v>
      </c>
      <c r="N181" s="7">
        <v>502.0</v>
      </c>
      <c r="O181" s="7">
        <v>85025.0</v>
      </c>
      <c r="P181" s="7" t="s">
        <v>410</v>
      </c>
      <c r="Q181" s="7">
        <v>1226.67</v>
      </c>
      <c r="R181" s="3">
        <f t="shared" si="1"/>
        <v>1226.67</v>
      </c>
    </row>
    <row r="182" ht="22.5" customHeight="1">
      <c r="B182" s="7" t="s">
        <v>174</v>
      </c>
      <c r="C182" s="7">
        <v>140.0</v>
      </c>
      <c r="D182" s="7">
        <v>560.0</v>
      </c>
      <c r="E182" s="7">
        <v>2.747838E7</v>
      </c>
      <c r="F182" s="7">
        <v>2.7469069E7</v>
      </c>
      <c r="G182" s="7">
        <v>3.5063938E7</v>
      </c>
      <c r="H182" s="7">
        <v>1.61882971E8</v>
      </c>
      <c r="I182" s="7">
        <v>1046916.0</v>
      </c>
      <c r="J182" s="7">
        <v>1012014.0</v>
      </c>
      <c r="K182" s="7">
        <v>34902.0</v>
      </c>
      <c r="L182" s="7">
        <v>17.16</v>
      </c>
      <c r="M182" s="7">
        <v>-0.03</v>
      </c>
      <c r="N182" s="7">
        <v>56243.0</v>
      </c>
      <c r="O182" s="7">
        <v>1.6282177E7</v>
      </c>
      <c r="P182" s="7" t="s">
        <v>410</v>
      </c>
      <c r="Q182" s="7">
        <v>1242.86</v>
      </c>
      <c r="R182" s="3">
        <f t="shared" si="1"/>
        <v>1242.86</v>
      </c>
    </row>
    <row r="183" ht="22.5" customHeight="1">
      <c r="B183" s="7" t="s">
        <v>160</v>
      </c>
      <c r="C183" s="7">
        <v>2960.0</v>
      </c>
      <c r="D183" s="7">
        <v>5555.0</v>
      </c>
      <c r="E183" s="7">
        <v>2.1941161E7</v>
      </c>
      <c r="F183" s="7">
        <v>1.7416464E7</v>
      </c>
      <c r="G183" s="7">
        <v>8.8195037E7</v>
      </c>
      <c r="H183" s="7">
        <v>6.48590279E8</v>
      </c>
      <c r="I183" s="7">
        <v>376990.0</v>
      </c>
      <c r="J183" s="7">
        <v>339170.0</v>
      </c>
      <c r="K183" s="7">
        <v>37820.0</v>
      </c>
      <c r="L183" s="7">
        <v>24.12</v>
      </c>
      <c r="M183" s="7">
        <v>-0.06</v>
      </c>
      <c r="N183" s="7">
        <v>58955.0</v>
      </c>
      <c r="O183" s="7">
        <v>3.1826578E7</v>
      </c>
      <c r="P183" s="7" t="s">
        <v>410</v>
      </c>
      <c r="Q183" s="7">
        <v>1255.76</v>
      </c>
      <c r="R183" s="3">
        <f t="shared" si="1"/>
        <v>1255.76</v>
      </c>
    </row>
    <row r="184" ht="22.5" customHeight="1">
      <c r="B184" s="7" t="s">
        <v>188</v>
      </c>
      <c r="C184" s="7">
        <v>559571.0</v>
      </c>
      <c r="D184" s="7">
        <v>1.0144966E7</v>
      </c>
      <c r="E184" s="7">
        <v>570345.0</v>
      </c>
      <c r="F184" s="7">
        <v>433761.0</v>
      </c>
      <c r="G184" s="7">
        <v>5757864.0</v>
      </c>
      <c r="H184" s="7">
        <v>3.842968618E9</v>
      </c>
      <c r="I184" s="7">
        <v>9011.0</v>
      </c>
      <c r="J184" s="7">
        <v>8319.0</v>
      </c>
      <c r="K184" s="7">
        <v>692.0</v>
      </c>
      <c r="L184" s="7">
        <v>1497.58</v>
      </c>
      <c r="M184" s="7">
        <v>-0.07</v>
      </c>
      <c r="N184" s="7">
        <v>1122.0</v>
      </c>
      <c r="O184" s="7">
        <v>1201711.0</v>
      </c>
      <c r="P184" s="7" t="s">
        <v>410</v>
      </c>
      <c r="Q184" s="7">
        <v>1291.54</v>
      </c>
      <c r="R184" s="3">
        <f t="shared" si="1"/>
        <v>1291.54</v>
      </c>
    </row>
    <row r="185" ht="22.5" customHeight="1">
      <c r="B185" s="7" t="s">
        <v>99</v>
      </c>
      <c r="C185" s="7">
        <v>140.0</v>
      </c>
      <c r="D185" s="7">
        <v>560.0</v>
      </c>
      <c r="E185" s="7">
        <v>3.048202E7</v>
      </c>
      <c r="F185" s="7">
        <v>3.0470605E7</v>
      </c>
      <c r="G185" s="7">
        <v>4.0585328E7</v>
      </c>
      <c r="H185" s="7">
        <v>1.90126755E8</v>
      </c>
      <c r="I185" s="7">
        <v>1178973.0</v>
      </c>
      <c r="J185" s="7">
        <v>1144626.0</v>
      </c>
      <c r="K185" s="7">
        <v>34347.0</v>
      </c>
      <c r="L185" s="7">
        <v>16.86</v>
      </c>
      <c r="M185" s="7">
        <v>-0.04</v>
      </c>
      <c r="N185" s="7">
        <v>55697.0</v>
      </c>
      <c r="O185" s="7">
        <v>1.9868772E7</v>
      </c>
      <c r="P185" s="7" t="s">
        <v>410</v>
      </c>
      <c r="Q185" s="7">
        <v>1300.09</v>
      </c>
      <c r="R185" s="3">
        <f t="shared" si="1"/>
        <v>1300.09</v>
      </c>
    </row>
    <row r="186" ht="22.5" customHeight="1">
      <c r="B186" s="7" t="s">
        <v>386</v>
      </c>
      <c r="C186" s="7">
        <v>95810.0</v>
      </c>
      <c r="D186" s="7">
        <v>287043.0</v>
      </c>
      <c r="E186" s="7">
        <v>5455188.0</v>
      </c>
      <c r="F186" s="7">
        <v>5348843.0</v>
      </c>
      <c r="G186" s="7">
        <v>1.4900993E7</v>
      </c>
      <c r="H186" s="7">
        <v>2.162462521E9</v>
      </c>
      <c r="I186" s="7">
        <v>225713.0</v>
      </c>
      <c r="J186" s="7">
        <v>218333.0</v>
      </c>
      <c r="K186" s="7">
        <v>7380.0</v>
      </c>
      <c r="L186" s="7">
        <v>78.45</v>
      </c>
      <c r="M186" s="7">
        <v>-0.1</v>
      </c>
      <c r="N186" s="7">
        <v>12722.0</v>
      </c>
      <c r="O186" s="7">
        <v>2752295.0</v>
      </c>
      <c r="P186" s="7" t="s">
        <v>410</v>
      </c>
      <c r="Q186" s="7">
        <v>1400.13</v>
      </c>
      <c r="R186" s="3">
        <f t="shared" si="1"/>
        <v>1400.13</v>
      </c>
    </row>
    <row r="187" ht="22.5" customHeight="1">
      <c r="B187" s="7" t="s">
        <v>198</v>
      </c>
      <c r="C187" s="7">
        <v>2943830.0</v>
      </c>
      <c r="D187" s="7">
        <v>1.0335595E7</v>
      </c>
      <c r="E187" s="7">
        <v>479634.0</v>
      </c>
      <c r="F187" s="7">
        <v>455040.0</v>
      </c>
      <c r="G187" s="7">
        <v>7310407.0</v>
      </c>
      <c r="H187" s="7">
        <v>2.730647777E9</v>
      </c>
      <c r="I187" s="7">
        <v>27259.0</v>
      </c>
      <c r="J187" s="7">
        <v>26905.0</v>
      </c>
      <c r="K187" s="7">
        <v>354.0</v>
      </c>
      <c r="L187" s="7">
        <v>30.43</v>
      </c>
      <c r="M187" s="7">
        <v>-0.18</v>
      </c>
      <c r="N187" s="7">
        <v>689.0</v>
      </c>
      <c r="O187" s="7">
        <v>923523.0</v>
      </c>
      <c r="P187" s="7" t="s">
        <v>410</v>
      </c>
      <c r="Q187" s="7">
        <v>1434.49</v>
      </c>
      <c r="R187" s="3">
        <f t="shared" si="1"/>
        <v>1434.49</v>
      </c>
    </row>
    <row r="188" ht="22.5" customHeight="1">
      <c r="B188" s="7" t="s">
        <v>274</v>
      </c>
      <c r="C188" s="7">
        <v>520.0</v>
      </c>
      <c r="D188" s="7">
        <v>5761.0</v>
      </c>
      <c r="E188" s="7">
        <v>5269829.0</v>
      </c>
      <c r="F188" s="7">
        <v>5257872.0</v>
      </c>
      <c r="G188" s="7">
        <v>6745624.0</v>
      </c>
      <c r="H188" s="7">
        <v>1.89126709E8</v>
      </c>
      <c r="I188" s="7">
        <v>236726.0</v>
      </c>
      <c r="J188" s="7">
        <v>228053.0</v>
      </c>
      <c r="K188" s="7">
        <v>8673.0</v>
      </c>
      <c r="L188" s="7">
        <v>25.15</v>
      </c>
      <c r="M188" s="7">
        <v>-0.02</v>
      </c>
      <c r="N188" s="7">
        <v>13999.0</v>
      </c>
      <c r="O188" s="7">
        <v>1931758.0</v>
      </c>
      <c r="P188" s="7" t="s">
        <v>409</v>
      </c>
      <c r="Q188" s="7">
        <v>1446.53</v>
      </c>
      <c r="R188" s="3">
        <f t="shared" si="1"/>
        <v>1446.53</v>
      </c>
    </row>
    <row r="189" ht="22.5" customHeight="1">
      <c r="B189" s="7" t="s">
        <v>184</v>
      </c>
      <c r="C189" s="7">
        <v>31503.0</v>
      </c>
      <c r="D189" s="7">
        <v>94548.0</v>
      </c>
      <c r="E189" s="7">
        <v>999046.0</v>
      </c>
      <c r="F189" s="7">
        <v>998665.0</v>
      </c>
      <c r="G189" s="7">
        <v>1006812.0</v>
      </c>
      <c r="H189" s="7">
        <v>3.613544093E9</v>
      </c>
      <c r="I189" s="7">
        <v>16477.0</v>
      </c>
      <c r="J189" s="7">
        <v>14322.0</v>
      </c>
      <c r="K189" s="7">
        <v>2155.0</v>
      </c>
      <c r="L189" s="7">
        <v>29.9</v>
      </c>
      <c r="M189" s="7">
        <v>0.0</v>
      </c>
      <c r="N189" s="7">
        <v>3441.0</v>
      </c>
      <c r="O189" s="7">
        <v>301533.0</v>
      </c>
      <c r="P189" s="7" t="s">
        <v>409</v>
      </c>
      <c r="Q189" s="7">
        <v>1447.92</v>
      </c>
      <c r="R189" s="3">
        <f t="shared" si="1"/>
        <v>1447.92</v>
      </c>
    </row>
    <row r="190" ht="22.5" customHeight="1">
      <c r="B190" s="7" t="s">
        <v>165</v>
      </c>
      <c r="C190" s="7">
        <v>5244.0</v>
      </c>
      <c r="D190" s="7">
        <v>118126.0</v>
      </c>
      <c r="E190" s="7">
        <v>2927900.0</v>
      </c>
      <c r="F190" s="7">
        <v>2868998.0</v>
      </c>
      <c r="G190" s="7">
        <v>9136699.0</v>
      </c>
      <c r="H190" s="7">
        <v>1.149897869E9</v>
      </c>
      <c r="I190" s="7">
        <v>108651.0</v>
      </c>
      <c r="J190" s="7">
        <v>103862.0</v>
      </c>
      <c r="K190" s="7">
        <v>4789.0</v>
      </c>
      <c r="L190" s="7">
        <v>86.71</v>
      </c>
      <c r="M190" s="7">
        <v>-0.08</v>
      </c>
      <c r="N190" s="7">
        <v>7840.0</v>
      </c>
      <c r="O190" s="7">
        <v>1331781.0</v>
      </c>
      <c r="P190" s="7" t="s">
        <v>409</v>
      </c>
      <c r="Q190" s="7">
        <v>1491.81</v>
      </c>
      <c r="R190" s="3">
        <f t="shared" si="1"/>
        <v>1491.81</v>
      </c>
    </row>
    <row r="191" ht="22.5" customHeight="1">
      <c r="B191" s="7" t="s">
        <v>77</v>
      </c>
      <c r="C191" s="7">
        <v>4719.0</v>
      </c>
      <c r="D191" s="7">
        <v>14071.0</v>
      </c>
      <c r="E191" s="7">
        <v>6318638.0</v>
      </c>
      <c r="F191" s="7">
        <v>6250401.0</v>
      </c>
      <c r="G191" s="7">
        <v>9925917.0</v>
      </c>
      <c r="H191" s="7">
        <v>7.25562961E8</v>
      </c>
      <c r="I191" s="7">
        <v>305971.0</v>
      </c>
      <c r="J191" s="7">
        <v>296992.0</v>
      </c>
      <c r="K191" s="7">
        <v>8979.0</v>
      </c>
      <c r="L191" s="7">
        <v>38.33</v>
      </c>
      <c r="M191" s="7">
        <v>-0.05</v>
      </c>
      <c r="N191" s="7">
        <v>14296.0</v>
      </c>
      <c r="O191" s="7">
        <v>2849210.0</v>
      </c>
      <c r="P191" s="7" t="s">
        <v>410</v>
      </c>
      <c r="Q191" s="7">
        <v>1534.93</v>
      </c>
      <c r="R191" s="3">
        <f t="shared" si="1"/>
        <v>1534.93</v>
      </c>
    </row>
    <row r="192" ht="22.5" customHeight="1">
      <c r="B192" s="7" t="s">
        <v>116</v>
      </c>
      <c r="C192" s="7">
        <v>2187.0</v>
      </c>
      <c r="D192" s="7">
        <v>21286.0</v>
      </c>
      <c r="E192" s="7">
        <v>7763943.0</v>
      </c>
      <c r="F192" s="7">
        <v>7737485.0</v>
      </c>
      <c r="G192" s="7">
        <v>1.0151972E7</v>
      </c>
      <c r="H192" s="7">
        <v>4.89347078E8</v>
      </c>
      <c r="I192" s="7">
        <v>417153.0</v>
      </c>
      <c r="J192" s="7">
        <v>408021.0</v>
      </c>
      <c r="K192" s="7">
        <v>9132.0</v>
      </c>
      <c r="L192" s="7">
        <v>22.71</v>
      </c>
      <c r="M192" s="7">
        <v>-0.03</v>
      </c>
      <c r="N192" s="7">
        <v>14453.0</v>
      </c>
      <c r="O192" s="7">
        <v>3955569.0</v>
      </c>
      <c r="P192" s="7" t="s">
        <v>409</v>
      </c>
      <c r="Q192" s="7">
        <v>1545.0</v>
      </c>
      <c r="R192" s="3">
        <f t="shared" si="1"/>
        <v>1545</v>
      </c>
    </row>
    <row r="193" ht="22.5" customHeight="1">
      <c r="B193" s="7" t="s">
        <v>169</v>
      </c>
      <c r="C193" s="7">
        <v>2187.0</v>
      </c>
      <c r="D193" s="7">
        <v>21286.0</v>
      </c>
      <c r="E193" s="7">
        <v>8114391.0</v>
      </c>
      <c r="F193" s="7">
        <v>8086086.0</v>
      </c>
      <c r="G193" s="7">
        <v>1.0357128E7</v>
      </c>
      <c r="H193" s="7">
        <v>5.14520442E8</v>
      </c>
      <c r="I193" s="7">
        <v>434335.0</v>
      </c>
      <c r="J193" s="7">
        <v>425230.0</v>
      </c>
      <c r="K193" s="7">
        <v>9105.0</v>
      </c>
      <c r="L193" s="7">
        <v>21.8</v>
      </c>
      <c r="M193" s="7">
        <v>-0.03</v>
      </c>
      <c r="N193" s="7">
        <v>14425.0</v>
      </c>
      <c r="O193" s="7">
        <v>4263662.0</v>
      </c>
      <c r="P193" s="7" t="s">
        <v>410</v>
      </c>
      <c r="Q193" s="7">
        <v>1545.93</v>
      </c>
      <c r="R193" s="3">
        <f t="shared" si="1"/>
        <v>1545.93</v>
      </c>
    </row>
    <row r="194" ht="22.5" customHeight="1">
      <c r="B194" s="7" t="s">
        <v>133</v>
      </c>
      <c r="C194" s="7">
        <v>578891.0</v>
      </c>
      <c r="D194" s="7">
        <v>1735495.0</v>
      </c>
      <c r="E194" s="7">
        <v>1.0082127E7</v>
      </c>
      <c r="F194" s="7">
        <v>9709825.0</v>
      </c>
      <c r="G194" s="7">
        <v>7.7524105E7</v>
      </c>
      <c r="H194" s="7">
        <v>3.544506005E9</v>
      </c>
      <c r="I194" s="7">
        <v>293078.0</v>
      </c>
      <c r="J194" s="7">
        <v>279979.0</v>
      </c>
      <c r="K194" s="7">
        <v>13099.0</v>
      </c>
      <c r="L194" s="7">
        <v>65.93</v>
      </c>
      <c r="M194" s="7">
        <v>-0.14</v>
      </c>
      <c r="N194" s="7">
        <v>22141.0</v>
      </c>
      <c r="O194" s="7">
        <v>2.3128248E7</v>
      </c>
      <c r="P194" s="7" t="s">
        <v>410</v>
      </c>
      <c r="Q194" s="7">
        <v>1571.03</v>
      </c>
      <c r="R194" s="3">
        <f t="shared" si="1"/>
        <v>1571.03</v>
      </c>
    </row>
    <row r="195" ht="22.5" customHeight="1">
      <c r="B195" s="7" t="s">
        <v>216</v>
      </c>
      <c r="C195" s="7">
        <v>3220.0</v>
      </c>
      <c r="D195" s="7">
        <v>12314.0</v>
      </c>
      <c r="E195" s="7">
        <v>8947178.0</v>
      </c>
      <c r="F195" s="7">
        <v>8808970.0</v>
      </c>
      <c r="G195" s="7">
        <v>2.7482924E7</v>
      </c>
      <c r="H195" s="7">
        <v>6.11430491E8</v>
      </c>
      <c r="I195" s="7">
        <v>486719.0</v>
      </c>
      <c r="J195" s="7">
        <v>476573.0</v>
      </c>
      <c r="K195" s="7">
        <v>10146.0</v>
      </c>
      <c r="L195" s="7">
        <v>32.52</v>
      </c>
      <c r="M195" s="7">
        <v>-0.1</v>
      </c>
      <c r="N195" s="7">
        <v>16959.0</v>
      </c>
      <c r="O195" s="7">
        <v>4811920.0</v>
      </c>
      <c r="P195" s="7" t="s">
        <v>409</v>
      </c>
      <c r="Q195" s="7">
        <v>1575.17</v>
      </c>
      <c r="R195" s="3">
        <f t="shared" si="1"/>
        <v>1575.17</v>
      </c>
    </row>
    <row r="196" ht="22.5" customHeight="1">
      <c r="B196" s="7" t="s">
        <v>193</v>
      </c>
      <c r="C196" s="7">
        <v>10675.0</v>
      </c>
      <c r="D196" s="7">
        <v>84849.0</v>
      </c>
      <c r="E196" s="7">
        <v>4300564.0</v>
      </c>
      <c r="F196" s="7">
        <v>4222490.0</v>
      </c>
      <c r="G196" s="7">
        <v>6449752.0</v>
      </c>
      <c r="H196" s="7">
        <v>1.025100325E9</v>
      </c>
      <c r="I196" s="7">
        <v>95038.0</v>
      </c>
      <c r="J196" s="7">
        <v>86970.0</v>
      </c>
      <c r="K196" s="7">
        <v>8068.0</v>
      </c>
      <c r="L196" s="7">
        <v>31.86</v>
      </c>
      <c r="M196" s="7">
        <v>-0.04</v>
      </c>
      <c r="N196" s="7">
        <v>13383.0</v>
      </c>
      <c r="O196" s="7">
        <v>1583519.0</v>
      </c>
      <c r="P196" s="7" t="s">
        <v>410</v>
      </c>
      <c r="Q196" s="7">
        <v>1580.76</v>
      </c>
      <c r="R196" s="3">
        <f t="shared" si="1"/>
        <v>1580.76</v>
      </c>
    </row>
    <row r="197" ht="22.5" customHeight="1">
      <c r="B197" s="7" t="s">
        <v>153</v>
      </c>
      <c r="C197" s="7">
        <v>895.0</v>
      </c>
      <c r="D197" s="7">
        <v>20751.0</v>
      </c>
      <c r="E197" s="7">
        <v>3976230.0</v>
      </c>
      <c r="F197" s="7">
        <v>3951497.0</v>
      </c>
      <c r="G197" s="7">
        <v>5603148.0</v>
      </c>
      <c r="H197" s="7">
        <v>4.92371953E8</v>
      </c>
      <c r="I197" s="7">
        <v>139465.0</v>
      </c>
      <c r="J197" s="7">
        <v>131134.0</v>
      </c>
      <c r="K197" s="7">
        <v>8331.0</v>
      </c>
      <c r="L197" s="7">
        <v>24.95</v>
      </c>
      <c r="M197" s="7">
        <v>-0.04</v>
      </c>
      <c r="N197" s="7">
        <v>13423.0</v>
      </c>
      <c r="O197" s="7">
        <v>1054844.0</v>
      </c>
      <c r="P197" s="7" t="s">
        <v>409</v>
      </c>
      <c r="Q197" s="7">
        <v>1620.07</v>
      </c>
      <c r="R197" s="3">
        <f t="shared" si="1"/>
        <v>1620.07</v>
      </c>
    </row>
    <row r="198" ht="22.5" customHeight="1">
      <c r="B198" s="7" t="s">
        <v>164</v>
      </c>
      <c r="C198" s="7">
        <v>851.0</v>
      </c>
      <c r="D198" s="7">
        <v>2702.0</v>
      </c>
      <c r="E198" s="7">
        <v>7367019.0</v>
      </c>
      <c r="F198" s="7">
        <v>7273117.0</v>
      </c>
      <c r="G198" s="7">
        <v>1.0601421E7</v>
      </c>
      <c r="H198" s="7">
        <v>2.47832591E8</v>
      </c>
      <c r="I198" s="7">
        <v>361138.0</v>
      </c>
      <c r="J198" s="7">
        <v>353041.0</v>
      </c>
      <c r="K198" s="7">
        <v>8097.0</v>
      </c>
      <c r="L198" s="7">
        <v>17.49</v>
      </c>
      <c r="M198" s="7">
        <v>-0.06</v>
      </c>
      <c r="N198" s="7">
        <v>13428.0</v>
      </c>
      <c r="O198" s="7">
        <v>3718740.0</v>
      </c>
      <c r="P198" s="7" t="s">
        <v>410</v>
      </c>
      <c r="Q198" s="7">
        <v>1759.39</v>
      </c>
      <c r="R198" s="3">
        <f t="shared" si="1"/>
        <v>1759.39</v>
      </c>
    </row>
    <row r="199" ht="22.5" customHeight="1">
      <c r="B199" s="7" t="s">
        <v>180</v>
      </c>
      <c r="C199" s="7">
        <v>5000.0</v>
      </c>
      <c r="D199" s="7">
        <v>21250.0</v>
      </c>
      <c r="E199" s="7">
        <v>1.067645E7</v>
      </c>
      <c r="F199" s="7">
        <v>1.0447378E7</v>
      </c>
      <c r="G199" s="7">
        <v>1.807586E7</v>
      </c>
      <c r="H199" s="7">
        <v>1.801114518E9</v>
      </c>
      <c r="I199" s="7">
        <v>409886.0</v>
      </c>
      <c r="J199" s="7">
        <v>394425.0</v>
      </c>
      <c r="K199" s="7">
        <v>15461.0</v>
      </c>
      <c r="L199" s="7">
        <v>20.29</v>
      </c>
      <c r="M199" s="7">
        <v>-0.06</v>
      </c>
      <c r="N199" s="7">
        <v>25644.0</v>
      </c>
      <c r="O199" s="7">
        <v>4652410.0</v>
      </c>
      <c r="P199" s="7" t="s">
        <v>410</v>
      </c>
      <c r="Q199" s="7">
        <v>1842.51</v>
      </c>
      <c r="R199" s="3">
        <f t="shared" si="1"/>
        <v>1842.51</v>
      </c>
    </row>
    <row r="200" ht="22.5" customHeight="1">
      <c r="B200" s="7" t="s">
        <v>203</v>
      </c>
      <c r="C200" s="7">
        <v>172.0</v>
      </c>
      <c r="D200" s="7">
        <v>832.0</v>
      </c>
      <c r="E200" s="7">
        <v>1.0248594E7</v>
      </c>
      <c r="F200" s="7">
        <v>1.017998E7</v>
      </c>
      <c r="G200" s="7">
        <v>1.3004349E7</v>
      </c>
      <c r="H200" s="7">
        <v>2.26008763E8</v>
      </c>
      <c r="I200" s="7">
        <v>428412.0</v>
      </c>
      <c r="J200" s="7">
        <v>413776.0</v>
      </c>
      <c r="K200" s="7">
        <v>14636.0</v>
      </c>
      <c r="L200" s="7">
        <v>18.98</v>
      </c>
      <c r="M200" s="7">
        <v>-0.04</v>
      </c>
      <c r="N200" s="7">
        <v>23982.0</v>
      </c>
      <c r="O200" s="7">
        <v>4398819.0</v>
      </c>
      <c r="P200" s="7" t="s">
        <v>410</v>
      </c>
      <c r="Q200" s="7">
        <v>1865.01</v>
      </c>
      <c r="R200" s="3">
        <f t="shared" si="1"/>
        <v>1865.01</v>
      </c>
    </row>
    <row r="201" ht="22.5" customHeight="1">
      <c r="B201" s="7" t="s">
        <v>201</v>
      </c>
      <c r="C201" s="7">
        <v>20446.0</v>
      </c>
      <c r="D201" s="7">
        <v>689272.0</v>
      </c>
      <c r="E201" s="7">
        <v>1911730.0</v>
      </c>
      <c r="F201" s="7">
        <v>1865653.0</v>
      </c>
      <c r="G201" s="7">
        <v>3324252.0</v>
      </c>
      <c r="H201" s="7">
        <v>3.713473987E9</v>
      </c>
      <c r="I201" s="7">
        <v>82270.0</v>
      </c>
      <c r="J201" s="7">
        <v>80230.0</v>
      </c>
      <c r="K201" s="7">
        <v>2040.0</v>
      </c>
      <c r="L201" s="7">
        <v>25.61</v>
      </c>
      <c r="M201" s="7">
        <v>-0.08</v>
      </c>
      <c r="N201" s="7">
        <v>3371.0</v>
      </c>
      <c r="O201" s="7">
        <v>1182280.0</v>
      </c>
      <c r="P201" s="7" t="s">
        <v>410</v>
      </c>
      <c r="Q201" s="7">
        <v>1868.83</v>
      </c>
      <c r="R201" s="3">
        <f t="shared" si="1"/>
        <v>1868.83</v>
      </c>
    </row>
    <row r="202" ht="22.5" customHeight="1">
      <c r="B202" s="7" t="s">
        <v>269</v>
      </c>
      <c r="C202" s="7">
        <v>88289.0</v>
      </c>
      <c r="D202" s="7">
        <v>4187682.0</v>
      </c>
      <c r="E202" s="7">
        <v>4566346.0</v>
      </c>
      <c r="F202" s="7">
        <v>4388819.0</v>
      </c>
      <c r="G202" s="7">
        <v>3.8985216E7</v>
      </c>
      <c r="H202" s="7">
        <v>7.329147143E9</v>
      </c>
      <c r="I202" s="7">
        <v>124334.0</v>
      </c>
      <c r="J202" s="7">
        <v>116341.0</v>
      </c>
      <c r="K202" s="7">
        <v>7993.0</v>
      </c>
      <c r="L202" s="7">
        <v>172.95</v>
      </c>
      <c r="M202" s="7">
        <v>-0.09</v>
      </c>
      <c r="N202" s="7">
        <v>13312.0</v>
      </c>
      <c r="O202" s="7">
        <v>1.0393754E7</v>
      </c>
      <c r="P202" s="7" t="s">
        <v>410</v>
      </c>
      <c r="Q202" s="7">
        <v>1874.61</v>
      </c>
      <c r="R202" s="3">
        <f t="shared" si="1"/>
        <v>1874.61</v>
      </c>
    </row>
    <row r="203" ht="22.5" customHeight="1">
      <c r="B203" s="7" t="s">
        <v>381</v>
      </c>
      <c r="C203" s="7">
        <v>3220.0</v>
      </c>
      <c r="D203" s="7">
        <v>12314.0</v>
      </c>
      <c r="E203" s="7">
        <v>1.0532007E7</v>
      </c>
      <c r="F203" s="7">
        <v>1.0374705E7</v>
      </c>
      <c r="G203" s="7">
        <v>2.9023423E7</v>
      </c>
      <c r="H203" s="7">
        <v>7.30709595E8</v>
      </c>
      <c r="I203" s="7">
        <v>475899.0</v>
      </c>
      <c r="J203" s="7">
        <v>460856.0</v>
      </c>
      <c r="K203" s="7">
        <v>15043.0</v>
      </c>
      <c r="L203" s="7">
        <v>35.14</v>
      </c>
      <c r="M203" s="7">
        <v>-0.09</v>
      </c>
      <c r="N203" s="7">
        <v>24948.0</v>
      </c>
      <c r="O203" s="7">
        <v>4857272.0</v>
      </c>
      <c r="P203" s="7" t="s">
        <v>409</v>
      </c>
      <c r="Q203" s="7">
        <v>1888.6</v>
      </c>
      <c r="R203" s="3">
        <f t="shared" si="1"/>
        <v>1888.6</v>
      </c>
    </row>
    <row r="204" ht="22.5" customHeight="1">
      <c r="B204" s="7" t="s">
        <v>380</v>
      </c>
      <c r="C204" s="7">
        <v>3220.0</v>
      </c>
      <c r="D204" s="7">
        <v>12314.0</v>
      </c>
      <c r="E204" s="7">
        <v>1.1640096E7</v>
      </c>
      <c r="F204" s="7">
        <v>1.1471747E7</v>
      </c>
      <c r="G204" s="7">
        <v>2.9328902E7</v>
      </c>
      <c r="H204" s="7">
        <v>7.95355932E8</v>
      </c>
      <c r="I204" s="7">
        <v>461905.0</v>
      </c>
      <c r="J204" s="7">
        <v>443709.0</v>
      </c>
      <c r="K204" s="7">
        <v>18196.0</v>
      </c>
      <c r="L204" s="7">
        <v>34.32</v>
      </c>
      <c r="M204" s="7">
        <v>-0.08</v>
      </c>
      <c r="N204" s="7">
        <v>30266.0</v>
      </c>
      <c r="O204" s="7">
        <v>4924269.0</v>
      </c>
      <c r="P204" s="7" t="s">
        <v>409</v>
      </c>
      <c r="Q204" s="7">
        <v>1912.58</v>
      </c>
      <c r="R204" s="3">
        <f t="shared" si="1"/>
        <v>1912.58</v>
      </c>
    </row>
    <row r="205" ht="22.5" customHeight="1">
      <c r="B205" s="7" t="s">
        <v>220</v>
      </c>
      <c r="C205" s="7">
        <v>171148.0</v>
      </c>
      <c r="D205" s="7">
        <v>6591010.0</v>
      </c>
      <c r="E205" s="7">
        <v>2994836.0</v>
      </c>
      <c r="F205" s="7">
        <v>2963504.0</v>
      </c>
      <c r="G205" s="7">
        <v>4965876.0</v>
      </c>
      <c r="H205" s="7">
        <v>1.724464313E9</v>
      </c>
      <c r="I205" s="7">
        <v>113051.0</v>
      </c>
      <c r="J205" s="7">
        <v>108260.0</v>
      </c>
      <c r="K205" s="7">
        <v>4791.0</v>
      </c>
      <c r="L205" s="7">
        <v>25.95</v>
      </c>
      <c r="M205" s="7">
        <v>-0.06</v>
      </c>
      <c r="N205" s="7">
        <v>7975.0</v>
      </c>
      <c r="O205" s="7">
        <v>1108490.0</v>
      </c>
      <c r="P205" s="7" t="s">
        <v>410</v>
      </c>
      <c r="Q205" s="7">
        <v>2062.77</v>
      </c>
      <c r="R205" s="3">
        <f t="shared" si="1"/>
        <v>2062.77</v>
      </c>
    </row>
    <row r="206" ht="22.5" customHeight="1">
      <c r="B206" s="7" t="s">
        <v>256</v>
      </c>
      <c r="C206" s="7">
        <v>63268.0</v>
      </c>
      <c r="D206" s="7">
        <v>374457.0</v>
      </c>
      <c r="E206" s="7">
        <v>8769465.0</v>
      </c>
      <c r="F206" s="7">
        <v>8554950.0</v>
      </c>
      <c r="G206" s="7">
        <v>3.4083595E7</v>
      </c>
      <c r="H206" s="7">
        <v>2.9298397E9</v>
      </c>
      <c r="I206" s="7">
        <v>505228.0</v>
      </c>
      <c r="J206" s="7">
        <v>495483.0</v>
      </c>
      <c r="K206" s="7">
        <v>9745.0</v>
      </c>
      <c r="L206" s="7">
        <v>53.3</v>
      </c>
      <c r="M206" s="7">
        <v>-0.13</v>
      </c>
      <c r="N206" s="7">
        <v>16198.0</v>
      </c>
      <c r="O206" s="7">
        <v>6130589.0</v>
      </c>
      <c r="P206" s="7" t="s">
        <v>409</v>
      </c>
      <c r="Q206" s="7">
        <v>2153.11</v>
      </c>
      <c r="R206" s="3">
        <f t="shared" si="1"/>
        <v>2153.11</v>
      </c>
    </row>
    <row r="207" ht="22.5" customHeight="1">
      <c r="B207" s="7" t="s">
        <v>266</v>
      </c>
      <c r="C207" s="7">
        <v>4128.0</v>
      </c>
      <c r="D207" s="7">
        <v>72571.0</v>
      </c>
      <c r="E207" s="7">
        <v>9966206.0</v>
      </c>
      <c r="F207" s="7">
        <v>9664655.0</v>
      </c>
      <c r="G207" s="7">
        <v>1.46586387E8</v>
      </c>
      <c r="H207" s="7">
        <v>1.402578181E9</v>
      </c>
      <c r="I207" s="7">
        <v>437457.0</v>
      </c>
      <c r="J207" s="7">
        <v>424088.0</v>
      </c>
      <c r="K207" s="7">
        <v>13369.0</v>
      </c>
      <c r="L207" s="7">
        <v>83.41</v>
      </c>
      <c r="M207" s="7">
        <v>-0.19</v>
      </c>
      <c r="N207" s="7">
        <v>22167.0</v>
      </c>
      <c r="O207" s="7">
        <v>2.023605E7</v>
      </c>
      <c r="P207" s="7" t="s">
        <v>409</v>
      </c>
      <c r="Q207" s="7">
        <v>2222.2</v>
      </c>
      <c r="R207" s="3">
        <f t="shared" si="1"/>
        <v>2222.2</v>
      </c>
    </row>
    <row r="208" ht="22.5" customHeight="1">
      <c r="B208" s="7" t="s">
        <v>226</v>
      </c>
      <c r="C208" s="7">
        <v>508510.0</v>
      </c>
      <c r="D208" s="7">
        <v>1464738.0</v>
      </c>
      <c r="E208" s="7">
        <v>1644551.0</v>
      </c>
      <c r="F208" s="7">
        <v>1623844.0</v>
      </c>
      <c r="G208" s="7">
        <v>4.59315317E8</v>
      </c>
      <c r="H208" s="7">
        <v>4.438081046E9</v>
      </c>
      <c r="I208" s="7">
        <v>72423.0</v>
      </c>
      <c r="J208" s="7">
        <v>71312.0</v>
      </c>
      <c r="K208" s="7">
        <v>1111.0</v>
      </c>
      <c r="L208" s="7">
        <v>33.71</v>
      </c>
      <c r="M208" s="7">
        <v>-0.16</v>
      </c>
      <c r="N208" s="7">
        <v>2461.0</v>
      </c>
      <c r="O208" s="7">
        <v>2.62771778E8</v>
      </c>
      <c r="P208" s="7" t="s">
        <v>410</v>
      </c>
      <c r="Q208" s="7">
        <v>2232.28</v>
      </c>
      <c r="R208" s="3">
        <f t="shared" si="1"/>
        <v>2232.28</v>
      </c>
    </row>
    <row r="209" ht="22.5" customHeight="1">
      <c r="B209" s="7" t="s">
        <v>172</v>
      </c>
      <c r="C209" s="7">
        <v>42271.0</v>
      </c>
      <c r="D209" s="7">
        <v>247381.0</v>
      </c>
      <c r="E209" s="7">
        <v>7603735.0</v>
      </c>
      <c r="F209" s="7">
        <v>7449900.0</v>
      </c>
      <c r="G209" s="7">
        <v>1.9012861E7</v>
      </c>
      <c r="H209" s="7">
        <v>1.002088806E9</v>
      </c>
      <c r="I209" s="7">
        <v>411325.0</v>
      </c>
      <c r="J209" s="7">
        <v>403349.0</v>
      </c>
      <c r="K209" s="7">
        <v>7976.0</v>
      </c>
      <c r="L209" s="7">
        <v>27.1</v>
      </c>
      <c r="M209" s="7">
        <v>-0.13</v>
      </c>
      <c r="N209" s="7">
        <v>13309.0</v>
      </c>
      <c r="O209" s="7">
        <v>5863371.0</v>
      </c>
      <c r="P209" s="7" t="s">
        <v>409</v>
      </c>
      <c r="Q209" s="7">
        <v>2311.88</v>
      </c>
      <c r="R209" s="3">
        <f t="shared" si="1"/>
        <v>2311.88</v>
      </c>
    </row>
    <row r="210" ht="22.5" customHeight="1">
      <c r="B210" s="7" t="s">
        <v>175</v>
      </c>
      <c r="C210" s="7">
        <v>89190.0</v>
      </c>
      <c r="D210" s="7">
        <v>265715.0</v>
      </c>
      <c r="E210" s="7">
        <v>9050890.0</v>
      </c>
      <c r="F210" s="7">
        <v>8852799.0</v>
      </c>
      <c r="G210" s="7">
        <v>8.9426271E7</v>
      </c>
      <c r="H210" s="7">
        <v>1.614778467E9</v>
      </c>
      <c r="I210" s="7">
        <v>566548.0</v>
      </c>
      <c r="J210" s="7">
        <v>556377.0</v>
      </c>
      <c r="K210" s="7">
        <v>10171.0</v>
      </c>
      <c r="L210" s="7">
        <v>32.12</v>
      </c>
      <c r="M210" s="7">
        <v>-0.16</v>
      </c>
      <c r="N210" s="7">
        <v>17188.0</v>
      </c>
      <c r="O210" s="7">
        <v>1.2434195E7</v>
      </c>
      <c r="P210" s="7" t="s">
        <v>410</v>
      </c>
      <c r="Q210" s="7">
        <v>2330.59</v>
      </c>
      <c r="R210" s="3">
        <f t="shared" si="1"/>
        <v>2330.59</v>
      </c>
    </row>
    <row r="211" ht="22.5" customHeight="1">
      <c r="B211" s="7" t="s">
        <v>307</v>
      </c>
      <c r="C211" s="7">
        <v>51315.0</v>
      </c>
      <c r="D211" s="7">
        <v>485537.0</v>
      </c>
      <c r="E211" s="7">
        <v>7040039.0</v>
      </c>
      <c r="F211" s="7">
        <v>6836897.0</v>
      </c>
      <c r="G211" s="7">
        <v>1.7847442E7</v>
      </c>
      <c r="H211" s="7">
        <v>1.591954695E9</v>
      </c>
      <c r="I211" s="7">
        <v>323145.0</v>
      </c>
      <c r="J211" s="7">
        <v>315362.0</v>
      </c>
      <c r="K211" s="7">
        <v>7783.0</v>
      </c>
      <c r="L211" s="7">
        <v>24.79</v>
      </c>
      <c r="M211" s="7">
        <v>-0.11</v>
      </c>
      <c r="N211" s="7">
        <v>13117.0</v>
      </c>
      <c r="O211" s="7">
        <v>5045386.0</v>
      </c>
      <c r="P211" s="7" t="s">
        <v>410</v>
      </c>
      <c r="Q211" s="7">
        <v>2354.45</v>
      </c>
      <c r="R211" s="3">
        <f t="shared" si="1"/>
        <v>2354.45</v>
      </c>
    </row>
    <row r="212" ht="22.5" customHeight="1">
      <c r="B212" s="7" t="s">
        <v>243</v>
      </c>
      <c r="C212" s="7">
        <v>961.0</v>
      </c>
      <c r="D212" s="7">
        <v>146909.0</v>
      </c>
      <c r="E212" s="7">
        <v>8041872.0</v>
      </c>
      <c r="F212" s="7">
        <v>7748559.0</v>
      </c>
      <c r="G212" s="7">
        <v>1.7882802E7</v>
      </c>
      <c r="H212" s="7">
        <v>9.26896552E8</v>
      </c>
      <c r="I212" s="7">
        <v>293854.0</v>
      </c>
      <c r="J212" s="7">
        <v>285027.0</v>
      </c>
      <c r="K212" s="7">
        <v>8827.0</v>
      </c>
      <c r="L212" s="7">
        <v>48.92</v>
      </c>
      <c r="M212" s="7">
        <v>-0.07</v>
      </c>
      <c r="N212" s="7">
        <v>14116.0</v>
      </c>
      <c r="O212" s="7">
        <v>7887778.0</v>
      </c>
      <c r="P212" s="7" t="s">
        <v>409</v>
      </c>
      <c r="Q212" s="7">
        <v>2372.05</v>
      </c>
      <c r="R212" s="3">
        <f t="shared" si="1"/>
        <v>2372.05</v>
      </c>
    </row>
    <row r="213" ht="22.5" customHeight="1">
      <c r="B213" s="7" t="s">
        <v>252</v>
      </c>
      <c r="C213" s="7">
        <v>3066.0</v>
      </c>
      <c r="D213" s="7">
        <v>59739.0</v>
      </c>
      <c r="E213" s="7">
        <v>6200882.0</v>
      </c>
      <c r="F213" s="7">
        <v>6126184.0</v>
      </c>
      <c r="G213" s="7">
        <v>9861470.0</v>
      </c>
      <c r="H213" s="7">
        <v>1.201131263E9</v>
      </c>
      <c r="I213" s="7">
        <v>269924.0</v>
      </c>
      <c r="J213" s="7">
        <v>261879.0</v>
      </c>
      <c r="K213" s="7">
        <v>8045.0</v>
      </c>
      <c r="L213" s="7">
        <v>20.25</v>
      </c>
      <c r="M213" s="7">
        <v>-0.06</v>
      </c>
      <c r="N213" s="7">
        <v>13376.0</v>
      </c>
      <c r="O213" s="7">
        <v>2769484.0</v>
      </c>
      <c r="P213" s="7" t="s">
        <v>410</v>
      </c>
      <c r="Q213" s="7">
        <v>2430.97</v>
      </c>
      <c r="R213" s="3">
        <f t="shared" si="1"/>
        <v>2430.97</v>
      </c>
    </row>
    <row r="214" ht="22.5" customHeight="1">
      <c r="B214" s="7" t="s">
        <v>215</v>
      </c>
      <c r="C214" s="7">
        <v>15232.0</v>
      </c>
      <c r="D214" s="7">
        <v>147245.0</v>
      </c>
      <c r="E214" s="7">
        <v>8722877.0</v>
      </c>
      <c r="F214" s="7">
        <v>8601892.0</v>
      </c>
      <c r="G214" s="7">
        <v>1.2366841E7</v>
      </c>
      <c r="H214" s="7">
        <v>4.075179039E9</v>
      </c>
      <c r="I214" s="7">
        <v>387443.0</v>
      </c>
      <c r="J214" s="7">
        <v>377515.0</v>
      </c>
      <c r="K214" s="7">
        <v>9928.0</v>
      </c>
      <c r="L214" s="7">
        <v>17.39</v>
      </c>
      <c r="M214" s="7">
        <v>-0.07</v>
      </c>
      <c r="N214" s="7">
        <v>16293.0</v>
      </c>
      <c r="O214" s="7">
        <v>4561914.0</v>
      </c>
      <c r="P214" s="7" t="s">
        <v>410</v>
      </c>
      <c r="Q214" s="7">
        <v>2444.53</v>
      </c>
      <c r="R214" s="3">
        <f t="shared" si="1"/>
        <v>2444.53</v>
      </c>
    </row>
    <row r="215" ht="22.5" customHeight="1">
      <c r="B215" s="7" t="s">
        <v>236</v>
      </c>
      <c r="C215" s="7">
        <v>180.0</v>
      </c>
      <c r="D215" s="7">
        <v>432.0</v>
      </c>
      <c r="E215" s="7">
        <v>1.4329854E7</v>
      </c>
      <c r="F215" s="7">
        <v>1.4108936E7</v>
      </c>
      <c r="G215" s="7">
        <v>2.0263134E7</v>
      </c>
      <c r="H215" s="7">
        <v>3.31688242E8</v>
      </c>
      <c r="I215" s="7">
        <v>396428.0</v>
      </c>
      <c r="J215" s="7">
        <v>369554.0</v>
      </c>
      <c r="K215" s="7">
        <v>26874.0</v>
      </c>
      <c r="L215" s="7">
        <v>23.45</v>
      </c>
      <c r="M215" s="7">
        <v>-0.05</v>
      </c>
      <c r="N215" s="7">
        <v>44177.0</v>
      </c>
      <c r="O215" s="7">
        <v>4500867.0</v>
      </c>
      <c r="P215" s="7" t="s">
        <v>409</v>
      </c>
      <c r="Q215" s="7">
        <v>2450.9</v>
      </c>
      <c r="R215" s="3">
        <f t="shared" si="1"/>
        <v>2450.9</v>
      </c>
    </row>
    <row r="216" ht="22.5" customHeight="1">
      <c r="B216" s="7" t="s">
        <v>223</v>
      </c>
      <c r="C216" s="7">
        <v>3835.0</v>
      </c>
      <c r="D216" s="7">
        <v>15069.0</v>
      </c>
      <c r="E216" s="7">
        <v>6688088.0</v>
      </c>
      <c r="F216" s="7">
        <v>6590469.0</v>
      </c>
      <c r="G216" s="7">
        <v>1.3317727E7</v>
      </c>
      <c r="H216" s="7">
        <v>7.87661773E8</v>
      </c>
      <c r="I216" s="7">
        <v>359836.0</v>
      </c>
      <c r="J216" s="7">
        <v>351942.0</v>
      </c>
      <c r="K216" s="7">
        <v>7894.0</v>
      </c>
      <c r="L216" s="7">
        <v>37.97</v>
      </c>
      <c r="M216" s="7">
        <v>-0.08</v>
      </c>
      <c r="N216" s="7">
        <v>13230.0</v>
      </c>
      <c r="O216" s="7">
        <v>3136875.0</v>
      </c>
      <c r="P216" s="7" t="s">
        <v>409</v>
      </c>
      <c r="Q216" s="7">
        <v>2459.98</v>
      </c>
      <c r="R216" s="3">
        <f t="shared" si="1"/>
        <v>2459.98</v>
      </c>
    </row>
    <row r="217" ht="22.5" customHeight="1">
      <c r="B217" s="7" t="s">
        <v>178</v>
      </c>
      <c r="C217" s="7">
        <v>172.0</v>
      </c>
      <c r="D217" s="7">
        <v>832.0</v>
      </c>
      <c r="E217" s="7">
        <v>1.2223075E7</v>
      </c>
      <c r="F217" s="7">
        <v>1.2141199E7</v>
      </c>
      <c r="G217" s="7">
        <v>1.5927222E7</v>
      </c>
      <c r="H217" s="7">
        <v>2.82922161E8</v>
      </c>
      <c r="I217" s="7">
        <v>450858.0</v>
      </c>
      <c r="J217" s="7">
        <v>430027.0</v>
      </c>
      <c r="K217" s="7">
        <v>20831.0</v>
      </c>
      <c r="L217" s="7">
        <v>18.86</v>
      </c>
      <c r="M217" s="7">
        <v>-0.04</v>
      </c>
      <c r="N217" s="7">
        <v>34029.0</v>
      </c>
      <c r="O217" s="7">
        <v>4337701.0</v>
      </c>
      <c r="P217" s="7" t="s">
        <v>410</v>
      </c>
      <c r="Q217" s="7">
        <v>2485.52</v>
      </c>
      <c r="R217" s="3">
        <f t="shared" si="1"/>
        <v>2485.52</v>
      </c>
    </row>
    <row r="218" ht="22.5" customHeight="1">
      <c r="B218" s="7" t="s">
        <v>200</v>
      </c>
      <c r="C218" s="7">
        <v>1376707.0</v>
      </c>
      <c r="D218" s="7">
        <v>5351985.0</v>
      </c>
      <c r="E218" s="7">
        <v>1431861.0</v>
      </c>
      <c r="F218" s="7">
        <v>1389631.0</v>
      </c>
      <c r="G218" s="7">
        <v>6402317.0</v>
      </c>
      <c r="H218" s="7">
        <v>4.903668714E9</v>
      </c>
      <c r="I218" s="7">
        <v>91918.0</v>
      </c>
      <c r="J218" s="7">
        <v>90148.0</v>
      </c>
      <c r="K218" s="7">
        <v>1770.0</v>
      </c>
      <c r="L218" s="7">
        <v>53.28</v>
      </c>
      <c r="M218" s="7">
        <v>-0.16</v>
      </c>
      <c r="N218" s="7">
        <v>3105.0</v>
      </c>
      <c r="O218" s="7">
        <v>1069626.0</v>
      </c>
      <c r="P218" s="7" t="s">
        <v>410</v>
      </c>
      <c r="Q218" s="7">
        <v>2506.54</v>
      </c>
      <c r="R218" s="3">
        <f t="shared" si="1"/>
        <v>2506.54</v>
      </c>
    </row>
    <row r="219" ht="22.5" customHeight="1">
      <c r="B219" s="7" t="s">
        <v>265</v>
      </c>
      <c r="C219" s="7">
        <v>4128.0</v>
      </c>
      <c r="D219" s="7">
        <v>72564.0</v>
      </c>
      <c r="E219" s="7">
        <v>1.346572E7</v>
      </c>
      <c r="F219" s="7">
        <v>1.3124282E7</v>
      </c>
      <c r="G219" s="7">
        <v>1.41937532E8</v>
      </c>
      <c r="H219" s="7">
        <v>1.734987919E9</v>
      </c>
      <c r="I219" s="7">
        <v>440919.0</v>
      </c>
      <c r="J219" s="7">
        <v>416936.0</v>
      </c>
      <c r="K219" s="7">
        <v>23983.0</v>
      </c>
      <c r="L219" s="7">
        <v>97.58</v>
      </c>
      <c r="M219" s="7">
        <v>-0.15</v>
      </c>
      <c r="N219" s="7">
        <v>39608.0</v>
      </c>
      <c r="O219" s="7">
        <v>1.81885E7</v>
      </c>
      <c r="P219" s="7" t="s">
        <v>409</v>
      </c>
      <c r="Q219" s="7">
        <v>2528.77</v>
      </c>
      <c r="R219" s="3">
        <f t="shared" si="1"/>
        <v>2528.77</v>
      </c>
    </row>
    <row r="220" ht="22.5" customHeight="1">
      <c r="B220" s="7" t="s">
        <v>208</v>
      </c>
      <c r="C220" s="7">
        <v>2719.0</v>
      </c>
      <c r="D220" s="7">
        <v>11388.0</v>
      </c>
      <c r="E220" s="7">
        <v>7244722.0</v>
      </c>
      <c r="F220" s="7">
        <v>7138677.0</v>
      </c>
      <c r="G220" s="7">
        <v>1.4507838E7</v>
      </c>
      <c r="H220" s="7">
        <v>8.53813058E8</v>
      </c>
      <c r="I220" s="7">
        <v>413560.0</v>
      </c>
      <c r="J220" s="7">
        <v>405582.0</v>
      </c>
      <c r="K220" s="7">
        <v>7978.0</v>
      </c>
      <c r="L220" s="7">
        <v>38.3</v>
      </c>
      <c r="M220" s="7">
        <v>-0.08</v>
      </c>
      <c r="N220" s="7">
        <v>13313.0</v>
      </c>
      <c r="O220" s="7">
        <v>3543948.0</v>
      </c>
      <c r="P220" s="7" t="s">
        <v>409</v>
      </c>
      <c r="Q220" s="7">
        <v>2552.2</v>
      </c>
      <c r="R220" s="3">
        <f t="shared" si="1"/>
        <v>2552.2</v>
      </c>
    </row>
    <row r="221" ht="22.5" customHeight="1">
      <c r="B221" s="7" t="s">
        <v>257</v>
      </c>
      <c r="C221" s="7">
        <v>569318.0</v>
      </c>
      <c r="D221" s="7">
        <v>1484813.0</v>
      </c>
      <c r="E221" s="7">
        <v>5624873.0</v>
      </c>
      <c r="F221" s="7">
        <v>5416090.0</v>
      </c>
      <c r="G221" s="7">
        <v>3.655529E7</v>
      </c>
      <c r="H221" s="7">
        <v>3.872557434E9</v>
      </c>
      <c r="I221" s="7">
        <v>291266.0</v>
      </c>
      <c r="J221" s="7">
        <v>283503.0</v>
      </c>
      <c r="K221" s="7">
        <v>7763.0</v>
      </c>
      <c r="L221" s="7">
        <v>35.59</v>
      </c>
      <c r="M221" s="7">
        <v>-0.13</v>
      </c>
      <c r="N221" s="7">
        <v>13091.0</v>
      </c>
      <c r="O221" s="7">
        <v>6731744.0</v>
      </c>
      <c r="P221" s="7" t="s">
        <v>410</v>
      </c>
      <c r="Q221" s="7">
        <v>2589.72</v>
      </c>
      <c r="R221" s="3">
        <f t="shared" si="1"/>
        <v>2589.72</v>
      </c>
    </row>
    <row r="222" ht="22.5" customHeight="1">
      <c r="B222" s="7" t="s">
        <v>159</v>
      </c>
      <c r="C222" s="7">
        <v>122472.0</v>
      </c>
      <c r="D222" s="7">
        <v>440385.0</v>
      </c>
      <c r="E222" s="7">
        <v>2690166.0</v>
      </c>
      <c r="F222" s="7">
        <v>2624050.0</v>
      </c>
      <c r="G222" s="7">
        <v>4.3814134E7</v>
      </c>
      <c r="H222" s="7">
        <v>1.0752657281E10</v>
      </c>
      <c r="I222" s="7">
        <v>103162.0</v>
      </c>
      <c r="J222" s="7">
        <v>99655.0</v>
      </c>
      <c r="K222" s="7">
        <v>3507.0</v>
      </c>
      <c r="L222" s="7">
        <v>70.25</v>
      </c>
      <c r="M222" s="7">
        <v>-0.1</v>
      </c>
      <c r="N222" s="7">
        <v>6100.0</v>
      </c>
      <c r="O222" s="7">
        <v>3353107.0</v>
      </c>
      <c r="P222" s="7" t="s">
        <v>409</v>
      </c>
      <c r="Q222" s="7">
        <v>2590.69</v>
      </c>
      <c r="R222" s="3">
        <f t="shared" si="1"/>
        <v>2590.69</v>
      </c>
    </row>
    <row r="223" ht="22.5" customHeight="1">
      <c r="B223" s="7" t="s">
        <v>155</v>
      </c>
      <c r="C223" s="7">
        <v>69644.0</v>
      </c>
      <c r="D223" s="7">
        <v>305432.0</v>
      </c>
      <c r="E223" s="7">
        <v>8146689.0</v>
      </c>
      <c r="F223" s="7">
        <v>7958122.0</v>
      </c>
      <c r="G223" s="7">
        <v>1.9280345E7</v>
      </c>
      <c r="H223" s="7">
        <v>2.609031395E9</v>
      </c>
      <c r="I223" s="7">
        <v>385029.0</v>
      </c>
      <c r="J223" s="7">
        <v>377032.0</v>
      </c>
      <c r="K223" s="7">
        <v>7997.0</v>
      </c>
      <c r="L223" s="7">
        <v>51.35</v>
      </c>
      <c r="M223" s="7">
        <v>-0.1</v>
      </c>
      <c r="N223" s="7">
        <v>13321.0</v>
      </c>
      <c r="O223" s="7">
        <v>5245835.0</v>
      </c>
      <c r="P223" s="7" t="s">
        <v>409</v>
      </c>
      <c r="Q223" s="7">
        <v>2614.33</v>
      </c>
      <c r="R223" s="3">
        <f t="shared" si="1"/>
        <v>2614.33</v>
      </c>
    </row>
    <row r="224" ht="22.5" customHeight="1">
      <c r="B224" s="7" t="s">
        <v>213</v>
      </c>
      <c r="C224" s="7">
        <v>17850.0</v>
      </c>
      <c r="D224" s="7">
        <v>149132.0</v>
      </c>
      <c r="E224" s="7">
        <v>9155194.0</v>
      </c>
      <c r="F224" s="7">
        <v>9029498.0</v>
      </c>
      <c r="G224" s="7">
        <v>1.2817309E7</v>
      </c>
      <c r="H224" s="7">
        <v>4.353083807E9</v>
      </c>
      <c r="I224" s="7">
        <v>389208.0</v>
      </c>
      <c r="J224" s="7">
        <v>377826.0</v>
      </c>
      <c r="K224" s="7">
        <v>11382.0</v>
      </c>
      <c r="L224" s="7">
        <v>17.72</v>
      </c>
      <c r="M224" s="7">
        <v>-0.07</v>
      </c>
      <c r="N224" s="7">
        <v>18587.0</v>
      </c>
      <c r="O224" s="7">
        <v>4561802.0</v>
      </c>
      <c r="P224" s="7" t="s">
        <v>410</v>
      </c>
      <c r="Q224" s="7">
        <v>2734.5</v>
      </c>
      <c r="R224" s="3">
        <f t="shared" si="1"/>
        <v>2734.5</v>
      </c>
    </row>
    <row r="225" ht="22.5" customHeight="1">
      <c r="B225" s="7" t="s">
        <v>229</v>
      </c>
      <c r="C225" s="7">
        <v>2722.0</v>
      </c>
      <c r="D225" s="7">
        <v>11400.0</v>
      </c>
      <c r="E225" s="7">
        <v>7683464.0</v>
      </c>
      <c r="F225" s="7">
        <v>7569063.0</v>
      </c>
      <c r="G225" s="7">
        <v>1.5579417E7</v>
      </c>
      <c r="H225" s="7">
        <v>9.02312209E8</v>
      </c>
      <c r="I225" s="7">
        <v>449873.0</v>
      </c>
      <c r="J225" s="7">
        <v>441996.0</v>
      </c>
      <c r="K225" s="7">
        <v>7877.0</v>
      </c>
      <c r="L225" s="7">
        <v>38.0</v>
      </c>
      <c r="M225" s="7">
        <v>-0.08</v>
      </c>
      <c r="N225" s="7">
        <v>13214.0</v>
      </c>
      <c r="O225" s="7">
        <v>3900488.0</v>
      </c>
      <c r="P225" s="7" t="s">
        <v>409</v>
      </c>
      <c r="Q225" s="7">
        <v>2737.59</v>
      </c>
      <c r="R225" s="3">
        <f t="shared" si="1"/>
        <v>2737.59</v>
      </c>
    </row>
    <row r="226" ht="22.5" customHeight="1">
      <c r="B226" s="7" t="s">
        <v>228</v>
      </c>
      <c r="C226" s="7">
        <v>3220.0</v>
      </c>
      <c r="D226" s="7">
        <v>12314.0</v>
      </c>
      <c r="E226" s="7">
        <v>1.3157832E7</v>
      </c>
      <c r="F226" s="7">
        <v>1.2976489E7</v>
      </c>
      <c r="G226" s="7">
        <v>3.1990982E7</v>
      </c>
      <c r="H226" s="7">
        <v>9.38598215E8</v>
      </c>
      <c r="I226" s="7">
        <v>497688.0</v>
      </c>
      <c r="J226" s="7">
        <v>474775.0</v>
      </c>
      <c r="K226" s="7">
        <v>22913.0</v>
      </c>
      <c r="L226" s="7">
        <v>35.52</v>
      </c>
      <c r="M226" s="7">
        <v>-0.08</v>
      </c>
      <c r="N226" s="7">
        <v>37945.0</v>
      </c>
      <c r="O226" s="7">
        <v>4833370.0</v>
      </c>
      <c r="P226" s="7" t="s">
        <v>409</v>
      </c>
      <c r="Q226" s="7">
        <v>2766.54</v>
      </c>
      <c r="R226" s="3">
        <f t="shared" si="1"/>
        <v>2766.54</v>
      </c>
    </row>
    <row r="227" ht="22.5" customHeight="1">
      <c r="B227" s="7" t="s">
        <v>258</v>
      </c>
      <c r="C227" s="7">
        <v>2309.0</v>
      </c>
      <c r="D227" s="7">
        <v>88734.0</v>
      </c>
      <c r="E227" s="7">
        <v>1.378303E7</v>
      </c>
      <c r="F227" s="7">
        <v>1.3519097E7</v>
      </c>
      <c r="G227" s="7">
        <v>1.9078473E7</v>
      </c>
      <c r="H227" s="7">
        <v>1.009243113E9</v>
      </c>
      <c r="I227" s="7">
        <v>348812.0</v>
      </c>
      <c r="J227" s="7">
        <v>319917.0</v>
      </c>
      <c r="K227" s="7">
        <v>28895.0</v>
      </c>
      <c r="L227" s="7">
        <v>134.71</v>
      </c>
      <c r="M227" s="7">
        <v>-0.03</v>
      </c>
      <c r="N227" s="7">
        <v>44982.0</v>
      </c>
      <c r="O227" s="7">
        <v>5550144.0</v>
      </c>
      <c r="P227" s="7" t="s">
        <v>410</v>
      </c>
      <c r="Q227" s="7">
        <v>2807.92</v>
      </c>
      <c r="R227" s="3">
        <f t="shared" si="1"/>
        <v>2807.92</v>
      </c>
    </row>
    <row r="228" ht="22.5" customHeight="1">
      <c r="B228" s="7" t="s">
        <v>211</v>
      </c>
      <c r="C228" s="7">
        <v>1046.0</v>
      </c>
      <c r="D228" s="7">
        <v>22804.0</v>
      </c>
      <c r="E228" s="7">
        <v>6248412.0</v>
      </c>
      <c r="F228" s="7">
        <v>6198876.0</v>
      </c>
      <c r="G228" s="7">
        <v>1.1653114E7</v>
      </c>
      <c r="H228" s="7">
        <v>7.71491378E8</v>
      </c>
      <c r="I228" s="7">
        <v>330808.0</v>
      </c>
      <c r="J228" s="7">
        <v>322047.0</v>
      </c>
      <c r="K228" s="7">
        <v>8761.0</v>
      </c>
      <c r="L228" s="7">
        <v>29.03</v>
      </c>
      <c r="M228" s="7">
        <v>-0.07</v>
      </c>
      <c r="N228" s="7">
        <v>14084.0</v>
      </c>
      <c r="O228" s="7">
        <v>2772932.0</v>
      </c>
      <c r="P228" s="7" t="s">
        <v>409</v>
      </c>
      <c r="Q228" s="7">
        <v>2815.64</v>
      </c>
      <c r="R228" s="3">
        <f t="shared" si="1"/>
        <v>2815.64</v>
      </c>
    </row>
    <row r="229" ht="22.5" customHeight="1">
      <c r="B229" s="7" t="s">
        <v>240</v>
      </c>
      <c r="C229" s="7">
        <v>984.0</v>
      </c>
      <c r="D229" s="7">
        <v>22937.0</v>
      </c>
      <c r="E229" s="7">
        <v>5210129.0</v>
      </c>
      <c r="F229" s="7">
        <v>5173516.0</v>
      </c>
      <c r="G229" s="7">
        <v>8608843.0</v>
      </c>
      <c r="H229" s="7">
        <v>8.7082596E8</v>
      </c>
      <c r="I229" s="7">
        <v>249199.0</v>
      </c>
      <c r="J229" s="7">
        <v>240517.0</v>
      </c>
      <c r="K229" s="7">
        <v>8682.0</v>
      </c>
      <c r="L229" s="7">
        <v>26.52</v>
      </c>
      <c r="M229" s="7">
        <v>-0.06</v>
      </c>
      <c r="N229" s="7">
        <v>14008.0</v>
      </c>
      <c r="O229" s="7">
        <v>1910215.0</v>
      </c>
      <c r="P229" s="7" t="s">
        <v>409</v>
      </c>
      <c r="Q229" s="7">
        <v>2829.84</v>
      </c>
      <c r="R229" s="3">
        <f t="shared" si="1"/>
        <v>2829.84</v>
      </c>
    </row>
    <row r="230" ht="22.5" customHeight="1">
      <c r="B230" s="7" t="s">
        <v>105</v>
      </c>
      <c r="C230" s="7">
        <v>3220.0</v>
      </c>
      <c r="D230" s="7">
        <v>12314.0</v>
      </c>
      <c r="E230" s="7">
        <v>1.442605E7</v>
      </c>
      <c r="F230" s="7">
        <v>1.4221107E7</v>
      </c>
      <c r="G230" s="7">
        <v>3.5791753E7</v>
      </c>
      <c r="H230" s="7">
        <v>1.047346758E9</v>
      </c>
      <c r="I230" s="7">
        <v>520839.0</v>
      </c>
      <c r="J230" s="7">
        <v>494342.0</v>
      </c>
      <c r="K230" s="7">
        <v>26497.0</v>
      </c>
      <c r="L230" s="7">
        <v>38.84</v>
      </c>
      <c r="M230" s="7">
        <v>-0.08</v>
      </c>
      <c r="N230" s="7">
        <v>44008.0</v>
      </c>
      <c r="O230" s="7">
        <v>4821100.0</v>
      </c>
      <c r="P230" s="7" t="s">
        <v>409</v>
      </c>
      <c r="Q230" s="7">
        <v>2851.28</v>
      </c>
      <c r="R230" s="3">
        <f t="shared" si="1"/>
        <v>2851.28</v>
      </c>
    </row>
    <row r="231" ht="22.5" customHeight="1">
      <c r="B231" s="7" t="s">
        <v>143</v>
      </c>
      <c r="C231" s="7">
        <v>20965.0</v>
      </c>
      <c r="D231" s="7">
        <v>93387.0</v>
      </c>
      <c r="E231" s="7">
        <v>1.4387131E7</v>
      </c>
      <c r="F231" s="7">
        <v>1.3779454E7</v>
      </c>
      <c r="G231" s="7">
        <v>4.25223E7</v>
      </c>
      <c r="H231" s="7">
        <v>2.317816363E9</v>
      </c>
      <c r="I231" s="7">
        <v>308852.0</v>
      </c>
      <c r="J231" s="7">
        <v>282649.0</v>
      </c>
      <c r="K231" s="7">
        <v>26203.0</v>
      </c>
      <c r="L231" s="7">
        <v>76.41</v>
      </c>
      <c r="M231" s="7">
        <v>-0.07</v>
      </c>
      <c r="N231" s="7">
        <v>43607.0</v>
      </c>
      <c r="O231" s="7">
        <v>9080922.0</v>
      </c>
      <c r="P231" s="7" t="s">
        <v>409</v>
      </c>
      <c r="Q231" s="7">
        <v>2864.63</v>
      </c>
      <c r="R231" s="3">
        <f t="shared" si="1"/>
        <v>2864.63</v>
      </c>
    </row>
    <row r="232" ht="22.5" customHeight="1">
      <c r="B232" s="7" t="s">
        <v>137</v>
      </c>
      <c r="C232" s="7">
        <v>3105.0</v>
      </c>
      <c r="D232" s="7">
        <v>9242.0</v>
      </c>
      <c r="E232" s="7">
        <v>8172215.0</v>
      </c>
      <c r="F232" s="7">
        <v>8095570.0</v>
      </c>
      <c r="G232" s="7">
        <v>1.1832305E7</v>
      </c>
      <c r="H232" s="7">
        <v>8.41057474E8</v>
      </c>
      <c r="I232" s="7">
        <v>477331.0</v>
      </c>
      <c r="J232" s="7">
        <v>468639.0</v>
      </c>
      <c r="K232" s="7">
        <v>8692.0</v>
      </c>
      <c r="L232" s="7">
        <v>34.1</v>
      </c>
      <c r="M232" s="7">
        <v>-0.05</v>
      </c>
      <c r="N232" s="7">
        <v>14015.0</v>
      </c>
      <c r="O232" s="7">
        <v>4260123.0</v>
      </c>
      <c r="P232" s="7" t="s">
        <v>410</v>
      </c>
      <c r="Q232" s="7">
        <v>2896.35</v>
      </c>
      <c r="R232" s="3">
        <f t="shared" si="1"/>
        <v>2896.35</v>
      </c>
    </row>
    <row r="233" ht="22.5" customHeight="1">
      <c r="B233" s="7" t="s">
        <v>250</v>
      </c>
      <c r="C233" s="7">
        <v>2187.0</v>
      </c>
      <c r="D233" s="7">
        <v>21364.0</v>
      </c>
      <c r="E233" s="7">
        <v>1.5950328E7</v>
      </c>
      <c r="F233" s="7">
        <v>1.590361E7</v>
      </c>
      <c r="G233" s="7">
        <v>1.8765644E7</v>
      </c>
      <c r="H233" s="7">
        <v>9.99419924E8</v>
      </c>
      <c r="I233" s="7">
        <v>473041.0</v>
      </c>
      <c r="J233" s="7">
        <v>438971.0</v>
      </c>
      <c r="K233" s="7">
        <v>34070.0</v>
      </c>
      <c r="L233" s="7">
        <v>23.35</v>
      </c>
      <c r="M233" s="7">
        <v>-0.02</v>
      </c>
      <c r="N233" s="7">
        <v>54519.0</v>
      </c>
      <c r="O233" s="7">
        <v>4301192.0</v>
      </c>
      <c r="P233" s="7" t="s">
        <v>410</v>
      </c>
      <c r="Q233" s="7">
        <v>2907.52</v>
      </c>
      <c r="R233" s="3">
        <f t="shared" si="1"/>
        <v>2907.52</v>
      </c>
    </row>
    <row r="234" ht="22.5" customHeight="1">
      <c r="B234" s="7" t="s">
        <v>162</v>
      </c>
      <c r="C234" s="7">
        <v>6634.0</v>
      </c>
      <c r="D234" s="7">
        <v>23392.0</v>
      </c>
      <c r="E234" s="7">
        <v>1.1855726E7</v>
      </c>
      <c r="F234" s="7">
        <v>1.1645246E7</v>
      </c>
      <c r="G234" s="7">
        <v>2.2697037E7</v>
      </c>
      <c r="H234" s="7">
        <v>3.160919847E9</v>
      </c>
      <c r="I234" s="7">
        <v>363037.0</v>
      </c>
      <c r="J234" s="7">
        <v>342918.0</v>
      </c>
      <c r="K234" s="7">
        <v>20119.0</v>
      </c>
      <c r="L234" s="7">
        <v>62.89</v>
      </c>
      <c r="M234" s="7">
        <v>-0.05</v>
      </c>
      <c r="N234" s="7">
        <v>32558.0</v>
      </c>
      <c r="O234" s="7">
        <v>4603431.0</v>
      </c>
      <c r="P234" s="7" t="s">
        <v>409</v>
      </c>
      <c r="Q234" s="7">
        <v>3043.66</v>
      </c>
      <c r="R234" s="3">
        <f t="shared" si="1"/>
        <v>3043.66</v>
      </c>
    </row>
    <row r="235" ht="22.5" customHeight="1">
      <c r="B235" s="7" t="s">
        <v>268</v>
      </c>
      <c r="C235" s="7">
        <v>4128.0</v>
      </c>
      <c r="D235" s="7">
        <v>72567.0</v>
      </c>
      <c r="E235" s="7">
        <v>1.4419985E7</v>
      </c>
      <c r="F235" s="7">
        <v>1.4068199E7</v>
      </c>
      <c r="G235" s="7">
        <v>1.50372421E8</v>
      </c>
      <c r="H235" s="7">
        <v>1.887901119E9</v>
      </c>
      <c r="I235" s="7">
        <v>445765.0</v>
      </c>
      <c r="J235" s="7">
        <v>418404.0</v>
      </c>
      <c r="K235" s="7">
        <v>27361.0</v>
      </c>
      <c r="L235" s="7">
        <v>107.97</v>
      </c>
      <c r="M235" s="7">
        <v>-0.14</v>
      </c>
      <c r="N235" s="7">
        <v>44839.0</v>
      </c>
      <c r="O235" s="7">
        <v>1.9312928E7</v>
      </c>
      <c r="P235" s="7" t="s">
        <v>409</v>
      </c>
      <c r="Q235" s="7">
        <v>3106.5</v>
      </c>
      <c r="R235" s="3">
        <f t="shared" si="1"/>
        <v>3106.5</v>
      </c>
    </row>
    <row r="236" ht="22.5" customHeight="1">
      <c r="B236" s="7" t="s">
        <v>68</v>
      </c>
      <c r="C236" s="7">
        <v>3837.0</v>
      </c>
      <c r="D236" s="7">
        <v>15085.0</v>
      </c>
      <c r="E236" s="7">
        <v>7761464.0</v>
      </c>
      <c r="F236" s="7">
        <v>7646695.0</v>
      </c>
      <c r="G236" s="7">
        <v>1.5820822E7</v>
      </c>
      <c r="H236" s="7">
        <v>9.18959333E8</v>
      </c>
      <c r="I236" s="7">
        <v>463844.0</v>
      </c>
      <c r="J236" s="7">
        <v>455829.0</v>
      </c>
      <c r="K236" s="7">
        <v>8015.0</v>
      </c>
      <c r="L236" s="7">
        <v>37.82</v>
      </c>
      <c r="M236" s="7">
        <v>-0.09</v>
      </c>
      <c r="N236" s="7">
        <v>13349.0</v>
      </c>
      <c r="O236" s="7">
        <v>3940271.0</v>
      </c>
      <c r="P236" s="7" t="s">
        <v>409</v>
      </c>
      <c r="Q236" s="7">
        <v>3130.76</v>
      </c>
      <c r="R236" s="3">
        <f t="shared" si="1"/>
        <v>3130.76</v>
      </c>
    </row>
    <row r="237" ht="22.5" customHeight="1">
      <c r="B237" s="7" t="s">
        <v>241</v>
      </c>
      <c r="C237" s="7">
        <v>189982.0</v>
      </c>
      <c r="D237" s="7">
        <v>384580.0</v>
      </c>
      <c r="E237" s="7">
        <v>2216991.0</v>
      </c>
      <c r="F237" s="7">
        <v>2175707.0</v>
      </c>
      <c r="G237" s="7">
        <v>4568524.0</v>
      </c>
      <c r="H237" s="7">
        <v>7.561820623E9</v>
      </c>
      <c r="I237" s="7">
        <v>101059.0</v>
      </c>
      <c r="J237" s="7">
        <v>98458.0</v>
      </c>
      <c r="K237" s="7">
        <v>2601.0</v>
      </c>
      <c r="L237" s="7">
        <v>29.86</v>
      </c>
      <c r="M237" s="7">
        <v>-0.08</v>
      </c>
      <c r="N237" s="7">
        <v>4265.0</v>
      </c>
      <c r="O237" s="7">
        <v>1336546.0</v>
      </c>
      <c r="P237" s="7" t="s">
        <v>410</v>
      </c>
      <c r="Q237" s="7">
        <v>3374.99</v>
      </c>
      <c r="R237" s="3">
        <f t="shared" si="1"/>
        <v>3374.99</v>
      </c>
    </row>
    <row r="238" ht="22.5" customHeight="1">
      <c r="B238" s="7" t="s">
        <v>186</v>
      </c>
      <c r="C238" s="7">
        <v>189456.0</v>
      </c>
      <c r="D238" s="7">
        <v>835275.0</v>
      </c>
      <c r="E238" s="7">
        <v>3862669.0</v>
      </c>
      <c r="F238" s="7">
        <v>3673195.0</v>
      </c>
      <c r="G238" s="7">
        <v>2.5709138E7</v>
      </c>
      <c r="H238" s="7">
        <v>5.024015395E9</v>
      </c>
      <c r="I238" s="7">
        <v>88087.0</v>
      </c>
      <c r="J238" s="7">
        <v>80630.0</v>
      </c>
      <c r="K238" s="7">
        <v>7457.0</v>
      </c>
      <c r="L238" s="7">
        <v>372.59</v>
      </c>
      <c r="M238" s="7">
        <v>-0.07</v>
      </c>
      <c r="N238" s="7">
        <v>12314.0</v>
      </c>
      <c r="O238" s="7">
        <v>1584601.0</v>
      </c>
      <c r="P238" s="7" t="s">
        <v>409</v>
      </c>
      <c r="Q238" s="7">
        <v>3519.05</v>
      </c>
      <c r="R238" s="3">
        <f t="shared" si="1"/>
        <v>3519.05</v>
      </c>
    </row>
    <row r="239" ht="22.5" customHeight="1">
      <c r="B239" s="7" t="s">
        <v>253</v>
      </c>
      <c r="C239" s="7">
        <v>76006.0</v>
      </c>
      <c r="D239" s="7">
        <v>3192315.0</v>
      </c>
      <c r="E239" s="7">
        <v>1005666.0</v>
      </c>
      <c r="F239" s="7">
        <v>978096.0</v>
      </c>
      <c r="G239" s="7">
        <v>1761292.0</v>
      </c>
      <c r="H239" s="7">
        <v>5.053694701E9</v>
      </c>
      <c r="I239" s="7">
        <v>25874.0</v>
      </c>
      <c r="J239" s="7">
        <v>23948.0</v>
      </c>
      <c r="K239" s="7">
        <v>1926.0</v>
      </c>
      <c r="L239" s="7">
        <v>26.49</v>
      </c>
      <c r="M239" s="7">
        <v>-0.07</v>
      </c>
      <c r="N239" s="7">
        <v>3224.0</v>
      </c>
      <c r="O239" s="7">
        <v>395558.0</v>
      </c>
      <c r="P239" s="7" t="s">
        <v>410</v>
      </c>
      <c r="Q239" s="7">
        <v>3650.29</v>
      </c>
      <c r="R239" s="3">
        <f t="shared" si="1"/>
        <v>3650.29</v>
      </c>
    </row>
    <row r="240" ht="22.5" customHeight="1">
      <c r="B240" s="7" t="s">
        <v>217</v>
      </c>
      <c r="C240" s="7">
        <v>310.0</v>
      </c>
      <c r="D240" s="7">
        <v>1081.0</v>
      </c>
      <c r="E240" s="7">
        <v>9540039.0</v>
      </c>
      <c r="F240" s="7">
        <v>9371571.0</v>
      </c>
      <c r="G240" s="7">
        <v>1.5262341E7</v>
      </c>
      <c r="H240" s="7">
        <v>3.36110802E8</v>
      </c>
      <c r="I240" s="7">
        <v>417212.0</v>
      </c>
      <c r="J240" s="7">
        <v>405244.0</v>
      </c>
      <c r="K240" s="7">
        <v>11968.0</v>
      </c>
      <c r="L240" s="7">
        <v>18.09</v>
      </c>
      <c r="M240" s="7">
        <v>-0.06</v>
      </c>
      <c r="N240" s="7">
        <v>19934.0</v>
      </c>
      <c r="O240" s="7">
        <v>4410924.0</v>
      </c>
      <c r="P240" s="7" t="s">
        <v>410</v>
      </c>
      <c r="Q240" s="7">
        <v>3674.88</v>
      </c>
      <c r="R240" s="3">
        <f t="shared" si="1"/>
        <v>3674.88</v>
      </c>
    </row>
    <row r="241" ht="22.5" customHeight="1">
      <c r="B241" s="7" t="s">
        <v>239</v>
      </c>
      <c r="C241" s="7">
        <v>2715.0</v>
      </c>
      <c r="D241" s="7">
        <v>11371.0</v>
      </c>
      <c r="E241" s="7">
        <v>8709168.0</v>
      </c>
      <c r="F241" s="7">
        <v>8584631.0</v>
      </c>
      <c r="G241" s="7">
        <v>1.7179401E7</v>
      </c>
      <c r="H241" s="7">
        <v>1.023516463E9</v>
      </c>
      <c r="I241" s="7">
        <v>502055.0</v>
      </c>
      <c r="J241" s="7">
        <v>492675.0</v>
      </c>
      <c r="K241" s="7">
        <v>9380.0</v>
      </c>
      <c r="L241" s="7">
        <v>38.5</v>
      </c>
      <c r="M241" s="7">
        <v>-0.08</v>
      </c>
      <c r="N241" s="7">
        <v>15730.0</v>
      </c>
      <c r="O241" s="7">
        <v>4262425.0</v>
      </c>
      <c r="P241" s="7" t="s">
        <v>409</v>
      </c>
      <c r="Q241" s="7">
        <v>3847.64</v>
      </c>
      <c r="R241" s="3">
        <f t="shared" si="1"/>
        <v>3847.64</v>
      </c>
    </row>
    <row r="242" ht="22.5" customHeight="1">
      <c r="B242" s="7" t="s">
        <v>242</v>
      </c>
      <c r="C242" s="7">
        <v>183200.0</v>
      </c>
      <c r="D242" s="7">
        <v>637206.0</v>
      </c>
      <c r="E242" s="7">
        <v>3242897.0</v>
      </c>
      <c r="F242" s="7">
        <v>3166094.0</v>
      </c>
      <c r="G242" s="7">
        <v>5.6676022E7</v>
      </c>
      <c r="H242" s="7">
        <v>1.5943492383E10</v>
      </c>
      <c r="I242" s="7">
        <v>109959.0</v>
      </c>
      <c r="J242" s="7">
        <v>104959.0</v>
      </c>
      <c r="K242" s="7">
        <v>5000.0</v>
      </c>
      <c r="L242" s="7">
        <v>73.96</v>
      </c>
      <c r="M242" s="7">
        <v>-0.09</v>
      </c>
      <c r="N242" s="7">
        <v>8672.0</v>
      </c>
      <c r="O242" s="7">
        <v>3808103.0</v>
      </c>
      <c r="P242" s="7" t="s">
        <v>409</v>
      </c>
      <c r="Q242" s="7">
        <v>3965.39</v>
      </c>
      <c r="R242" s="3">
        <f t="shared" si="1"/>
        <v>3965.39</v>
      </c>
    </row>
    <row r="243" ht="22.5" customHeight="1">
      <c r="B243" s="7" t="s">
        <v>221</v>
      </c>
      <c r="C243" s="7">
        <v>2425.0</v>
      </c>
      <c r="D243" s="7">
        <v>23064.0</v>
      </c>
      <c r="E243" s="7">
        <v>2.2224542E7</v>
      </c>
      <c r="F243" s="7">
        <v>2.2194594E7</v>
      </c>
      <c r="G243" s="7">
        <v>2.305941E7</v>
      </c>
      <c r="H243" s="7">
        <v>1.259808528E9</v>
      </c>
      <c r="I243" s="7">
        <v>779698.0</v>
      </c>
      <c r="J243" s="7">
        <v>744236.0</v>
      </c>
      <c r="K243" s="7">
        <v>35462.0</v>
      </c>
      <c r="L243" s="7">
        <v>19.92</v>
      </c>
      <c r="M243" s="7">
        <v>-0.01</v>
      </c>
      <c r="N243" s="7">
        <v>56760.0</v>
      </c>
      <c r="O243" s="7">
        <v>9385023.0</v>
      </c>
      <c r="P243" s="7" t="s">
        <v>410</v>
      </c>
      <c r="Q243" s="7">
        <v>3996.91</v>
      </c>
      <c r="R243" s="3">
        <f t="shared" si="1"/>
        <v>3996.91</v>
      </c>
    </row>
    <row r="244" ht="22.5" customHeight="1">
      <c r="B244" s="7" t="s">
        <v>147</v>
      </c>
      <c r="C244" s="7">
        <v>252328.0</v>
      </c>
      <c r="D244" s="7">
        <v>1169843.0</v>
      </c>
      <c r="E244" s="7">
        <v>5216774.0</v>
      </c>
      <c r="F244" s="7">
        <v>4976783.0</v>
      </c>
      <c r="G244" s="7">
        <v>4.759284E7</v>
      </c>
      <c r="H244" s="7">
        <v>7.936755561E9</v>
      </c>
      <c r="I244" s="7">
        <v>183187.0</v>
      </c>
      <c r="J244" s="7">
        <v>174989.0</v>
      </c>
      <c r="K244" s="7">
        <v>8198.0</v>
      </c>
      <c r="L244" s="7">
        <v>242.07</v>
      </c>
      <c r="M244" s="7">
        <v>-0.09</v>
      </c>
      <c r="N244" s="7">
        <v>13509.0</v>
      </c>
      <c r="O244" s="7">
        <v>3415447.0</v>
      </c>
      <c r="P244" s="7" t="s">
        <v>409</v>
      </c>
      <c r="Q244" s="7">
        <v>4107.73</v>
      </c>
      <c r="R244" s="3">
        <f t="shared" si="1"/>
        <v>4107.73</v>
      </c>
    </row>
    <row r="245" ht="22.5" customHeight="1">
      <c r="B245" s="7" t="s">
        <v>312</v>
      </c>
      <c r="C245" s="7">
        <v>2197.0</v>
      </c>
      <c r="D245" s="7">
        <v>26977.0</v>
      </c>
      <c r="E245" s="7">
        <v>2.8979902E7</v>
      </c>
      <c r="F245" s="7">
        <v>2.8822996E7</v>
      </c>
      <c r="G245" s="7">
        <v>3.172962E7</v>
      </c>
      <c r="H245" s="7">
        <v>3.33853564E8</v>
      </c>
      <c r="I245" s="7">
        <v>1159595.0</v>
      </c>
      <c r="J245" s="7">
        <v>1118731.0</v>
      </c>
      <c r="K245" s="7">
        <v>40864.0</v>
      </c>
      <c r="L245" s="7">
        <v>49.59</v>
      </c>
      <c r="M245" s="7">
        <v>-0.02</v>
      </c>
      <c r="N245" s="7">
        <v>62016.0</v>
      </c>
      <c r="O245" s="7">
        <v>1.5260067E7</v>
      </c>
      <c r="P245" s="7" t="s">
        <v>410</v>
      </c>
      <c r="Q245" s="7">
        <v>4298.26</v>
      </c>
      <c r="R245" s="3">
        <f t="shared" si="1"/>
        <v>4298.26</v>
      </c>
    </row>
    <row r="246" ht="22.5" customHeight="1">
      <c r="B246" s="7" t="s">
        <v>387</v>
      </c>
      <c r="C246" s="7">
        <v>103136.0</v>
      </c>
      <c r="D246" s="7">
        <v>4673415.0</v>
      </c>
      <c r="E246" s="7">
        <v>1065562.0</v>
      </c>
      <c r="F246" s="7">
        <v>1034808.0</v>
      </c>
      <c r="G246" s="7">
        <v>1935927.0</v>
      </c>
      <c r="H246" s="7">
        <v>5.244391571E9</v>
      </c>
      <c r="I246" s="7">
        <v>25859.0</v>
      </c>
      <c r="J246" s="7">
        <v>23926.0</v>
      </c>
      <c r="K246" s="7">
        <v>1933.0</v>
      </c>
      <c r="L246" s="7">
        <v>27.16</v>
      </c>
      <c r="M246" s="7">
        <v>-0.07</v>
      </c>
      <c r="N246" s="7">
        <v>3266.0</v>
      </c>
      <c r="O246" s="7">
        <v>475074.0</v>
      </c>
      <c r="P246" s="7" t="s">
        <v>410</v>
      </c>
      <c r="Q246" s="7">
        <v>4410.31</v>
      </c>
      <c r="R246" s="3">
        <f t="shared" si="1"/>
        <v>4410.31</v>
      </c>
    </row>
    <row r="247" ht="22.5" customHeight="1">
      <c r="B247" s="7" t="s">
        <v>218</v>
      </c>
      <c r="C247" s="7">
        <v>9582411.0</v>
      </c>
      <c r="D247" s="7">
        <v>4.6593859E7</v>
      </c>
      <c r="E247" s="7">
        <v>130409.0</v>
      </c>
      <c r="F247" s="7">
        <v>115273.0</v>
      </c>
      <c r="G247" s="7">
        <v>3.657972616E9</v>
      </c>
      <c r="H247" s="7">
        <v>7.080739131E9</v>
      </c>
      <c r="I247" s="7">
        <v>7524.0</v>
      </c>
      <c r="J247" s="7">
        <v>7482.0</v>
      </c>
      <c r="K247" s="7">
        <v>42.0</v>
      </c>
      <c r="L247" s="7">
        <v>107.17</v>
      </c>
      <c r="M247" s="7">
        <v>-0.24</v>
      </c>
      <c r="N247" s="7">
        <v>128.0</v>
      </c>
      <c r="O247" s="7">
        <v>3.581347413E9</v>
      </c>
      <c r="P247" s="7" t="s">
        <v>409</v>
      </c>
      <c r="Q247" s="7">
        <v>4495.94</v>
      </c>
      <c r="R247" s="3">
        <f t="shared" si="1"/>
        <v>4495.94</v>
      </c>
    </row>
    <row r="248" ht="22.5" customHeight="1">
      <c r="B248" s="7" t="s">
        <v>246</v>
      </c>
      <c r="C248" s="7">
        <v>2365527.0</v>
      </c>
      <c r="D248" s="7">
        <v>1.050804E7</v>
      </c>
      <c r="E248" s="7">
        <v>1014650.0</v>
      </c>
      <c r="F248" s="7">
        <v>1003215.0</v>
      </c>
      <c r="G248" s="7">
        <v>1635426.0</v>
      </c>
      <c r="H248" s="7">
        <v>3.826113086E9</v>
      </c>
      <c r="I248" s="7">
        <v>28858.0</v>
      </c>
      <c r="J248" s="7">
        <v>26845.0</v>
      </c>
      <c r="K248" s="7">
        <v>2013.0</v>
      </c>
      <c r="L248" s="7">
        <v>16.47</v>
      </c>
      <c r="M248" s="7">
        <v>-0.05</v>
      </c>
      <c r="N248" s="7">
        <v>3330.0</v>
      </c>
      <c r="O248" s="7">
        <v>294289.0</v>
      </c>
      <c r="P248" s="7" t="s">
        <v>410</v>
      </c>
      <c r="Q248" s="7">
        <v>4588.36</v>
      </c>
      <c r="R248" s="3">
        <f t="shared" si="1"/>
        <v>4588.36</v>
      </c>
    </row>
    <row r="249" ht="22.5" customHeight="1">
      <c r="B249" s="7" t="s">
        <v>392</v>
      </c>
      <c r="C249" s="7">
        <v>3515712.0</v>
      </c>
      <c r="D249" s="7">
        <v>7543854.0</v>
      </c>
      <c r="E249" s="7">
        <v>3065766.0</v>
      </c>
      <c r="F249" s="7">
        <v>2725368.0</v>
      </c>
      <c r="G249" s="7">
        <v>4.2822044E7</v>
      </c>
      <c r="H249" s="7">
        <v>3.994273359E9</v>
      </c>
      <c r="I249" s="7">
        <v>59867.0</v>
      </c>
      <c r="J249" s="7">
        <v>54531.0</v>
      </c>
      <c r="K249" s="7">
        <v>5336.0</v>
      </c>
      <c r="L249" s="7">
        <v>537.52</v>
      </c>
      <c r="M249" s="7">
        <v>-0.09</v>
      </c>
      <c r="N249" s="7">
        <v>8606.0</v>
      </c>
      <c r="O249" s="7">
        <v>5183233.0</v>
      </c>
      <c r="P249" s="7" t="s">
        <v>411</v>
      </c>
      <c r="Q249" s="7">
        <v>5001.9</v>
      </c>
      <c r="R249" s="3">
        <f t="shared" si="1"/>
        <v>10000</v>
      </c>
    </row>
    <row r="250" ht="22.5" customHeight="1">
      <c r="B250" s="7" t="s">
        <v>391</v>
      </c>
      <c r="C250" s="7">
        <v>3222736.0</v>
      </c>
      <c r="D250" s="7">
        <v>6910393.0</v>
      </c>
      <c r="E250" s="7">
        <v>2953077.0</v>
      </c>
      <c r="F250" s="7">
        <v>2634755.0</v>
      </c>
      <c r="G250" s="7">
        <v>3.7379297E7</v>
      </c>
      <c r="H250" s="7">
        <v>3.792015869E9</v>
      </c>
      <c r="I250" s="7">
        <v>58203.0</v>
      </c>
      <c r="J250" s="7">
        <v>53144.0</v>
      </c>
      <c r="K250" s="7">
        <v>5059.0</v>
      </c>
      <c r="L250" s="7">
        <v>595.77</v>
      </c>
      <c r="M250" s="7">
        <v>-0.08</v>
      </c>
      <c r="N250" s="7">
        <v>8105.0</v>
      </c>
      <c r="O250" s="7">
        <v>4472719.0</v>
      </c>
      <c r="P250" s="7" t="s">
        <v>411</v>
      </c>
      <c r="Q250" s="7">
        <v>5001.99</v>
      </c>
      <c r="R250" s="3">
        <f t="shared" si="1"/>
        <v>10000</v>
      </c>
    </row>
    <row r="251" ht="22.5" customHeight="1">
      <c r="B251" s="7" t="s">
        <v>375</v>
      </c>
      <c r="C251" s="7">
        <v>130928.0</v>
      </c>
      <c r="D251" s="7">
        <v>437704.0</v>
      </c>
      <c r="E251" s="7">
        <v>3.3926325E7</v>
      </c>
      <c r="F251" s="7">
        <v>3.3560722E7</v>
      </c>
      <c r="G251" s="7">
        <v>1.2940012E8</v>
      </c>
      <c r="H251" s="7">
        <v>4.786651743E9</v>
      </c>
      <c r="I251" s="7">
        <v>1843703.0</v>
      </c>
      <c r="J251" s="7">
        <v>1806775.0</v>
      </c>
      <c r="K251" s="7">
        <v>36928.0</v>
      </c>
      <c r="L251" s="7">
        <v>45.71</v>
      </c>
      <c r="M251" s="7">
        <v>-0.09</v>
      </c>
      <c r="N251" s="7">
        <v>60481.0</v>
      </c>
      <c r="O251" s="7">
        <v>1.7751186E7</v>
      </c>
      <c r="P251" s="7" t="s">
        <v>411</v>
      </c>
      <c r="Q251" s="7">
        <v>5002.97</v>
      </c>
      <c r="R251" s="3">
        <f t="shared" si="1"/>
        <v>10000</v>
      </c>
    </row>
    <row r="252" ht="22.5" customHeight="1">
      <c r="B252" s="7" t="s">
        <v>227</v>
      </c>
      <c r="C252" s="7">
        <v>895721.0</v>
      </c>
      <c r="D252" s="7">
        <v>1.768805E7</v>
      </c>
      <c r="E252" s="7">
        <v>3825440.0</v>
      </c>
      <c r="F252" s="7">
        <v>3729260.0</v>
      </c>
      <c r="G252" s="7">
        <v>9843028.0</v>
      </c>
      <c r="H252" s="7">
        <v>5.359536176E9</v>
      </c>
      <c r="I252" s="7">
        <v>109304.0</v>
      </c>
      <c r="J252" s="7">
        <v>102271.0</v>
      </c>
      <c r="K252" s="7">
        <v>7033.0</v>
      </c>
      <c r="L252" s="7">
        <v>25.06</v>
      </c>
      <c r="M252" s="7">
        <v>-0.09</v>
      </c>
      <c r="N252" s="7">
        <v>11842.0</v>
      </c>
      <c r="O252" s="7">
        <v>1761806.0</v>
      </c>
      <c r="P252" s="7" t="s">
        <v>411</v>
      </c>
      <c r="Q252" s="7">
        <v>5003.04</v>
      </c>
      <c r="R252" s="3">
        <f t="shared" si="1"/>
        <v>10000</v>
      </c>
    </row>
    <row r="253" ht="22.5" customHeight="1">
      <c r="B253" s="7" t="s">
        <v>309</v>
      </c>
      <c r="C253" s="7">
        <v>1534.0</v>
      </c>
      <c r="D253" s="7">
        <v>132295.0</v>
      </c>
      <c r="E253" s="7">
        <v>1.550132E7</v>
      </c>
      <c r="F253" s="7">
        <v>1.5153953E7</v>
      </c>
      <c r="G253" s="7">
        <v>2.3475824E7</v>
      </c>
      <c r="H253" s="7">
        <v>1.831120713E9</v>
      </c>
      <c r="I253" s="7">
        <v>302170.0</v>
      </c>
      <c r="J253" s="7">
        <v>271793.0</v>
      </c>
      <c r="K253" s="7">
        <v>30377.0</v>
      </c>
      <c r="L253" s="7">
        <v>77.33</v>
      </c>
      <c r="M253" s="7">
        <v>-0.04</v>
      </c>
      <c r="N253" s="7">
        <v>49927.0</v>
      </c>
      <c r="O253" s="7">
        <v>5549086.0</v>
      </c>
      <c r="P253" s="7" t="s">
        <v>411</v>
      </c>
      <c r="Q253" s="7">
        <v>5003.05</v>
      </c>
      <c r="R253" s="3">
        <f t="shared" si="1"/>
        <v>10000</v>
      </c>
    </row>
    <row r="254" ht="22.5" customHeight="1">
      <c r="B254" s="7" t="s">
        <v>316</v>
      </c>
      <c r="C254" s="7">
        <v>41961.0</v>
      </c>
      <c r="D254" s="7">
        <v>70118.0</v>
      </c>
      <c r="E254" s="7">
        <v>1.4583748E7</v>
      </c>
      <c r="F254" s="7">
        <v>1.4292069E7</v>
      </c>
      <c r="G254" s="7">
        <v>8.0075776E7</v>
      </c>
      <c r="H254" s="7">
        <v>2.506410125E9</v>
      </c>
      <c r="I254" s="7">
        <v>357189.0</v>
      </c>
      <c r="J254" s="7">
        <v>331172.0</v>
      </c>
      <c r="K254" s="7">
        <v>26017.0</v>
      </c>
      <c r="L254" s="7">
        <v>93.48</v>
      </c>
      <c r="M254" s="7">
        <v>-0.08</v>
      </c>
      <c r="N254" s="7">
        <v>43840.0</v>
      </c>
      <c r="O254" s="7">
        <v>9337344.0</v>
      </c>
      <c r="P254" s="7" t="s">
        <v>411</v>
      </c>
      <c r="Q254" s="7">
        <v>5003.13</v>
      </c>
      <c r="R254" s="3">
        <f t="shared" si="1"/>
        <v>10000</v>
      </c>
    </row>
    <row r="255" ht="22.5" customHeight="1">
      <c r="B255" s="7" t="s">
        <v>318</v>
      </c>
      <c r="C255" s="7">
        <v>111475.0</v>
      </c>
      <c r="D255" s="7">
        <v>138053.0</v>
      </c>
      <c r="E255" s="7">
        <v>1.7929951E7</v>
      </c>
      <c r="F255" s="7">
        <v>1.7510437E7</v>
      </c>
      <c r="G255" s="7">
        <v>1.64633618E8</v>
      </c>
      <c r="H255" s="7">
        <v>3.105324864E9</v>
      </c>
      <c r="I255" s="7">
        <v>514008.0</v>
      </c>
      <c r="J255" s="7">
        <v>484952.0</v>
      </c>
      <c r="K255" s="7">
        <v>29056.0</v>
      </c>
      <c r="L255" s="7">
        <v>76.45</v>
      </c>
      <c r="M255" s="7">
        <v>-0.11</v>
      </c>
      <c r="N255" s="7">
        <v>50426.0</v>
      </c>
      <c r="O255" s="7">
        <v>2.0390504E7</v>
      </c>
      <c r="P255" s="7" t="s">
        <v>411</v>
      </c>
      <c r="Q255" s="7">
        <v>5003.16</v>
      </c>
      <c r="R255" s="3">
        <f t="shared" si="1"/>
        <v>10000</v>
      </c>
    </row>
    <row r="256" ht="22.5" customHeight="1">
      <c r="B256" s="7" t="s">
        <v>396</v>
      </c>
      <c r="C256" s="7">
        <v>3646464.0</v>
      </c>
      <c r="D256" s="7">
        <v>7777501.0</v>
      </c>
      <c r="E256" s="7">
        <v>4329893.0</v>
      </c>
      <c r="F256" s="7">
        <v>3827744.0</v>
      </c>
      <c r="G256" s="7">
        <v>6.4283671E7</v>
      </c>
      <c r="H256" s="7">
        <v>5.211912296E9</v>
      </c>
      <c r="I256" s="7">
        <v>73303.0</v>
      </c>
      <c r="J256" s="7">
        <v>64589.0</v>
      </c>
      <c r="K256" s="7">
        <v>8714.0</v>
      </c>
      <c r="L256" s="7">
        <v>538.72</v>
      </c>
      <c r="M256" s="7">
        <v>-0.08</v>
      </c>
      <c r="N256" s="7">
        <v>13933.0</v>
      </c>
      <c r="O256" s="7">
        <v>7575723.0</v>
      </c>
      <c r="P256" s="7" t="s">
        <v>411</v>
      </c>
      <c r="Q256" s="7">
        <v>5003.2</v>
      </c>
      <c r="R256" s="3">
        <f t="shared" si="1"/>
        <v>10000</v>
      </c>
    </row>
    <row r="257" ht="22.5" customHeight="1">
      <c r="B257" s="7" t="s">
        <v>350</v>
      </c>
      <c r="C257" s="7">
        <v>26541.0</v>
      </c>
      <c r="D257" s="7">
        <v>117126.0</v>
      </c>
      <c r="E257" s="7">
        <v>2.2024346E7</v>
      </c>
      <c r="F257" s="7">
        <v>2.1644924E7</v>
      </c>
      <c r="G257" s="7">
        <v>1.85858866E8</v>
      </c>
      <c r="H257" s="7">
        <v>4.310521134E9</v>
      </c>
      <c r="I257" s="7">
        <v>861983.0</v>
      </c>
      <c r="J257" s="7">
        <v>832265.0</v>
      </c>
      <c r="K257" s="7">
        <v>29718.0</v>
      </c>
      <c r="L257" s="7">
        <v>71.5</v>
      </c>
      <c r="M257" s="7">
        <v>-0.12</v>
      </c>
      <c r="N257" s="7">
        <v>51099.0</v>
      </c>
      <c r="O257" s="7">
        <v>1.9255269E7</v>
      </c>
      <c r="P257" s="7" t="s">
        <v>411</v>
      </c>
      <c r="Q257" s="7">
        <v>5003.49</v>
      </c>
      <c r="R257" s="3">
        <f t="shared" si="1"/>
        <v>10000</v>
      </c>
    </row>
    <row r="258" ht="22.5" customHeight="1">
      <c r="B258" s="7" t="s">
        <v>394</v>
      </c>
      <c r="C258" s="7">
        <v>2430976.0</v>
      </c>
      <c r="D258" s="7">
        <v>5169846.0</v>
      </c>
      <c r="E258" s="7">
        <v>2882679.0</v>
      </c>
      <c r="F258" s="7">
        <v>2579849.0</v>
      </c>
      <c r="G258" s="7">
        <v>3.4963783E7</v>
      </c>
      <c r="H258" s="7">
        <v>3.335368482E9</v>
      </c>
      <c r="I258" s="7">
        <v>57804.0</v>
      </c>
      <c r="J258" s="7">
        <v>52980.0</v>
      </c>
      <c r="K258" s="7">
        <v>4824.0</v>
      </c>
      <c r="L258" s="7">
        <v>540.69</v>
      </c>
      <c r="M258" s="7">
        <v>-0.08</v>
      </c>
      <c r="N258" s="7">
        <v>7743.0</v>
      </c>
      <c r="O258" s="7">
        <v>4153492.0</v>
      </c>
      <c r="P258" s="7" t="s">
        <v>411</v>
      </c>
      <c r="Q258" s="7">
        <v>5003.59</v>
      </c>
      <c r="R258" s="3">
        <f t="shared" si="1"/>
        <v>10000</v>
      </c>
    </row>
    <row r="259" ht="22.5" customHeight="1">
      <c r="B259" s="7" t="s">
        <v>315</v>
      </c>
      <c r="C259" s="7">
        <v>505648.0</v>
      </c>
      <c r="D259" s="7">
        <v>1677281.0</v>
      </c>
      <c r="E259" s="7">
        <v>1330138.0</v>
      </c>
      <c r="F259" s="7">
        <v>1293057.0</v>
      </c>
      <c r="G259" s="7">
        <v>4.9292662E7</v>
      </c>
      <c r="H259" s="7">
        <v>1.5824159183E10</v>
      </c>
      <c r="I259" s="7">
        <v>58023.0</v>
      </c>
      <c r="J259" s="7">
        <v>56343.0</v>
      </c>
      <c r="K259" s="7">
        <v>1680.0</v>
      </c>
      <c r="L259" s="7">
        <v>69.37</v>
      </c>
      <c r="M259" s="7">
        <v>-0.12</v>
      </c>
      <c r="N259" s="7">
        <v>3017.0</v>
      </c>
      <c r="O259" s="7">
        <v>2823648.0</v>
      </c>
      <c r="P259" s="7" t="s">
        <v>411</v>
      </c>
      <c r="Q259" s="7">
        <v>5003.6</v>
      </c>
      <c r="R259" s="3">
        <f t="shared" si="1"/>
        <v>10000</v>
      </c>
    </row>
    <row r="260" ht="22.5" customHeight="1">
      <c r="B260" s="7" t="s">
        <v>325</v>
      </c>
      <c r="C260" s="7">
        <v>126152.0</v>
      </c>
      <c r="D260" s="7">
        <v>1297025.0</v>
      </c>
      <c r="E260" s="7">
        <v>6152278.0</v>
      </c>
      <c r="F260" s="7">
        <v>4023540.0</v>
      </c>
      <c r="G260" s="7">
        <v>3.31463181E8</v>
      </c>
      <c r="H260" s="7">
        <v>1.0934414411E10</v>
      </c>
      <c r="I260" s="7">
        <v>147374.0</v>
      </c>
      <c r="J260" s="7">
        <v>141976.0</v>
      </c>
      <c r="K260" s="7">
        <v>5398.0</v>
      </c>
      <c r="L260" s="7">
        <v>525.61</v>
      </c>
      <c r="M260" s="7">
        <v>-0.18</v>
      </c>
      <c r="N260" s="7">
        <v>10551.0</v>
      </c>
      <c r="O260" s="7">
        <v>3.7591101E7</v>
      </c>
      <c r="P260" s="7" t="s">
        <v>411</v>
      </c>
      <c r="Q260" s="7">
        <v>5003.62</v>
      </c>
      <c r="R260" s="3">
        <f t="shared" si="1"/>
        <v>10000</v>
      </c>
    </row>
    <row r="261" ht="22.5" customHeight="1">
      <c r="B261" s="7" t="s">
        <v>393</v>
      </c>
      <c r="C261" s="7">
        <v>172512.0</v>
      </c>
      <c r="D261" s="7">
        <v>1477968.0</v>
      </c>
      <c r="E261" s="7">
        <v>3479154.0</v>
      </c>
      <c r="F261" s="7">
        <v>3032241.0</v>
      </c>
      <c r="G261" s="7">
        <v>3.7854735E7</v>
      </c>
      <c r="H261" s="7">
        <v>9.907172543E9</v>
      </c>
      <c r="I261" s="7">
        <v>57896.0</v>
      </c>
      <c r="J261" s="7">
        <v>51455.0</v>
      </c>
      <c r="K261" s="7">
        <v>6441.0</v>
      </c>
      <c r="L261" s="7">
        <v>720.09</v>
      </c>
      <c r="M261" s="7">
        <v>-0.08</v>
      </c>
      <c r="N261" s="7">
        <v>10507.0</v>
      </c>
      <c r="O261" s="7">
        <v>3402567.0</v>
      </c>
      <c r="P261" s="7" t="s">
        <v>411</v>
      </c>
      <c r="Q261" s="7">
        <v>5003.62</v>
      </c>
      <c r="R261" s="3">
        <f t="shared" si="1"/>
        <v>10000</v>
      </c>
    </row>
    <row r="262" ht="22.5" customHeight="1">
      <c r="B262" s="7" t="s">
        <v>219</v>
      </c>
      <c r="C262" s="7">
        <v>489685.0</v>
      </c>
      <c r="D262" s="7">
        <v>8702447.0</v>
      </c>
      <c r="E262" s="7">
        <v>2055805.0</v>
      </c>
      <c r="F262" s="7">
        <v>1625104.0</v>
      </c>
      <c r="G262" s="7">
        <v>2.2585173E7</v>
      </c>
      <c r="H262" s="7">
        <v>1.1845804759E10</v>
      </c>
      <c r="I262" s="7">
        <v>41477.0</v>
      </c>
      <c r="J262" s="7">
        <v>39469.0</v>
      </c>
      <c r="K262" s="7">
        <v>2008.0</v>
      </c>
      <c r="L262" s="7">
        <v>1208.81</v>
      </c>
      <c r="M262" s="7">
        <v>-0.08</v>
      </c>
      <c r="N262" s="7">
        <v>3315.0</v>
      </c>
      <c r="O262" s="7">
        <v>4048644.0</v>
      </c>
      <c r="P262" s="7" t="s">
        <v>411</v>
      </c>
      <c r="Q262" s="7">
        <v>5003.65</v>
      </c>
      <c r="R262" s="3">
        <f t="shared" si="1"/>
        <v>10000</v>
      </c>
    </row>
    <row r="263" ht="22.5" customHeight="1">
      <c r="B263" s="7" t="s">
        <v>310</v>
      </c>
      <c r="C263" s="7">
        <v>32402.0</v>
      </c>
      <c r="D263" s="7">
        <v>97364.0</v>
      </c>
      <c r="E263" s="7">
        <v>4097064.0</v>
      </c>
      <c r="F263" s="7">
        <v>4086794.0</v>
      </c>
      <c r="G263" s="7">
        <v>4421720.0</v>
      </c>
      <c r="H263" s="7">
        <v>8.208759479E9</v>
      </c>
      <c r="I263" s="7">
        <v>86053.0</v>
      </c>
      <c r="J263" s="7">
        <v>76667.0</v>
      </c>
      <c r="K263" s="7">
        <v>9386.0</v>
      </c>
      <c r="L263" s="7">
        <v>54.57</v>
      </c>
      <c r="M263" s="7">
        <v>-0.01</v>
      </c>
      <c r="N263" s="7">
        <v>14704.0</v>
      </c>
      <c r="O263" s="7">
        <v>1165636.0</v>
      </c>
      <c r="P263" s="7" t="s">
        <v>411</v>
      </c>
      <c r="Q263" s="7">
        <v>5003.68</v>
      </c>
      <c r="R263" s="3">
        <f t="shared" si="1"/>
        <v>10000</v>
      </c>
    </row>
    <row r="264" ht="22.5" customHeight="1">
      <c r="B264" s="7" t="s">
        <v>379</v>
      </c>
      <c r="C264" s="7">
        <v>7916927.0</v>
      </c>
      <c r="D264" s="7">
        <v>3.2591905E7</v>
      </c>
      <c r="E264" s="7">
        <v>3703339.0</v>
      </c>
      <c r="F264" s="7">
        <v>3596334.0</v>
      </c>
      <c r="G264" s="7">
        <v>2.0766064E7</v>
      </c>
      <c r="H264" s="7">
        <v>3.526344518E9</v>
      </c>
      <c r="I264" s="7">
        <v>139709.0</v>
      </c>
      <c r="J264" s="7">
        <v>134635.0</v>
      </c>
      <c r="K264" s="7">
        <v>5074.0</v>
      </c>
      <c r="L264" s="7">
        <v>26.37</v>
      </c>
      <c r="M264" s="7">
        <v>-0.14</v>
      </c>
      <c r="N264" s="7">
        <v>9674.0</v>
      </c>
      <c r="O264" s="7">
        <v>2525389.0</v>
      </c>
      <c r="P264" s="7" t="s">
        <v>411</v>
      </c>
      <c r="Q264" s="7">
        <v>5003.7</v>
      </c>
      <c r="R264" s="3">
        <f t="shared" si="1"/>
        <v>10000</v>
      </c>
    </row>
    <row r="265" ht="22.5" customHeight="1">
      <c r="B265" s="7" t="s">
        <v>354</v>
      </c>
      <c r="C265" s="7">
        <v>26541.0</v>
      </c>
      <c r="D265" s="7">
        <v>117126.0</v>
      </c>
      <c r="E265" s="7">
        <v>2.0009768E7</v>
      </c>
      <c r="F265" s="7">
        <v>1.9670332E7</v>
      </c>
      <c r="G265" s="7">
        <v>1.66767906E8</v>
      </c>
      <c r="H265" s="7">
        <v>3.943213259E9</v>
      </c>
      <c r="I265" s="7">
        <v>784387.0</v>
      </c>
      <c r="J265" s="7">
        <v>754367.0</v>
      </c>
      <c r="K265" s="7">
        <v>30020.0</v>
      </c>
      <c r="L265" s="7">
        <v>74.0</v>
      </c>
      <c r="M265" s="7">
        <v>-0.12</v>
      </c>
      <c r="N265" s="7">
        <v>51395.0</v>
      </c>
      <c r="O265" s="7">
        <v>1.5242617E7</v>
      </c>
      <c r="P265" s="7" t="s">
        <v>411</v>
      </c>
      <c r="Q265" s="7">
        <v>5003.71</v>
      </c>
      <c r="R265" s="3">
        <f t="shared" si="1"/>
        <v>10000</v>
      </c>
    </row>
    <row r="266" ht="22.5" customHeight="1">
      <c r="B266" s="7" t="s">
        <v>150</v>
      </c>
      <c r="C266" s="7">
        <v>77824.0</v>
      </c>
      <c r="D266" s="7">
        <v>282013.0</v>
      </c>
      <c r="E266" s="7">
        <v>6635148.0</v>
      </c>
      <c r="F266" s="7">
        <v>6474583.0</v>
      </c>
      <c r="G266" s="7">
        <v>8.7490913E7</v>
      </c>
      <c r="H266" s="7">
        <v>1.9760759916E10</v>
      </c>
      <c r="I266" s="7">
        <v>248899.0</v>
      </c>
      <c r="J266" s="7">
        <v>241424.0</v>
      </c>
      <c r="K266" s="7">
        <v>7475.0</v>
      </c>
      <c r="L266" s="7">
        <v>78.35</v>
      </c>
      <c r="M266" s="7">
        <v>-0.1</v>
      </c>
      <c r="N266" s="7">
        <v>12810.0</v>
      </c>
      <c r="O266" s="7">
        <v>7692187.0</v>
      </c>
      <c r="P266" s="7" t="s">
        <v>411</v>
      </c>
      <c r="Q266" s="7">
        <v>5003.74</v>
      </c>
      <c r="R266" s="3">
        <f t="shared" si="1"/>
        <v>10000</v>
      </c>
    </row>
    <row r="267" ht="22.5" customHeight="1">
      <c r="B267" s="7" t="s">
        <v>276</v>
      </c>
      <c r="C267" s="7">
        <v>293123.0</v>
      </c>
      <c r="D267" s="7">
        <v>943087.0</v>
      </c>
      <c r="E267" s="7">
        <v>3899243.0</v>
      </c>
      <c r="F267" s="7">
        <v>3778639.0</v>
      </c>
      <c r="G267" s="7">
        <v>1.89052E7</v>
      </c>
      <c r="H267" s="7">
        <v>1.3452280769E10</v>
      </c>
      <c r="I267" s="7">
        <v>107058.0</v>
      </c>
      <c r="J267" s="7">
        <v>99100.0</v>
      </c>
      <c r="K267" s="7">
        <v>7958.0</v>
      </c>
      <c r="L267" s="7">
        <v>125.07</v>
      </c>
      <c r="M267" s="7">
        <v>-0.12</v>
      </c>
      <c r="N267" s="7">
        <v>12892.0</v>
      </c>
      <c r="O267" s="7">
        <v>3861704.0</v>
      </c>
      <c r="P267" s="7" t="s">
        <v>411</v>
      </c>
      <c r="Q267" s="7">
        <v>5003.76</v>
      </c>
      <c r="R267" s="3">
        <f t="shared" si="1"/>
        <v>10000</v>
      </c>
    </row>
    <row r="268" ht="22.5" customHeight="1">
      <c r="B268" s="7" t="s">
        <v>306</v>
      </c>
      <c r="C268" s="7">
        <v>5702.0</v>
      </c>
      <c r="D268" s="7">
        <v>17010.0</v>
      </c>
      <c r="E268" s="7">
        <v>1.1138604E7</v>
      </c>
      <c r="F268" s="7">
        <v>1.1029028E7</v>
      </c>
      <c r="G268" s="7">
        <v>1.5139193E7</v>
      </c>
      <c r="H268" s="7">
        <v>1.809658785E9</v>
      </c>
      <c r="I268" s="7">
        <v>520079.0</v>
      </c>
      <c r="J268" s="7">
        <v>501996.0</v>
      </c>
      <c r="K268" s="7">
        <v>18083.0</v>
      </c>
      <c r="L268" s="7">
        <v>61.54</v>
      </c>
      <c r="M268" s="7">
        <v>-0.03</v>
      </c>
      <c r="N268" s="7">
        <v>29149.0</v>
      </c>
      <c r="O268" s="7">
        <v>4077102.0</v>
      </c>
      <c r="P268" s="7" t="s">
        <v>411</v>
      </c>
      <c r="Q268" s="7">
        <v>5003.76</v>
      </c>
      <c r="R268" s="3">
        <f t="shared" si="1"/>
        <v>10000</v>
      </c>
    </row>
    <row r="269" ht="22.5" customHeight="1">
      <c r="B269" s="7" t="s">
        <v>388</v>
      </c>
      <c r="C269" s="7">
        <v>9188.0</v>
      </c>
      <c r="D269" s="7">
        <v>81017.0</v>
      </c>
      <c r="E269" s="7">
        <v>9632170.0</v>
      </c>
      <c r="F269" s="7">
        <v>9491743.0</v>
      </c>
      <c r="G269" s="7">
        <v>2.4153515E7</v>
      </c>
      <c r="H269" s="7">
        <v>1.540087892E9</v>
      </c>
      <c r="I269" s="7">
        <v>392754.0</v>
      </c>
      <c r="J269" s="7">
        <v>380454.0</v>
      </c>
      <c r="K269" s="7">
        <v>12300.0</v>
      </c>
      <c r="L269" s="7">
        <v>29.74</v>
      </c>
      <c r="M269" s="7">
        <v>-0.08</v>
      </c>
      <c r="N269" s="7">
        <v>20448.0</v>
      </c>
      <c r="O269" s="7">
        <v>5192205.0</v>
      </c>
      <c r="P269" s="7" t="s">
        <v>411</v>
      </c>
      <c r="Q269" s="7">
        <v>5003.76</v>
      </c>
      <c r="R269" s="3">
        <f t="shared" si="1"/>
        <v>10000</v>
      </c>
    </row>
    <row r="270" ht="22.5" customHeight="1">
      <c r="B270" s="7" t="s">
        <v>238</v>
      </c>
      <c r="C270" s="7">
        <v>14665.0</v>
      </c>
      <c r="D270" s="7">
        <v>34976.0</v>
      </c>
      <c r="E270" s="7">
        <v>5.6817732E7</v>
      </c>
      <c r="F270" s="7">
        <v>5.0098629E7</v>
      </c>
      <c r="G270" s="7">
        <v>3.78009663E8</v>
      </c>
      <c r="H270" s="7">
        <v>3.045794145E9</v>
      </c>
      <c r="I270" s="7">
        <v>592242.0</v>
      </c>
      <c r="J270" s="7">
        <v>446961.0</v>
      </c>
      <c r="K270" s="7">
        <v>145281.0</v>
      </c>
      <c r="L270" s="7">
        <v>42.1</v>
      </c>
      <c r="M270" s="7">
        <v>-0.04</v>
      </c>
      <c r="N270" s="7">
        <v>211760.0</v>
      </c>
      <c r="O270" s="7">
        <v>4.1403652E7</v>
      </c>
      <c r="P270" s="7" t="s">
        <v>411</v>
      </c>
      <c r="Q270" s="7">
        <v>5003.77</v>
      </c>
      <c r="R270" s="3">
        <f t="shared" si="1"/>
        <v>10000</v>
      </c>
    </row>
    <row r="271" ht="22.5" customHeight="1">
      <c r="B271" s="7" t="s">
        <v>317</v>
      </c>
      <c r="C271" s="7">
        <v>70675.0</v>
      </c>
      <c r="D271" s="7">
        <v>106388.0</v>
      </c>
      <c r="E271" s="7">
        <v>1.7658306E7</v>
      </c>
      <c r="F271" s="7">
        <v>1.7265796E7</v>
      </c>
      <c r="G271" s="7">
        <v>1.29746541E8</v>
      </c>
      <c r="H271" s="7">
        <v>2.750128608E9</v>
      </c>
      <c r="I271" s="7">
        <v>476724.0</v>
      </c>
      <c r="J271" s="7">
        <v>446979.0</v>
      </c>
      <c r="K271" s="7">
        <v>29745.0</v>
      </c>
      <c r="L271" s="7">
        <v>81.12</v>
      </c>
      <c r="M271" s="7">
        <v>-0.1</v>
      </c>
      <c r="N271" s="7">
        <v>51101.0</v>
      </c>
      <c r="O271" s="7">
        <v>1.5183937E7</v>
      </c>
      <c r="P271" s="7" t="s">
        <v>411</v>
      </c>
      <c r="Q271" s="7">
        <v>5003.77</v>
      </c>
      <c r="R271" s="3">
        <f t="shared" si="1"/>
        <v>10000</v>
      </c>
    </row>
    <row r="272" ht="22.5" customHeight="1">
      <c r="B272" s="7" t="s">
        <v>249</v>
      </c>
      <c r="C272" s="7">
        <v>351053.0</v>
      </c>
      <c r="D272" s="7">
        <v>1039313.0</v>
      </c>
      <c r="E272" s="7">
        <v>1170050.0</v>
      </c>
      <c r="F272" s="7">
        <v>1152362.0</v>
      </c>
      <c r="G272" s="7">
        <v>5542039.0</v>
      </c>
      <c r="H272" s="7">
        <v>1.1113850456E10</v>
      </c>
      <c r="I272" s="7">
        <v>51227.0</v>
      </c>
      <c r="J272" s="7">
        <v>48998.0</v>
      </c>
      <c r="K272" s="7">
        <v>2229.0</v>
      </c>
      <c r="L272" s="7">
        <v>65.4</v>
      </c>
      <c r="M272" s="7">
        <v>-0.08</v>
      </c>
      <c r="N272" s="7">
        <v>3559.0</v>
      </c>
      <c r="O272" s="7">
        <v>502614.0</v>
      </c>
      <c r="P272" s="7" t="s">
        <v>411</v>
      </c>
      <c r="Q272" s="7">
        <v>5003.77</v>
      </c>
      <c r="R272" s="3">
        <f t="shared" si="1"/>
        <v>10000</v>
      </c>
    </row>
    <row r="273" ht="22.5" customHeight="1">
      <c r="B273" s="7" t="s">
        <v>342</v>
      </c>
      <c r="C273" s="7">
        <v>26541.0</v>
      </c>
      <c r="D273" s="7">
        <v>117126.0</v>
      </c>
      <c r="E273" s="7">
        <v>2.4537909E7</v>
      </c>
      <c r="F273" s="7">
        <v>2.4111961E7</v>
      </c>
      <c r="G273" s="7">
        <v>2.22211768E8</v>
      </c>
      <c r="H273" s="7">
        <v>4.744569149E9</v>
      </c>
      <c r="I273" s="7">
        <v>1073473.0</v>
      </c>
      <c r="J273" s="7">
        <v>1044152.0</v>
      </c>
      <c r="K273" s="7">
        <v>29321.0</v>
      </c>
      <c r="L273" s="7">
        <v>65.8</v>
      </c>
      <c r="M273" s="7">
        <v>-0.13</v>
      </c>
      <c r="N273" s="7">
        <v>50710.0</v>
      </c>
      <c r="O273" s="7">
        <v>2.3160393E7</v>
      </c>
      <c r="P273" s="7" t="s">
        <v>411</v>
      </c>
      <c r="Q273" s="7">
        <v>5003.77</v>
      </c>
      <c r="R273" s="3">
        <f t="shared" si="1"/>
        <v>10000</v>
      </c>
    </row>
    <row r="274" ht="22.5" customHeight="1">
      <c r="B274" s="7" t="s">
        <v>397</v>
      </c>
      <c r="C274" s="7">
        <v>3651.0</v>
      </c>
      <c r="D274" s="7">
        <v>926696.0</v>
      </c>
      <c r="E274" s="7">
        <v>1.1885056E7</v>
      </c>
      <c r="F274" s="7">
        <v>1.1672477E7</v>
      </c>
      <c r="G274" s="7">
        <v>1.4579033E7</v>
      </c>
      <c r="H274" s="7">
        <v>1.509282527E9</v>
      </c>
      <c r="I274" s="7">
        <v>275912.0</v>
      </c>
      <c r="J274" s="7">
        <v>253086.0</v>
      </c>
      <c r="K274" s="7">
        <v>22826.0</v>
      </c>
      <c r="L274" s="7">
        <v>229.34</v>
      </c>
      <c r="M274" s="7">
        <v>-0.03</v>
      </c>
      <c r="N274" s="7">
        <v>35261.0</v>
      </c>
      <c r="O274" s="7">
        <v>5397462.0</v>
      </c>
      <c r="P274" s="7" t="s">
        <v>411</v>
      </c>
      <c r="Q274" s="7">
        <v>5003.77</v>
      </c>
      <c r="R274" s="3">
        <f t="shared" si="1"/>
        <v>10000</v>
      </c>
    </row>
    <row r="275" ht="22.5" customHeight="1">
      <c r="B275" s="7" t="s">
        <v>361</v>
      </c>
      <c r="C275" s="7">
        <v>164158.0</v>
      </c>
      <c r="D275" s="7">
        <v>717440.0</v>
      </c>
      <c r="E275" s="7">
        <v>1.0145114E7</v>
      </c>
      <c r="F275" s="7">
        <v>9757863.0</v>
      </c>
      <c r="G275" s="7">
        <v>5.998739E7</v>
      </c>
      <c r="H275" s="7">
        <v>6.402286037E9</v>
      </c>
      <c r="I275" s="7">
        <v>372164.0</v>
      </c>
      <c r="J275" s="7">
        <v>357713.0</v>
      </c>
      <c r="K275" s="7">
        <v>14451.0</v>
      </c>
      <c r="L275" s="7">
        <v>158.85</v>
      </c>
      <c r="M275" s="7">
        <v>-0.07</v>
      </c>
      <c r="N275" s="7">
        <v>23549.0</v>
      </c>
      <c r="O275" s="7">
        <v>5036115.0</v>
      </c>
      <c r="P275" s="7" t="s">
        <v>411</v>
      </c>
      <c r="Q275" s="7">
        <v>5003.78</v>
      </c>
      <c r="R275" s="3">
        <f t="shared" si="1"/>
        <v>10000</v>
      </c>
    </row>
    <row r="276" ht="22.5" customHeight="1">
      <c r="B276" s="7" t="s">
        <v>368</v>
      </c>
      <c r="C276" s="7">
        <v>2058.0</v>
      </c>
      <c r="D276" s="7">
        <v>133055.0</v>
      </c>
      <c r="E276" s="7">
        <v>1.8189478E7</v>
      </c>
      <c r="F276" s="7">
        <v>1.7938258E7</v>
      </c>
      <c r="G276" s="7">
        <v>3.8859412E7</v>
      </c>
      <c r="H276" s="7">
        <v>1.506052005E9</v>
      </c>
      <c r="I276" s="7">
        <v>584785.0</v>
      </c>
      <c r="J276" s="7">
        <v>551334.0</v>
      </c>
      <c r="K276" s="7">
        <v>33451.0</v>
      </c>
      <c r="L276" s="7">
        <v>39.23</v>
      </c>
      <c r="M276" s="7">
        <v>-0.06</v>
      </c>
      <c r="N276" s="7">
        <v>54738.0</v>
      </c>
      <c r="O276" s="7">
        <v>6151991.0</v>
      </c>
      <c r="P276" s="7" t="s">
        <v>411</v>
      </c>
      <c r="Q276" s="7">
        <v>5003.78</v>
      </c>
      <c r="R276" s="3">
        <f t="shared" si="1"/>
        <v>10000</v>
      </c>
    </row>
    <row r="277" ht="22.5" customHeight="1">
      <c r="B277" s="7" t="s">
        <v>277</v>
      </c>
      <c r="C277" s="7">
        <v>21734.0</v>
      </c>
      <c r="D277" s="7">
        <v>78990.0</v>
      </c>
      <c r="E277" s="7">
        <v>1.9387245E7</v>
      </c>
      <c r="F277" s="7">
        <v>1.9114176E7</v>
      </c>
      <c r="G277" s="7">
        <v>6.9671183E7</v>
      </c>
      <c r="H277" s="7">
        <v>3.520367256E9</v>
      </c>
      <c r="I277" s="7">
        <v>728707.0</v>
      </c>
      <c r="J277" s="7">
        <v>696039.0</v>
      </c>
      <c r="K277" s="7">
        <v>32668.0</v>
      </c>
      <c r="L277" s="7">
        <v>56.31</v>
      </c>
      <c r="M277" s="7">
        <v>-0.09</v>
      </c>
      <c r="N277" s="7">
        <v>53982.0</v>
      </c>
      <c r="O277" s="7">
        <v>9531721.0</v>
      </c>
      <c r="P277" s="7" t="s">
        <v>411</v>
      </c>
      <c r="Q277" s="7">
        <v>5003.79</v>
      </c>
      <c r="R277" s="3">
        <f t="shared" si="1"/>
        <v>10000</v>
      </c>
    </row>
    <row r="278" ht="22.5" customHeight="1">
      <c r="B278" s="7" t="s">
        <v>308</v>
      </c>
      <c r="C278" s="7">
        <v>39544.0</v>
      </c>
      <c r="D278" s="7">
        <v>294276.0</v>
      </c>
      <c r="E278" s="7">
        <v>1.7130298E7</v>
      </c>
      <c r="F278" s="7">
        <v>1.6729798E7</v>
      </c>
      <c r="G278" s="7">
        <v>4.4279508E7</v>
      </c>
      <c r="H278" s="7">
        <v>3.262606032E9</v>
      </c>
      <c r="I278" s="7">
        <v>519010.0</v>
      </c>
      <c r="J278" s="7">
        <v>486473.0</v>
      </c>
      <c r="K278" s="7">
        <v>32537.0</v>
      </c>
      <c r="L278" s="7">
        <v>24.81</v>
      </c>
      <c r="M278" s="7">
        <v>-0.09</v>
      </c>
      <c r="N278" s="7">
        <v>53854.0</v>
      </c>
      <c r="O278" s="7">
        <v>8017263.0</v>
      </c>
      <c r="P278" s="7" t="s">
        <v>411</v>
      </c>
      <c r="Q278" s="7">
        <v>5003.79</v>
      </c>
      <c r="R278" s="3">
        <f t="shared" si="1"/>
        <v>10000</v>
      </c>
    </row>
    <row r="279" ht="22.5" customHeight="1">
      <c r="B279" s="7" t="s">
        <v>311</v>
      </c>
      <c r="C279" s="7">
        <v>69641.0</v>
      </c>
      <c r="D279" s="7">
        <v>226367.0</v>
      </c>
      <c r="E279" s="7">
        <v>1707409.0</v>
      </c>
      <c r="F279" s="7">
        <v>1687614.0</v>
      </c>
      <c r="G279" s="7">
        <v>4573912.0</v>
      </c>
      <c r="H279" s="7">
        <v>7.335568632E9</v>
      </c>
      <c r="I279" s="7">
        <v>73443.0</v>
      </c>
      <c r="J279" s="7">
        <v>71054.0</v>
      </c>
      <c r="K279" s="7">
        <v>2389.0</v>
      </c>
      <c r="L279" s="7">
        <v>107.42</v>
      </c>
      <c r="M279" s="7">
        <v>-0.06</v>
      </c>
      <c r="N279" s="7">
        <v>3716.0</v>
      </c>
      <c r="O279" s="7">
        <v>986700.0</v>
      </c>
      <c r="P279" s="7" t="s">
        <v>411</v>
      </c>
      <c r="Q279" s="7">
        <v>5003.79</v>
      </c>
      <c r="R279" s="3">
        <f t="shared" si="1"/>
        <v>10000</v>
      </c>
    </row>
    <row r="280" ht="22.5" customHeight="1">
      <c r="B280" s="7" t="s">
        <v>314</v>
      </c>
      <c r="C280" s="7">
        <v>370944.0</v>
      </c>
      <c r="D280" s="7">
        <v>1254550.0</v>
      </c>
      <c r="E280" s="7">
        <v>2832593.0</v>
      </c>
      <c r="F280" s="7">
        <v>2761776.0</v>
      </c>
      <c r="G280" s="7">
        <v>7.701967E7</v>
      </c>
      <c r="H280" s="7">
        <v>2.4379957863E10</v>
      </c>
      <c r="I280" s="7">
        <v>108977.0</v>
      </c>
      <c r="J280" s="7">
        <v>105193.0</v>
      </c>
      <c r="K280" s="7">
        <v>3784.0</v>
      </c>
      <c r="L280" s="7">
        <v>72.01</v>
      </c>
      <c r="M280" s="7">
        <v>-0.1</v>
      </c>
      <c r="N280" s="7">
        <v>6657.0</v>
      </c>
      <c r="O280" s="7">
        <v>4990040.0</v>
      </c>
      <c r="P280" s="7" t="s">
        <v>411</v>
      </c>
      <c r="Q280" s="7">
        <v>5003.79</v>
      </c>
      <c r="R280" s="3">
        <f t="shared" si="1"/>
        <v>10000</v>
      </c>
    </row>
    <row r="281" ht="22.5" customHeight="1">
      <c r="B281" s="7" t="s">
        <v>320</v>
      </c>
      <c r="C281" s="7">
        <v>243955.0</v>
      </c>
      <c r="D281" s="7">
        <v>213707.0</v>
      </c>
      <c r="E281" s="7">
        <v>1.7122169E7</v>
      </c>
      <c r="F281" s="7">
        <v>1.6706624E7</v>
      </c>
      <c r="G281" s="7">
        <v>2.1196507E8</v>
      </c>
      <c r="H281" s="7">
        <v>3.562910183E9</v>
      </c>
      <c r="I281" s="7">
        <v>494976.0</v>
      </c>
      <c r="J281" s="7">
        <v>467308.0</v>
      </c>
      <c r="K281" s="7">
        <v>27668.0</v>
      </c>
      <c r="L281" s="7">
        <v>75.8</v>
      </c>
      <c r="M281" s="7">
        <v>-0.12</v>
      </c>
      <c r="N281" s="7">
        <v>49065.0</v>
      </c>
      <c r="O281" s="7">
        <v>2.8836947E7</v>
      </c>
      <c r="P281" s="7" t="s">
        <v>411</v>
      </c>
      <c r="Q281" s="7">
        <v>5003.79</v>
      </c>
      <c r="R281" s="3">
        <f t="shared" si="1"/>
        <v>10000</v>
      </c>
    </row>
    <row r="282" ht="22.5" customHeight="1">
      <c r="B282" s="7" t="s">
        <v>322</v>
      </c>
      <c r="C282" s="7">
        <v>141985.0</v>
      </c>
      <c r="D282" s="7">
        <v>634173.0</v>
      </c>
      <c r="E282" s="7">
        <v>1.2153634E7</v>
      </c>
      <c r="F282" s="7">
        <v>1.1899289E7</v>
      </c>
      <c r="G282" s="7">
        <v>5.1895172E7</v>
      </c>
      <c r="H282" s="7">
        <v>7.338537746E9</v>
      </c>
      <c r="I282" s="7">
        <v>494199.0</v>
      </c>
      <c r="J282" s="7">
        <v>475508.0</v>
      </c>
      <c r="K282" s="7">
        <v>18691.0</v>
      </c>
      <c r="L282" s="7">
        <v>63.18</v>
      </c>
      <c r="M282" s="7">
        <v>-0.11</v>
      </c>
      <c r="N282" s="7">
        <v>31762.0</v>
      </c>
      <c r="O282" s="7">
        <v>7170675.0</v>
      </c>
      <c r="P282" s="7" t="s">
        <v>411</v>
      </c>
      <c r="Q282" s="7">
        <v>5003.79</v>
      </c>
      <c r="R282" s="3">
        <f t="shared" si="1"/>
        <v>10000</v>
      </c>
    </row>
    <row r="283" ht="22.5" customHeight="1">
      <c r="B283" s="7" t="s">
        <v>324</v>
      </c>
      <c r="C283" s="7">
        <v>81119.0</v>
      </c>
      <c r="D283" s="7">
        <v>804926.0</v>
      </c>
      <c r="E283" s="7">
        <v>6776072.0</v>
      </c>
      <c r="F283" s="7">
        <v>4689965.0</v>
      </c>
      <c r="G283" s="7">
        <v>3.13547329E8</v>
      </c>
      <c r="H283" s="7">
        <v>9.610790156E9</v>
      </c>
      <c r="I283" s="7">
        <v>188206.0</v>
      </c>
      <c r="J283" s="7">
        <v>182593.0</v>
      </c>
      <c r="K283" s="7">
        <v>5613.0</v>
      </c>
      <c r="L283" s="7">
        <v>462.73</v>
      </c>
      <c r="M283" s="7">
        <v>-0.19</v>
      </c>
      <c r="N283" s="7">
        <v>10848.0</v>
      </c>
      <c r="O283" s="7">
        <v>3.543976E7</v>
      </c>
      <c r="P283" s="7" t="s">
        <v>411</v>
      </c>
      <c r="Q283" s="7">
        <v>5003.79</v>
      </c>
      <c r="R283" s="3">
        <f t="shared" si="1"/>
        <v>10000</v>
      </c>
    </row>
    <row r="284" ht="22.5" customHeight="1">
      <c r="B284" s="7" t="s">
        <v>279</v>
      </c>
      <c r="C284" s="7">
        <v>68940.0</v>
      </c>
      <c r="D284" s="7">
        <v>327952.0</v>
      </c>
      <c r="E284" s="7">
        <v>1.7479751E7</v>
      </c>
      <c r="F284" s="7">
        <v>1.7125401E7</v>
      </c>
      <c r="G284" s="7">
        <v>4.088014E7</v>
      </c>
      <c r="H284" s="7">
        <v>5.276777464E9</v>
      </c>
      <c r="I284" s="7">
        <v>538033.0</v>
      </c>
      <c r="J284" s="7">
        <v>505160.0</v>
      </c>
      <c r="K284" s="7">
        <v>32873.0</v>
      </c>
      <c r="L284" s="7">
        <v>64.28</v>
      </c>
      <c r="M284" s="7">
        <v>-0.08</v>
      </c>
      <c r="N284" s="7">
        <v>54154.0</v>
      </c>
      <c r="O284" s="7">
        <v>7220521.0</v>
      </c>
      <c r="P284" s="7" t="s">
        <v>411</v>
      </c>
      <c r="Q284" s="7">
        <v>5003.8</v>
      </c>
      <c r="R284" s="3">
        <f t="shared" si="1"/>
        <v>10000</v>
      </c>
    </row>
    <row r="285" ht="22.5" customHeight="1">
      <c r="B285" s="7" t="s">
        <v>299</v>
      </c>
      <c r="C285" s="7">
        <v>4136.0</v>
      </c>
      <c r="D285" s="7">
        <v>12323.0</v>
      </c>
      <c r="E285" s="7">
        <v>1.4030313E7</v>
      </c>
      <c r="F285" s="7">
        <v>1.3907956E7</v>
      </c>
      <c r="G285" s="7">
        <v>1.864241E7</v>
      </c>
      <c r="H285" s="7">
        <v>1.802258212E9</v>
      </c>
      <c r="I285" s="7">
        <v>487880.0</v>
      </c>
      <c r="J285" s="7">
        <v>461391.0</v>
      </c>
      <c r="K285" s="7">
        <v>26489.0</v>
      </c>
      <c r="L285" s="7">
        <v>36.27</v>
      </c>
      <c r="M285" s="7">
        <v>-0.03</v>
      </c>
      <c r="N285" s="7">
        <v>43201.0</v>
      </c>
      <c r="O285" s="7">
        <v>4236203.0</v>
      </c>
      <c r="P285" s="7" t="s">
        <v>411</v>
      </c>
      <c r="Q285" s="7">
        <v>5003.8</v>
      </c>
      <c r="R285" s="3">
        <f t="shared" si="1"/>
        <v>10000</v>
      </c>
    </row>
    <row r="286" ht="22.5" customHeight="1">
      <c r="B286" s="7" t="s">
        <v>261</v>
      </c>
      <c r="C286" s="7">
        <v>264264.0</v>
      </c>
      <c r="D286" s="7">
        <v>895141.0</v>
      </c>
      <c r="E286" s="7">
        <v>4160927.0</v>
      </c>
      <c r="F286" s="7">
        <v>4067878.0</v>
      </c>
      <c r="G286" s="7">
        <v>7.2029391E7</v>
      </c>
      <c r="H286" s="7">
        <v>2.4082135502E10</v>
      </c>
      <c r="I286" s="7">
        <v>115558.0</v>
      </c>
      <c r="J286" s="7">
        <v>108430.0</v>
      </c>
      <c r="K286" s="7">
        <v>7128.0</v>
      </c>
      <c r="L286" s="7">
        <v>78.55</v>
      </c>
      <c r="M286" s="7">
        <v>-0.08</v>
      </c>
      <c r="N286" s="7">
        <v>12470.0</v>
      </c>
      <c r="O286" s="7">
        <v>4557706.0</v>
      </c>
      <c r="P286" s="7" t="s">
        <v>411</v>
      </c>
      <c r="Q286" s="7">
        <v>5003.8</v>
      </c>
      <c r="R286" s="3">
        <f t="shared" si="1"/>
        <v>10000</v>
      </c>
    </row>
    <row r="287" ht="22.5" customHeight="1">
      <c r="B287" s="7" t="s">
        <v>326</v>
      </c>
      <c r="C287" s="7">
        <v>189446.0</v>
      </c>
      <c r="D287" s="7">
        <v>2004246.0</v>
      </c>
      <c r="E287" s="7">
        <v>5873005.0</v>
      </c>
      <c r="F287" s="7">
        <v>3585287.0</v>
      </c>
      <c r="G287" s="7">
        <v>3.4161725E8</v>
      </c>
      <c r="H287" s="7">
        <v>1.1867522894E10</v>
      </c>
      <c r="I287" s="7">
        <v>118845.0</v>
      </c>
      <c r="J287" s="7">
        <v>113733.0</v>
      </c>
      <c r="K287" s="7">
        <v>5112.0</v>
      </c>
      <c r="L287" s="7">
        <v>557.96</v>
      </c>
      <c r="M287" s="7">
        <v>-0.17</v>
      </c>
      <c r="N287" s="7">
        <v>10166.0</v>
      </c>
      <c r="O287" s="7">
        <v>4.2019205E7</v>
      </c>
      <c r="P287" s="7" t="s">
        <v>411</v>
      </c>
      <c r="Q287" s="7">
        <v>5003.8</v>
      </c>
      <c r="R287" s="3">
        <f t="shared" si="1"/>
        <v>10000</v>
      </c>
    </row>
    <row r="288" ht="22.5" customHeight="1">
      <c r="B288" s="7" t="s">
        <v>355</v>
      </c>
      <c r="C288" s="7">
        <v>26541.0</v>
      </c>
      <c r="D288" s="7">
        <v>117153.0</v>
      </c>
      <c r="E288" s="7">
        <v>2.1932526E7</v>
      </c>
      <c r="F288" s="7">
        <v>2.1449454E7</v>
      </c>
      <c r="G288" s="7">
        <v>2.80864485E8</v>
      </c>
      <c r="H288" s="7">
        <v>6.180042302E9</v>
      </c>
      <c r="I288" s="7">
        <v>1204136.0</v>
      </c>
      <c r="J288" s="7">
        <v>1176314.0</v>
      </c>
      <c r="K288" s="7">
        <v>27822.0</v>
      </c>
      <c r="L288" s="7">
        <v>71.29</v>
      </c>
      <c r="M288" s="7">
        <v>-0.14</v>
      </c>
      <c r="N288" s="7">
        <v>49232.0</v>
      </c>
      <c r="O288" s="7">
        <v>1.6736222E7</v>
      </c>
      <c r="P288" s="7" t="s">
        <v>411</v>
      </c>
      <c r="Q288" s="7">
        <v>5003.8</v>
      </c>
      <c r="R288" s="3">
        <f t="shared" si="1"/>
        <v>10000</v>
      </c>
    </row>
    <row r="289" ht="22.5" customHeight="1">
      <c r="B289" s="7" t="s">
        <v>364</v>
      </c>
      <c r="C289" s="7">
        <v>840.0</v>
      </c>
      <c r="D289" s="7">
        <v>8442.0</v>
      </c>
      <c r="E289" s="7">
        <v>2.0115461E7</v>
      </c>
      <c r="F289" s="7">
        <v>1.995606E7</v>
      </c>
      <c r="G289" s="7">
        <v>2.2701613E7</v>
      </c>
      <c r="H289" s="7">
        <v>4.78331717E8</v>
      </c>
      <c r="I289" s="7">
        <v>454986.0</v>
      </c>
      <c r="J289" s="7">
        <v>414382.0</v>
      </c>
      <c r="K289" s="7">
        <v>40604.0</v>
      </c>
      <c r="L289" s="7">
        <v>119.37</v>
      </c>
      <c r="M289" s="7">
        <v>-0.03</v>
      </c>
      <c r="N289" s="7">
        <v>61729.0</v>
      </c>
      <c r="O289" s="7">
        <v>8252263.0</v>
      </c>
      <c r="P289" s="7" t="s">
        <v>411</v>
      </c>
      <c r="Q289" s="7">
        <v>5003.8</v>
      </c>
      <c r="R289" s="3">
        <f t="shared" si="1"/>
        <v>10000</v>
      </c>
    </row>
    <row r="290" ht="22.5" customHeight="1">
      <c r="B290" s="7" t="s">
        <v>369</v>
      </c>
      <c r="C290" s="7">
        <v>2100.0</v>
      </c>
      <c r="D290" s="7">
        <v>215164.0</v>
      </c>
      <c r="E290" s="7">
        <v>1.5869924E7</v>
      </c>
      <c r="F290" s="7">
        <v>1.5494637E7</v>
      </c>
      <c r="G290" s="7">
        <v>2.6200939E7</v>
      </c>
      <c r="H290" s="7">
        <v>2.296832545E9</v>
      </c>
      <c r="I290" s="7">
        <v>291185.0</v>
      </c>
      <c r="J290" s="7">
        <v>259864.0</v>
      </c>
      <c r="K290" s="7">
        <v>31321.0</v>
      </c>
      <c r="L290" s="7">
        <v>96.58</v>
      </c>
      <c r="M290" s="7">
        <v>-0.05</v>
      </c>
      <c r="N290" s="7">
        <v>51600.0</v>
      </c>
      <c r="O290" s="7">
        <v>5713447.0</v>
      </c>
      <c r="P290" s="7" t="s">
        <v>411</v>
      </c>
      <c r="Q290" s="7">
        <v>5003.8</v>
      </c>
      <c r="R290" s="3">
        <f t="shared" si="1"/>
        <v>10000</v>
      </c>
    </row>
    <row r="291" ht="22.5" customHeight="1">
      <c r="B291" s="7" t="s">
        <v>370</v>
      </c>
      <c r="C291" s="7">
        <v>2400.0</v>
      </c>
      <c r="D291" s="7">
        <v>266431.0</v>
      </c>
      <c r="E291" s="7">
        <v>1.8721251E7</v>
      </c>
      <c r="F291" s="7">
        <v>1.8250997E7</v>
      </c>
      <c r="G291" s="7">
        <v>3.1880236E7</v>
      </c>
      <c r="H291" s="7">
        <v>2.514067888E9</v>
      </c>
      <c r="I291" s="7">
        <v>333529.0</v>
      </c>
      <c r="J291" s="7">
        <v>300721.0</v>
      </c>
      <c r="K291" s="7">
        <v>32808.0</v>
      </c>
      <c r="L291" s="7">
        <v>124.59</v>
      </c>
      <c r="M291" s="7">
        <v>-0.05</v>
      </c>
      <c r="N291" s="7">
        <v>54094.0</v>
      </c>
      <c r="O291" s="7">
        <v>8382874.0</v>
      </c>
      <c r="P291" s="7" t="s">
        <v>411</v>
      </c>
      <c r="Q291" s="7">
        <v>5003.8</v>
      </c>
      <c r="R291" s="3">
        <f t="shared" si="1"/>
        <v>10000</v>
      </c>
    </row>
    <row r="292" ht="22.5" customHeight="1">
      <c r="B292" s="7" t="s">
        <v>372</v>
      </c>
      <c r="C292" s="7">
        <v>1740.0</v>
      </c>
      <c r="D292" s="7">
        <v>114011.0</v>
      </c>
      <c r="E292" s="7">
        <v>1.7260396E7</v>
      </c>
      <c r="F292" s="7">
        <v>1.7035677E7</v>
      </c>
      <c r="G292" s="7">
        <v>3.0260448E7</v>
      </c>
      <c r="H292" s="7">
        <v>1.157199708E9</v>
      </c>
      <c r="I292" s="7">
        <v>526434.0</v>
      </c>
      <c r="J292" s="7">
        <v>493237.0</v>
      </c>
      <c r="K292" s="7">
        <v>33197.0</v>
      </c>
      <c r="L292" s="7">
        <v>30.26</v>
      </c>
      <c r="M292" s="7">
        <v>-0.05</v>
      </c>
      <c r="N292" s="7">
        <v>54493.0</v>
      </c>
      <c r="O292" s="7">
        <v>5265347.0</v>
      </c>
      <c r="P292" s="7" t="s">
        <v>411</v>
      </c>
      <c r="Q292" s="7">
        <v>5003.8</v>
      </c>
      <c r="R292" s="3">
        <f t="shared" si="1"/>
        <v>10000</v>
      </c>
    </row>
    <row r="293" ht="22.5" customHeight="1">
      <c r="B293" s="7" t="s">
        <v>382</v>
      </c>
      <c r="C293" s="7">
        <v>36410.0</v>
      </c>
      <c r="D293" s="7">
        <v>115054.0</v>
      </c>
      <c r="E293" s="7">
        <v>1.5259774E7</v>
      </c>
      <c r="F293" s="7">
        <v>1.4973815E7</v>
      </c>
      <c r="G293" s="7">
        <v>3.5107821E7</v>
      </c>
      <c r="H293" s="7">
        <v>3.935224655E9</v>
      </c>
      <c r="I293" s="7">
        <v>465662.0</v>
      </c>
      <c r="J293" s="7">
        <v>436803.0</v>
      </c>
      <c r="K293" s="7">
        <v>28859.0</v>
      </c>
      <c r="L293" s="7">
        <v>61.67</v>
      </c>
      <c r="M293" s="7">
        <v>-0.07</v>
      </c>
      <c r="N293" s="7">
        <v>47966.0</v>
      </c>
      <c r="O293" s="7">
        <v>4660595.0</v>
      </c>
      <c r="P293" s="7" t="s">
        <v>411</v>
      </c>
      <c r="Q293" s="7">
        <v>5003.8</v>
      </c>
      <c r="R293" s="3">
        <f t="shared" si="1"/>
        <v>10000</v>
      </c>
    </row>
    <row r="294" ht="22.5" customHeight="1">
      <c r="B294" s="7" t="s">
        <v>247</v>
      </c>
      <c r="C294" s="7">
        <v>68940.0</v>
      </c>
      <c r="D294" s="7">
        <v>310541.0</v>
      </c>
      <c r="E294" s="7">
        <v>1.3029445E7</v>
      </c>
      <c r="F294" s="7">
        <v>1.2774504E7</v>
      </c>
      <c r="G294" s="7">
        <v>2.6785042E7</v>
      </c>
      <c r="H294" s="7">
        <v>5.476112586E9</v>
      </c>
      <c r="I294" s="7">
        <v>419724.0</v>
      </c>
      <c r="J294" s="7">
        <v>397564.0</v>
      </c>
      <c r="K294" s="7">
        <v>22160.0</v>
      </c>
      <c r="L294" s="7">
        <v>52.76</v>
      </c>
      <c r="M294" s="7">
        <v>-0.07</v>
      </c>
      <c r="N294" s="7">
        <v>36917.0</v>
      </c>
      <c r="O294" s="7">
        <v>5326219.0</v>
      </c>
      <c r="P294" s="7" t="s">
        <v>411</v>
      </c>
      <c r="Q294" s="7">
        <v>5003.81</v>
      </c>
      <c r="R294" s="3">
        <f t="shared" si="1"/>
        <v>10000</v>
      </c>
    </row>
    <row r="295" ht="22.5" customHeight="1">
      <c r="B295" s="7" t="s">
        <v>93</v>
      </c>
      <c r="C295" s="7">
        <v>2316.0</v>
      </c>
      <c r="D295" s="7">
        <v>30945.0</v>
      </c>
      <c r="E295" s="7">
        <v>1.2022487E7</v>
      </c>
      <c r="F295" s="7">
        <v>1.1962191E7</v>
      </c>
      <c r="G295" s="7">
        <v>1.5882681E7</v>
      </c>
      <c r="H295" s="7">
        <v>6.46473237E8</v>
      </c>
      <c r="I295" s="7">
        <v>419918.0</v>
      </c>
      <c r="J295" s="7">
        <v>399864.0</v>
      </c>
      <c r="K295" s="7">
        <v>20054.0</v>
      </c>
      <c r="L295" s="7">
        <v>22.78</v>
      </c>
      <c r="M295" s="7">
        <v>-0.03</v>
      </c>
      <c r="N295" s="7">
        <v>32862.0</v>
      </c>
      <c r="O295" s="7">
        <v>4346993.0</v>
      </c>
      <c r="P295" s="7" t="s">
        <v>411</v>
      </c>
      <c r="Q295" s="7">
        <v>5003.81</v>
      </c>
      <c r="R295" s="3">
        <f t="shared" si="1"/>
        <v>10000</v>
      </c>
    </row>
    <row r="296" ht="22.5" customHeight="1">
      <c r="B296" s="7" t="s">
        <v>352</v>
      </c>
      <c r="C296" s="7">
        <v>26541.0</v>
      </c>
      <c r="D296" s="7">
        <v>117126.0</v>
      </c>
      <c r="E296" s="7">
        <v>2.2572463E7</v>
      </c>
      <c r="F296" s="7">
        <v>2.2216322E7</v>
      </c>
      <c r="G296" s="7">
        <v>1.77715022E8</v>
      </c>
      <c r="H296" s="7">
        <v>3.960844033E9</v>
      </c>
      <c r="I296" s="7">
        <v>880498.0</v>
      </c>
      <c r="J296" s="7">
        <v>850124.0</v>
      </c>
      <c r="K296" s="7">
        <v>30374.0</v>
      </c>
      <c r="L296" s="7">
        <v>69.14</v>
      </c>
      <c r="M296" s="7">
        <v>-0.12</v>
      </c>
      <c r="N296" s="7">
        <v>51746.0</v>
      </c>
      <c r="O296" s="7">
        <v>1.8006882E7</v>
      </c>
      <c r="P296" s="7" t="s">
        <v>411</v>
      </c>
      <c r="Q296" s="7">
        <v>5003.81</v>
      </c>
      <c r="R296" s="3">
        <f t="shared" si="1"/>
        <v>10000</v>
      </c>
    </row>
    <row r="297" ht="22.5" customHeight="1">
      <c r="B297" s="7" t="s">
        <v>357</v>
      </c>
      <c r="C297" s="7">
        <v>3366.0</v>
      </c>
      <c r="D297" s="7">
        <v>362797.0</v>
      </c>
      <c r="E297" s="7">
        <v>2.3617361E7</v>
      </c>
      <c r="F297" s="7">
        <v>2.3234438E7</v>
      </c>
      <c r="G297" s="7">
        <v>3.0566827E7</v>
      </c>
      <c r="H297" s="7">
        <v>2.112344135E9</v>
      </c>
      <c r="I297" s="7">
        <v>669170.0</v>
      </c>
      <c r="J297" s="7">
        <v>631993.0</v>
      </c>
      <c r="K297" s="7">
        <v>37177.0</v>
      </c>
      <c r="L297" s="7">
        <v>70.42</v>
      </c>
      <c r="M297" s="7">
        <v>-0.03</v>
      </c>
      <c r="N297" s="7">
        <v>58366.0</v>
      </c>
      <c r="O297" s="7">
        <v>1.1802497E7</v>
      </c>
      <c r="P297" s="7" t="s">
        <v>411</v>
      </c>
      <c r="Q297" s="7">
        <v>5003.81</v>
      </c>
      <c r="R297" s="3">
        <f t="shared" si="1"/>
        <v>10000</v>
      </c>
    </row>
    <row r="298" ht="22.5" customHeight="1">
      <c r="B298" s="7" t="s">
        <v>278</v>
      </c>
      <c r="C298" s="7">
        <v>63268.0</v>
      </c>
      <c r="D298" s="7">
        <v>396114.0</v>
      </c>
      <c r="E298" s="7">
        <v>1.6940755E7</v>
      </c>
      <c r="F298" s="7">
        <v>1.6591366E7</v>
      </c>
      <c r="G298" s="7">
        <v>5.7719393E7</v>
      </c>
      <c r="H298" s="7">
        <v>4.565837704E9</v>
      </c>
      <c r="I298" s="7">
        <v>615420.0</v>
      </c>
      <c r="J298" s="7">
        <v>583557.0</v>
      </c>
      <c r="K298" s="7">
        <v>31863.0</v>
      </c>
      <c r="L298" s="7">
        <v>66.4</v>
      </c>
      <c r="M298" s="7">
        <v>-0.1</v>
      </c>
      <c r="N298" s="7">
        <v>53165.0</v>
      </c>
      <c r="O298" s="7">
        <v>7023365.0</v>
      </c>
      <c r="P298" s="7" t="s">
        <v>411</v>
      </c>
      <c r="Q298" s="7">
        <v>5003.82</v>
      </c>
      <c r="R298" s="3">
        <f t="shared" si="1"/>
        <v>10000</v>
      </c>
    </row>
    <row r="299" ht="22.5" customHeight="1">
      <c r="B299" s="7" t="s">
        <v>333</v>
      </c>
      <c r="C299" s="7">
        <v>8591.0</v>
      </c>
      <c r="D299" s="7">
        <v>65154.0</v>
      </c>
      <c r="E299" s="7">
        <v>1.6383874E7</v>
      </c>
      <c r="F299" s="7">
        <v>1.5962305E7</v>
      </c>
      <c r="G299" s="7">
        <v>1.78094684E8</v>
      </c>
      <c r="H299" s="7">
        <v>2.694339097E9</v>
      </c>
      <c r="I299" s="7">
        <v>400377.0</v>
      </c>
      <c r="J299" s="7">
        <v>371835.0</v>
      </c>
      <c r="K299" s="7">
        <v>28542.0</v>
      </c>
      <c r="L299" s="7">
        <v>105.21</v>
      </c>
      <c r="M299" s="7">
        <v>-0.14</v>
      </c>
      <c r="N299" s="7">
        <v>49927.0</v>
      </c>
      <c r="O299" s="7">
        <v>2.2372263E7</v>
      </c>
      <c r="P299" s="7" t="s">
        <v>411</v>
      </c>
      <c r="Q299" s="7">
        <v>5003.82</v>
      </c>
      <c r="R299" s="3">
        <f t="shared" si="1"/>
        <v>10000</v>
      </c>
    </row>
    <row r="300" ht="22.5" customHeight="1">
      <c r="B300" s="7" t="s">
        <v>334</v>
      </c>
      <c r="C300" s="7">
        <v>24975.0</v>
      </c>
      <c r="D300" s="7">
        <v>111780.0</v>
      </c>
      <c r="E300" s="7">
        <v>2.4175789E7</v>
      </c>
      <c r="F300" s="7">
        <v>2.3635516E7</v>
      </c>
      <c r="G300" s="7">
        <v>2.86774185E8</v>
      </c>
      <c r="H300" s="7">
        <v>5.912055311E9</v>
      </c>
      <c r="I300" s="7">
        <v>1269267.0</v>
      </c>
      <c r="J300" s="7">
        <v>1241421.0</v>
      </c>
      <c r="K300" s="7">
        <v>27846.0</v>
      </c>
      <c r="L300" s="7">
        <v>67.42</v>
      </c>
      <c r="M300" s="7">
        <v>-0.14</v>
      </c>
      <c r="N300" s="7">
        <v>49254.0</v>
      </c>
      <c r="O300" s="7">
        <v>2.1838541E7</v>
      </c>
      <c r="P300" s="7" t="s">
        <v>411</v>
      </c>
      <c r="Q300" s="7">
        <v>5003.82</v>
      </c>
      <c r="R300" s="3">
        <f t="shared" si="1"/>
        <v>10000</v>
      </c>
    </row>
    <row r="301" ht="22.5" customHeight="1">
      <c r="B301" s="7" t="s">
        <v>336</v>
      </c>
      <c r="C301" s="7">
        <v>26541.0</v>
      </c>
      <c r="D301" s="7">
        <v>117126.0</v>
      </c>
      <c r="E301" s="7">
        <v>2.4735333E7</v>
      </c>
      <c r="F301" s="7">
        <v>2.4295353E7</v>
      </c>
      <c r="G301" s="7">
        <v>2.36881671E8</v>
      </c>
      <c r="H301" s="7">
        <v>4.954065846E9</v>
      </c>
      <c r="I301" s="7">
        <v>1132363.0</v>
      </c>
      <c r="J301" s="7">
        <v>1102757.0</v>
      </c>
      <c r="K301" s="7">
        <v>29606.0</v>
      </c>
      <c r="L301" s="7">
        <v>64.6</v>
      </c>
      <c r="M301" s="7">
        <v>-0.13</v>
      </c>
      <c r="N301" s="7">
        <v>50989.0</v>
      </c>
      <c r="O301" s="7">
        <v>2.425941E7</v>
      </c>
      <c r="P301" s="7" t="s">
        <v>411</v>
      </c>
      <c r="Q301" s="7">
        <v>5003.82</v>
      </c>
      <c r="R301" s="3">
        <f t="shared" si="1"/>
        <v>10000</v>
      </c>
    </row>
    <row r="302" ht="22.5" customHeight="1">
      <c r="B302" s="7" t="s">
        <v>356</v>
      </c>
      <c r="C302" s="7">
        <v>4656.0</v>
      </c>
      <c r="D302" s="7">
        <v>13868.0</v>
      </c>
      <c r="E302" s="7">
        <v>7565756.0</v>
      </c>
      <c r="F302" s="7">
        <v>7450301.0</v>
      </c>
      <c r="G302" s="7">
        <v>1.5955134E7</v>
      </c>
      <c r="H302" s="7">
        <v>1.588242587E9</v>
      </c>
      <c r="I302" s="7">
        <v>403315.0</v>
      </c>
      <c r="J302" s="7">
        <v>394840.0</v>
      </c>
      <c r="K302" s="7">
        <v>8475.0</v>
      </c>
      <c r="L302" s="7">
        <v>41.16</v>
      </c>
      <c r="M302" s="7">
        <v>-0.07</v>
      </c>
      <c r="N302" s="7">
        <v>13801.0</v>
      </c>
      <c r="O302" s="7">
        <v>3875960.0</v>
      </c>
      <c r="P302" s="7" t="s">
        <v>411</v>
      </c>
      <c r="Q302" s="7">
        <v>5003.82</v>
      </c>
      <c r="R302" s="3">
        <f t="shared" si="1"/>
        <v>10000</v>
      </c>
    </row>
    <row r="303" ht="22.5" customHeight="1">
      <c r="B303" s="7" t="s">
        <v>360</v>
      </c>
      <c r="C303" s="7">
        <v>188962.0</v>
      </c>
      <c r="D303" s="7">
        <v>825894.0</v>
      </c>
      <c r="E303" s="7">
        <v>5538775.0</v>
      </c>
      <c r="F303" s="7">
        <v>5259179.0</v>
      </c>
      <c r="G303" s="7">
        <v>3.9073735E7</v>
      </c>
      <c r="H303" s="7">
        <v>6.329699634E9</v>
      </c>
      <c r="I303" s="7">
        <v>172401.0</v>
      </c>
      <c r="J303" s="7">
        <v>164118.0</v>
      </c>
      <c r="K303" s="7">
        <v>8283.0</v>
      </c>
      <c r="L303" s="7">
        <v>284.99</v>
      </c>
      <c r="M303" s="7">
        <v>-0.08</v>
      </c>
      <c r="N303" s="7">
        <v>13587.0</v>
      </c>
      <c r="O303" s="7">
        <v>3157889.0</v>
      </c>
      <c r="P303" s="7" t="s">
        <v>411</v>
      </c>
      <c r="Q303" s="7">
        <v>5003.82</v>
      </c>
      <c r="R303" s="3">
        <f t="shared" si="1"/>
        <v>10000</v>
      </c>
    </row>
    <row r="304" ht="22.5" customHeight="1">
      <c r="B304" s="7" t="s">
        <v>275</v>
      </c>
      <c r="C304" s="7">
        <v>422649.0</v>
      </c>
      <c r="D304" s="7">
        <v>1265651.0</v>
      </c>
      <c r="E304" s="7">
        <v>3677431.0</v>
      </c>
      <c r="F304" s="7">
        <v>3556071.0</v>
      </c>
      <c r="G304" s="7">
        <v>1.8547941E7</v>
      </c>
      <c r="H304" s="7">
        <v>1.1418105316E10</v>
      </c>
      <c r="I304" s="7">
        <v>113337.0</v>
      </c>
      <c r="J304" s="7">
        <v>106106.0</v>
      </c>
      <c r="K304" s="7">
        <v>7231.0</v>
      </c>
      <c r="L304" s="7">
        <v>115.92</v>
      </c>
      <c r="M304" s="7">
        <v>-0.12</v>
      </c>
      <c r="N304" s="7">
        <v>11733.0</v>
      </c>
      <c r="O304" s="7">
        <v>3914551.0</v>
      </c>
      <c r="P304" s="7" t="s">
        <v>411</v>
      </c>
      <c r="Q304" s="7">
        <v>5003.83</v>
      </c>
      <c r="R304" s="3">
        <f t="shared" si="1"/>
        <v>10000</v>
      </c>
    </row>
    <row r="305" ht="22.5" customHeight="1">
      <c r="B305" s="7" t="s">
        <v>332</v>
      </c>
      <c r="C305" s="7">
        <v>8590.0</v>
      </c>
      <c r="D305" s="7">
        <v>65144.0</v>
      </c>
      <c r="E305" s="7">
        <v>1.5245285E7</v>
      </c>
      <c r="F305" s="7">
        <v>1.4843831E7</v>
      </c>
      <c r="G305" s="7">
        <v>1.73890049E8</v>
      </c>
      <c r="H305" s="7">
        <v>2.583035917E9</v>
      </c>
      <c r="I305" s="7">
        <v>395631.0</v>
      </c>
      <c r="J305" s="7">
        <v>369769.0</v>
      </c>
      <c r="K305" s="7">
        <v>25862.0</v>
      </c>
      <c r="L305" s="7">
        <v>109.55</v>
      </c>
      <c r="M305" s="7">
        <v>-0.15</v>
      </c>
      <c r="N305" s="7">
        <v>45013.0</v>
      </c>
      <c r="O305" s="7">
        <v>2.2437471E7</v>
      </c>
      <c r="P305" s="7" t="s">
        <v>411</v>
      </c>
      <c r="Q305" s="7">
        <v>5003.83</v>
      </c>
      <c r="R305" s="3">
        <f t="shared" si="1"/>
        <v>10000</v>
      </c>
    </row>
    <row r="306" ht="22.5" customHeight="1">
      <c r="B306" s="7" t="s">
        <v>366</v>
      </c>
      <c r="C306" s="7">
        <v>3220.0</v>
      </c>
      <c r="D306" s="7">
        <v>59525.0</v>
      </c>
      <c r="E306" s="7">
        <v>7901669.0</v>
      </c>
      <c r="F306" s="7">
        <v>7784965.0</v>
      </c>
      <c r="G306" s="7">
        <v>1.4543546E7</v>
      </c>
      <c r="H306" s="7">
        <v>2.088670073E9</v>
      </c>
      <c r="I306" s="7">
        <v>292570.0</v>
      </c>
      <c r="J306" s="7">
        <v>283922.0</v>
      </c>
      <c r="K306" s="7">
        <v>8648.0</v>
      </c>
      <c r="L306" s="7">
        <v>56.2</v>
      </c>
      <c r="M306" s="7">
        <v>-0.06</v>
      </c>
      <c r="N306" s="7">
        <v>13970.0</v>
      </c>
      <c r="O306" s="7">
        <v>4532013.0</v>
      </c>
      <c r="P306" s="7" t="s">
        <v>411</v>
      </c>
      <c r="Q306" s="7">
        <v>5003.83</v>
      </c>
      <c r="R306" s="3">
        <f t="shared" si="1"/>
        <v>10000</v>
      </c>
    </row>
    <row r="307" ht="22.5" customHeight="1">
      <c r="B307" s="7" t="s">
        <v>373</v>
      </c>
      <c r="C307" s="7">
        <v>1898.0</v>
      </c>
      <c r="D307" s="7">
        <v>128735.0</v>
      </c>
      <c r="E307" s="7">
        <v>1.8010637E7</v>
      </c>
      <c r="F307" s="7">
        <v>1.7783527E7</v>
      </c>
      <c r="G307" s="7">
        <v>3.170346E7</v>
      </c>
      <c r="H307" s="7">
        <v>1.280824431E9</v>
      </c>
      <c r="I307" s="7">
        <v>538844.0</v>
      </c>
      <c r="J307" s="7">
        <v>505521.0</v>
      </c>
      <c r="K307" s="7">
        <v>33323.0</v>
      </c>
      <c r="L307" s="7">
        <v>31.59</v>
      </c>
      <c r="M307" s="7">
        <v>-0.05</v>
      </c>
      <c r="N307" s="7">
        <v>54621.0</v>
      </c>
      <c r="O307" s="7">
        <v>6078919.0</v>
      </c>
      <c r="P307" s="7" t="s">
        <v>411</v>
      </c>
      <c r="Q307" s="7">
        <v>5003.83</v>
      </c>
      <c r="R307" s="3">
        <f t="shared" si="1"/>
        <v>10000</v>
      </c>
    </row>
    <row r="308" ht="22.5" customHeight="1">
      <c r="B308" s="7" t="s">
        <v>151</v>
      </c>
      <c r="C308" s="7">
        <v>47040.0</v>
      </c>
      <c r="D308" s="7">
        <v>178880.0</v>
      </c>
      <c r="E308" s="7">
        <v>8190231.0</v>
      </c>
      <c r="F308" s="7">
        <v>7990344.0</v>
      </c>
      <c r="G308" s="7">
        <v>9.1550555E7</v>
      </c>
      <c r="H308" s="7">
        <v>1.841729964E10</v>
      </c>
      <c r="I308" s="7">
        <v>328889.0</v>
      </c>
      <c r="J308" s="7">
        <v>321190.0</v>
      </c>
      <c r="K308" s="7">
        <v>7699.0</v>
      </c>
      <c r="L308" s="7">
        <v>83.76</v>
      </c>
      <c r="M308" s="7">
        <v>-0.1</v>
      </c>
      <c r="N308" s="7">
        <v>13033.0</v>
      </c>
      <c r="O308" s="7">
        <v>8867619.0</v>
      </c>
      <c r="P308" s="7" t="s">
        <v>411</v>
      </c>
      <c r="Q308" s="7">
        <v>5003.84</v>
      </c>
      <c r="R308" s="3">
        <f t="shared" si="1"/>
        <v>10000</v>
      </c>
    </row>
    <row r="309" ht="22.5" customHeight="1">
      <c r="B309" s="7" t="s">
        <v>319</v>
      </c>
      <c r="C309" s="7">
        <v>168019.0</v>
      </c>
      <c r="D309" s="7">
        <v>173814.0</v>
      </c>
      <c r="E309" s="7">
        <v>1.7467748E7</v>
      </c>
      <c r="F309" s="7">
        <v>1.7050741E7</v>
      </c>
      <c r="G309" s="7">
        <v>1.87817792E8</v>
      </c>
      <c r="H309" s="7">
        <v>3.343298952E9</v>
      </c>
      <c r="I309" s="7">
        <v>503917.0</v>
      </c>
      <c r="J309" s="7">
        <v>475713.0</v>
      </c>
      <c r="K309" s="7">
        <v>28204.0</v>
      </c>
      <c r="L309" s="7">
        <v>75.89</v>
      </c>
      <c r="M309" s="7">
        <v>-0.11</v>
      </c>
      <c r="N309" s="7">
        <v>49590.0</v>
      </c>
      <c r="O309" s="7">
        <v>2.4273655E7</v>
      </c>
      <c r="P309" s="7" t="s">
        <v>411</v>
      </c>
      <c r="Q309" s="7">
        <v>5003.84</v>
      </c>
      <c r="R309" s="3">
        <f t="shared" si="1"/>
        <v>10000</v>
      </c>
    </row>
    <row r="310" ht="22.5" customHeight="1">
      <c r="B310" s="7" t="s">
        <v>323</v>
      </c>
      <c r="C310" s="7">
        <v>59794.0</v>
      </c>
      <c r="D310" s="7">
        <v>243931.0</v>
      </c>
      <c r="E310" s="7">
        <v>1.1731067E7</v>
      </c>
      <c r="F310" s="7">
        <v>1.1541002E7</v>
      </c>
      <c r="G310" s="7">
        <v>3.4151741E7</v>
      </c>
      <c r="H310" s="7">
        <v>3.213212092E9</v>
      </c>
      <c r="I310" s="7">
        <v>496086.0</v>
      </c>
      <c r="J310" s="7">
        <v>478159.0</v>
      </c>
      <c r="K310" s="7">
        <v>17927.0</v>
      </c>
      <c r="L310" s="7">
        <v>60.29</v>
      </c>
      <c r="M310" s="7">
        <v>-0.09</v>
      </c>
      <c r="N310" s="7">
        <v>30167.0</v>
      </c>
      <c r="O310" s="7">
        <v>4912274.0</v>
      </c>
      <c r="P310" s="7" t="s">
        <v>411</v>
      </c>
      <c r="Q310" s="7">
        <v>5003.84</v>
      </c>
      <c r="R310" s="3">
        <f t="shared" si="1"/>
        <v>10000</v>
      </c>
    </row>
    <row r="311" ht="22.5" customHeight="1">
      <c r="B311" s="7" t="s">
        <v>331</v>
      </c>
      <c r="C311" s="7">
        <v>36809.0</v>
      </c>
      <c r="D311" s="7">
        <v>142448.0</v>
      </c>
      <c r="E311" s="7">
        <v>6553007.0</v>
      </c>
      <c r="F311" s="7">
        <v>6175427.0</v>
      </c>
      <c r="G311" s="7">
        <v>2.01595306E8</v>
      </c>
      <c r="H311" s="7">
        <v>6.204751674E9</v>
      </c>
      <c r="I311" s="7">
        <v>351704.0</v>
      </c>
      <c r="J311" s="7">
        <v>345270.0</v>
      </c>
      <c r="K311" s="7">
        <v>6434.0</v>
      </c>
      <c r="L311" s="7">
        <v>236.25</v>
      </c>
      <c r="M311" s="7">
        <v>-0.18</v>
      </c>
      <c r="N311" s="7">
        <v>11787.0</v>
      </c>
      <c r="O311" s="7">
        <v>1.0207691E7</v>
      </c>
      <c r="P311" s="7" t="s">
        <v>411</v>
      </c>
      <c r="Q311" s="7">
        <v>5003.84</v>
      </c>
      <c r="R311" s="3">
        <f t="shared" si="1"/>
        <v>10000</v>
      </c>
    </row>
    <row r="312" ht="22.5" customHeight="1">
      <c r="B312" s="7" t="s">
        <v>335</v>
      </c>
      <c r="C312" s="7">
        <v>26541.0</v>
      </c>
      <c r="D312" s="7">
        <v>117126.0</v>
      </c>
      <c r="E312" s="7">
        <v>2.4266322E7</v>
      </c>
      <c r="F312" s="7">
        <v>2.3856875E7</v>
      </c>
      <c r="G312" s="7">
        <v>2.19353661E8</v>
      </c>
      <c r="H312" s="7">
        <v>4.635643994E9</v>
      </c>
      <c r="I312" s="7">
        <v>1064791.0</v>
      </c>
      <c r="J312" s="7">
        <v>1034924.0</v>
      </c>
      <c r="K312" s="7">
        <v>29867.0</v>
      </c>
      <c r="L312" s="7">
        <v>64.71</v>
      </c>
      <c r="M312" s="7">
        <v>-0.13</v>
      </c>
      <c r="N312" s="7">
        <v>51247.0</v>
      </c>
      <c r="O312" s="7">
        <v>2.2487199E7</v>
      </c>
      <c r="P312" s="7" t="s">
        <v>411</v>
      </c>
      <c r="Q312" s="7">
        <v>5003.84</v>
      </c>
      <c r="R312" s="3">
        <f t="shared" si="1"/>
        <v>10000</v>
      </c>
    </row>
    <row r="313" ht="22.5" customHeight="1">
      <c r="B313" s="7" t="s">
        <v>340</v>
      </c>
      <c r="C313" s="7">
        <v>26541.0</v>
      </c>
      <c r="D313" s="7">
        <v>117126.0</v>
      </c>
      <c r="E313" s="7">
        <v>2.2738705E7</v>
      </c>
      <c r="F313" s="7">
        <v>2.234826E7</v>
      </c>
      <c r="G313" s="7">
        <v>1.9790654E8</v>
      </c>
      <c r="H313" s="7">
        <v>4.485968855E9</v>
      </c>
      <c r="I313" s="7">
        <v>921033.0</v>
      </c>
      <c r="J313" s="7">
        <v>891371.0</v>
      </c>
      <c r="K313" s="7">
        <v>29662.0</v>
      </c>
      <c r="L313" s="7">
        <v>68.05</v>
      </c>
      <c r="M313" s="7">
        <v>-0.12</v>
      </c>
      <c r="N313" s="7">
        <v>51045.0</v>
      </c>
      <c r="O313" s="7">
        <v>2.0883307E7</v>
      </c>
      <c r="P313" s="7" t="s">
        <v>411</v>
      </c>
      <c r="Q313" s="7">
        <v>5003.84</v>
      </c>
      <c r="R313" s="3">
        <f t="shared" si="1"/>
        <v>10000</v>
      </c>
    </row>
    <row r="314" ht="22.5" customHeight="1">
      <c r="B314" s="7" t="s">
        <v>378</v>
      </c>
      <c r="C314" s="7">
        <v>61377.0</v>
      </c>
      <c r="D314" s="7">
        <v>235249.0</v>
      </c>
      <c r="E314" s="7">
        <v>5067956.0</v>
      </c>
      <c r="F314" s="7">
        <v>4986012.0</v>
      </c>
      <c r="G314" s="7">
        <v>1.5956254E7</v>
      </c>
      <c r="H314" s="7">
        <v>7.772820505E9</v>
      </c>
      <c r="I314" s="7">
        <v>112416.0</v>
      </c>
      <c r="J314" s="7">
        <v>104142.0</v>
      </c>
      <c r="K314" s="7">
        <v>8274.0</v>
      </c>
      <c r="L314" s="7">
        <v>403.89</v>
      </c>
      <c r="M314" s="7">
        <v>-0.04</v>
      </c>
      <c r="N314" s="7">
        <v>13591.0</v>
      </c>
      <c r="O314" s="7">
        <v>2976095.0</v>
      </c>
      <c r="P314" s="7" t="s">
        <v>411</v>
      </c>
      <c r="Q314" s="7">
        <v>5003.84</v>
      </c>
      <c r="R314" s="3">
        <f t="shared" si="1"/>
        <v>10000</v>
      </c>
    </row>
    <row r="315" ht="22.5" customHeight="1">
      <c r="B315" s="7" t="s">
        <v>259</v>
      </c>
      <c r="C315" s="7">
        <v>4680.0</v>
      </c>
      <c r="D315" s="7">
        <v>39640.0</v>
      </c>
      <c r="E315" s="7">
        <v>1.5386024E7</v>
      </c>
      <c r="F315" s="7">
        <v>1.5054189E7</v>
      </c>
      <c r="G315" s="7">
        <v>9.4969435E7</v>
      </c>
      <c r="H315" s="7">
        <v>3.792997804E9</v>
      </c>
      <c r="I315" s="7">
        <v>446522.0</v>
      </c>
      <c r="J315" s="7">
        <v>418041.0</v>
      </c>
      <c r="K315" s="7">
        <v>28481.0</v>
      </c>
      <c r="L315" s="7">
        <v>94.1</v>
      </c>
      <c r="M315" s="7">
        <v>-0.09</v>
      </c>
      <c r="N315" s="7">
        <v>47870.0</v>
      </c>
      <c r="O315" s="7">
        <v>9639613.0</v>
      </c>
      <c r="P315" s="7" t="s">
        <v>411</v>
      </c>
      <c r="Q315" s="7">
        <v>5003.85</v>
      </c>
      <c r="R315" s="3">
        <f t="shared" si="1"/>
        <v>10000</v>
      </c>
    </row>
    <row r="316" ht="22.5" customHeight="1">
      <c r="B316" s="7" t="s">
        <v>330</v>
      </c>
      <c r="C316" s="7">
        <v>28147.0</v>
      </c>
      <c r="D316" s="7">
        <v>108399.0</v>
      </c>
      <c r="E316" s="7">
        <v>8176954.0</v>
      </c>
      <c r="F316" s="7">
        <v>7792068.0</v>
      </c>
      <c r="G316" s="7">
        <v>1.19470042E8</v>
      </c>
      <c r="H316" s="7">
        <v>6.3686665E9</v>
      </c>
      <c r="I316" s="7">
        <v>527529.0</v>
      </c>
      <c r="J316" s="7">
        <v>521000.0</v>
      </c>
      <c r="K316" s="7">
        <v>6529.0</v>
      </c>
      <c r="L316" s="7">
        <v>153.83</v>
      </c>
      <c r="M316" s="7">
        <v>-0.17</v>
      </c>
      <c r="N316" s="7">
        <v>11882.0</v>
      </c>
      <c r="O316" s="7">
        <v>6725389.0</v>
      </c>
      <c r="P316" s="7" t="s">
        <v>411</v>
      </c>
      <c r="Q316" s="7">
        <v>5003.85</v>
      </c>
      <c r="R316" s="3">
        <f t="shared" si="1"/>
        <v>10000</v>
      </c>
    </row>
    <row r="317" ht="22.5" customHeight="1">
      <c r="B317" s="7" t="s">
        <v>344</v>
      </c>
      <c r="C317" s="7">
        <v>26541.0</v>
      </c>
      <c r="D317" s="7">
        <v>117126.0</v>
      </c>
      <c r="E317" s="7">
        <v>2.2097295E7</v>
      </c>
      <c r="F317" s="7">
        <v>2.1714433E7</v>
      </c>
      <c r="G317" s="7">
        <v>1.84792672E8</v>
      </c>
      <c r="H317" s="7">
        <v>4.311249353E9</v>
      </c>
      <c r="I317" s="7">
        <v>853690.0</v>
      </c>
      <c r="J317" s="7">
        <v>823764.0</v>
      </c>
      <c r="K317" s="7">
        <v>29926.0</v>
      </c>
      <c r="L317" s="7">
        <v>71.98</v>
      </c>
      <c r="M317" s="7">
        <v>-0.12</v>
      </c>
      <c r="N317" s="7">
        <v>51302.0</v>
      </c>
      <c r="O317" s="7">
        <v>1.9251288E7</v>
      </c>
      <c r="P317" s="7" t="s">
        <v>411</v>
      </c>
      <c r="Q317" s="7">
        <v>5003.85</v>
      </c>
      <c r="R317" s="3">
        <f t="shared" si="1"/>
        <v>10000</v>
      </c>
    </row>
    <row r="318" ht="22.5" customHeight="1">
      <c r="B318" s="7" t="s">
        <v>345</v>
      </c>
      <c r="C318" s="7">
        <v>26541.0</v>
      </c>
      <c r="D318" s="7">
        <v>117126.0</v>
      </c>
      <c r="E318" s="7">
        <v>2.4470289E7</v>
      </c>
      <c r="F318" s="7">
        <v>2.4033155E7</v>
      </c>
      <c r="G318" s="7">
        <v>2.17106314E8</v>
      </c>
      <c r="H318" s="7">
        <v>4.71116372E9</v>
      </c>
      <c r="I318" s="7">
        <v>1016570.0</v>
      </c>
      <c r="J318" s="7">
        <v>986597.0</v>
      </c>
      <c r="K318" s="7">
        <v>29973.0</v>
      </c>
      <c r="L318" s="7">
        <v>68.61</v>
      </c>
      <c r="M318" s="7">
        <v>-0.13</v>
      </c>
      <c r="N318" s="7">
        <v>51350.0</v>
      </c>
      <c r="O318" s="7">
        <v>2.404347E7</v>
      </c>
      <c r="P318" s="7" t="s">
        <v>411</v>
      </c>
      <c r="Q318" s="7">
        <v>5003.85</v>
      </c>
      <c r="R318" s="3">
        <f t="shared" si="1"/>
        <v>10000</v>
      </c>
    </row>
    <row r="319" ht="22.5" customHeight="1">
      <c r="B319" s="7" t="s">
        <v>346</v>
      </c>
      <c r="C319" s="7">
        <v>26541.0</v>
      </c>
      <c r="D319" s="7">
        <v>117126.0</v>
      </c>
      <c r="E319" s="7">
        <v>2.2827607E7</v>
      </c>
      <c r="F319" s="7">
        <v>2.2433142E7</v>
      </c>
      <c r="G319" s="7">
        <v>2.00537901E8</v>
      </c>
      <c r="H319" s="7">
        <v>4.341447189E9</v>
      </c>
      <c r="I319" s="7">
        <v>953167.0</v>
      </c>
      <c r="J319" s="7">
        <v>923244.0</v>
      </c>
      <c r="K319" s="7">
        <v>29923.0</v>
      </c>
      <c r="L319" s="7">
        <v>68.84</v>
      </c>
      <c r="M319" s="7">
        <v>-0.12</v>
      </c>
      <c r="N319" s="7">
        <v>51301.0</v>
      </c>
      <c r="O319" s="7">
        <v>1.9916655E7</v>
      </c>
      <c r="P319" s="7" t="s">
        <v>411</v>
      </c>
      <c r="Q319" s="7">
        <v>5003.85</v>
      </c>
      <c r="R319" s="3">
        <f t="shared" si="1"/>
        <v>10000</v>
      </c>
    </row>
    <row r="320" ht="22.5" customHeight="1">
      <c r="B320" s="7" t="s">
        <v>337</v>
      </c>
      <c r="C320" s="7">
        <v>26541.0</v>
      </c>
      <c r="D320" s="7">
        <v>117126.0</v>
      </c>
      <c r="E320" s="7">
        <v>2.6152049E7</v>
      </c>
      <c r="F320" s="7">
        <v>2.5686007E7</v>
      </c>
      <c r="G320" s="7">
        <v>2.54104857E8</v>
      </c>
      <c r="H320" s="7">
        <v>5.185286035E9</v>
      </c>
      <c r="I320" s="7">
        <v>1226550.0</v>
      </c>
      <c r="J320" s="7">
        <v>1196907.0</v>
      </c>
      <c r="K320" s="7">
        <v>29643.0</v>
      </c>
      <c r="L320" s="7">
        <v>64.05</v>
      </c>
      <c r="M320" s="7">
        <v>-0.13</v>
      </c>
      <c r="N320" s="7">
        <v>51025.0</v>
      </c>
      <c r="O320" s="7">
        <v>2.6455693E7</v>
      </c>
      <c r="P320" s="7" t="s">
        <v>411</v>
      </c>
      <c r="Q320" s="7">
        <v>5003.86</v>
      </c>
      <c r="R320" s="3">
        <f t="shared" si="1"/>
        <v>10000</v>
      </c>
    </row>
    <row r="321" ht="22.5" customHeight="1">
      <c r="B321" s="7" t="s">
        <v>362</v>
      </c>
      <c r="C321" s="7">
        <v>262368.0</v>
      </c>
      <c r="D321" s="7">
        <v>1226585.0</v>
      </c>
      <c r="E321" s="7">
        <v>7398131.0</v>
      </c>
      <c r="F321" s="7">
        <v>7027543.0</v>
      </c>
      <c r="G321" s="7">
        <v>9.6233859E7</v>
      </c>
      <c r="H321" s="7">
        <v>1.072929423E10</v>
      </c>
      <c r="I321" s="7">
        <v>357449.0</v>
      </c>
      <c r="J321" s="7">
        <v>349211.0</v>
      </c>
      <c r="K321" s="7">
        <v>8238.0</v>
      </c>
      <c r="L321" s="7">
        <v>262.49</v>
      </c>
      <c r="M321" s="7">
        <v>-0.12</v>
      </c>
      <c r="N321" s="7">
        <v>13546.0</v>
      </c>
      <c r="O321" s="7">
        <v>6432688.0</v>
      </c>
      <c r="P321" s="7" t="s">
        <v>411</v>
      </c>
      <c r="Q321" s="7">
        <v>5003.86</v>
      </c>
      <c r="R321" s="3">
        <f t="shared" si="1"/>
        <v>10000</v>
      </c>
    </row>
    <row r="322" ht="22.5" customHeight="1">
      <c r="B322" s="7" t="s">
        <v>376</v>
      </c>
      <c r="C322" s="7">
        <v>773.0</v>
      </c>
      <c r="D322" s="7">
        <v>29353.0</v>
      </c>
      <c r="E322" s="7">
        <v>2.2189639E7</v>
      </c>
      <c r="F322" s="7">
        <v>2.1696624E7</v>
      </c>
      <c r="G322" s="7">
        <v>4.0600867E7</v>
      </c>
      <c r="H322" s="7">
        <v>1.174934403E9</v>
      </c>
      <c r="I322" s="7">
        <v>724709.0</v>
      </c>
      <c r="J322" s="7">
        <v>691890.0</v>
      </c>
      <c r="K322" s="7">
        <v>32819.0</v>
      </c>
      <c r="L322" s="7">
        <v>41.68</v>
      </c>
      <c r="M322" s="7">
        <v>-0.06</v>
      </c>
      <c r="N322" s="7">
        <v>54120.0</v>
      </c>
      <c r="O322" s="7">
        <v>9848197.0</v>
      </c>
      <c r="P322" s="7" t="s">
        <v>411</v>
      </c>
      <c r="Q322" s="7">
        <v>5003.86</v>
      </c>
      <c r="R322" s="3">
        <f t="shared" si="1"/>
        <v>10000</v>
      </c>
    </row>
    <row r="323" ht="22.5" customHeight="1">
      <c r="B323" s="7" t="s">
        <v>377</v>
      </c>
      <c r="C323" s="7">
        <v>109.0</v>
      </c>
      <c r="D323" s="7">
        <v>228.0</v>
      </c>
      <c r="E323" s="7">
        <v>3.6240455E7</v>
      </c>
      <c r="F323" s="7">
        <v>3.5946155E7</v>
      </c>
      <c r="G323" s="7">
        <v>4.8051469E7</v>
      </c>
      <c r="H323" s="7">
        <v>5.43919803E8</v>
      </c>
      <c r="I323" s="7">
        <v>1923305.0</v>
      </c>
      <c r="J323" s="7">
        <v>1879674.0</v>
      </c>
      <c r="K323" s="7">
        <v>43631.0</v>
      </c>
      <c r="L323" s="7">
        <v>20.46</v>
      </c>
      <c r="M323" s="7">
        <v>-0.04</v>
      </c>
      <c r="N323" s="7">
        <v>71727.0</v>
      </c>
      <c r="O323" s="7">
        <v>1.6782216E7</v>
      </c>
      <c r="P323" s="7" t="s">
        <v>411</v>
      </c>
      <c r="Q323" s="7">
        <v>5003.86</v>
      </c>
      <c r="R323" s="3">
        <f t="shared" si="1"/>
        <v>10000</v>
      </c>
    </row>
    <row r="324" ht="22.5" customHeight="1">
      <c r="B324" s="7" t="s">
        <v>233</v>
      </c>
      <c r="C324" s="7">
        <v>840.0</v>
      </c>
      <c r="D324" s="7">
        <v>71206.0</v>
      </c>
      <c r="E324" s="7">
        <v>1.4541536E7</v>
      </c>
      <c r="F324" s="7">
        <v>1.4279356E7</v>
      </c>
      <c r="G324" s="7">
        <v>1.8442366E7</v>
      </c>
      <c r="H324" s="7">
        <v>8.97501711E8</v>
      </c>
      <c r="I324" s="7">
        <v>363498.0</v>
      </c>
      <c r="J324" s="7">
        <v>333161.0</v>
      </c>
      <c r="K324" s="7">
        <v>30337.0</v>
      </c>
      <c r="L324" s="7">
        <v>119.93</v>
      </c>
      <c r="M324" s="7">
        <v>-0.03</v>
      </c>
      <c r="N324" s="7">
        <v>47956.0</v>
      </c>
      <c r="O324" s="7">
        <v>5274737.0</v>
      </c>
      <c r="P324" s="7" t="s">
        <v>411</v>
      </c>
      <c r="Q324" s="7">
        <v>5003.86</v>
      </c>
      <c r="R324" s="3">
        <f t="shared" si="1"/>
        <v>10000</v>
      </c>
    </row>
    <row r="325" ht="22.5" customHeight="1">
      <c r="B325" s="7" t="s">
        <v>385</v>
      </c>
      <c r="C325" s="7">
        <v>51138.0</v>
      </c>
      <c r="D325" s="7">
        <v>153348.0</v>
      </c>
      <c r="E325" s="7">
        <v>2.1069518E7</v>
      </c>
      <c r="F325" s="7">
        <v>2.0756586E7</v>
      </c>
      <c r="G325" s="7">
        <v>3.5533075E7</v>
      </c>
      <c r="H325" s="7">
        <v>2.54804537E9</v>
      </c>
      <c r="I325" s="7">
        <v>780567.0</v>
      </c>
      <c r="J325" s="7">
        <v>748187.0</v>
      </c>
      <c r="K325" s="7">
        <v>32380.0</v>
      </c>
      <c r="L325" s="7">
        <v>26.01</v>
      </c>
      <c r="M325" s="7">
        <v>-0.06</v>
      </c>
      <c r="N325" s="7">
        <v>53694.0</v>
      </c>
      <c r="O325" s="7">
        <v>8729245.0</v>
      </c>
      <c r="P325" s="7" t="s">
        <v>411</v>
      </c>
      <c r="Q325" s="7">
        <v>5003.86</v>
      </c>
      <c r="R325" s="3">
        <f t="shared" si="1"/>
        <v>10000</v>
      </c>
    </row>
    <row r="326" ht="22.5" customHeight="1">
      <c r="B326" s="7" t="s">
        <v>237</v>
      </c>
      <c r="C326" s="7">
        <v>15320.0</v>
      </c>
      <c r="D326" s="7">
        <v>245163.0</v>
      </c>
      <c r="E326" s="7">
        <v>1.3529742E7</v>
      </c>
      <c r="F326" s="7">
        <v>1.3316723E7</v>
      </c>
      <c r="G326" s="7">
        <v>3.8263476E7</v>
      </c>
      <c r="H326" s="7">
        <v>4.627933032E9</v>
      </c>
      <c r="I326" s="7">
        <v>509963.0</v>
      </c>
      <c r="J326" s="7">
        <v>485762.0</v>
      </c>
      <c r="K326" s="7">
        <v>24201.0</v>
      </c>
      <c r="L326" s="7">
        <v>63.36</v>
      </c>
      <c r="M326" s="7">
        <v>-0.08</v>
      </c>
      <c r="N326" s="7">
        <v>39941.0</v>
      </c>
      <c r="O326" s="7">
        <v>5165004.0</v>
      </c>
      <c r="P326" s="7" t="s">
        <v>411</v>
      </c>
      <c r="Q326" s="7">
        <v>5003.87</v>
      </c>
      <c r="R326" s="3">
        <f t="shared" si="1"/>
        <v>10000</v>
      </c>
    </row>
    <row r="327" ht="22.5" customHeight="1">
      <c r="B327" s="7" t="s">
        <v>327</v>
      </c>
      <c r="C327" s="7">
        <v>7021.0</v>
      </c>
      <c r="D327" s="7">
        <v>95854.0</v>
      </c>
      <c r="E327" s="7">
        <v>9099292.0</v>
      </c>
      <c r="F327" s="7">
        <v>8987124.0</v>
      </c>
      <c r="G327" s="7">
        <v>1.6889815E7</v>
      </c>
      <c r="H327" s="7">
        <v>2.902612786E9</v>
      </c>
      <c r="I327" s="7">
        <v>416856.0</v>
      </c>
      <c r="J327" s="7">
        <v>405552.0</v>
      </c>
      <c r="K327" s="7">
        <v>11304.0</v>
      </c>
      <c r="L327" s="7">
        <v>26.91</v>
      </c>
      <c r="M327" s="7">
        <v>-0.08</v>
      </c>
      <c r="N327" s="7">
        <v>18402.0</v>
      </c>
      <c r="O327" s="7">
        <v>4598604.0</v>
      </c>
      <c r="P327" s="7" t="s">
        <v>411</v>
      </c>
      <c r="Q327" s="7">
        <v>5003.87</v>
      </c>
      <c r="R327" s="3">
        <f t="shared" si="1"/>
        <v>10000</v>
      </c>
    </row>
    <row r="328" ht="22.5" customHeight="1">
      <c r="B328" s="7" t="s">
        <v>328</v>
      </c>
      <c r="C328" s="7">
        <v>152376.0</v>
      </c>
      <c r="D328" s="7">
        <v>308482.0</v>
      </c>
      <c r="E328" s="7">
        <v>5242000.0</v>
      </c>
      <c r="F328" s="7">
        <v>5174956.0</v>
      </c>
      <c r="G328" s="7">
        <v>1.7636725E7</v>
      </c>
      <c r="H328" s="7">
        <v>1.6617794553E10</v>
      </c>
      <c r="I328" s="7">
        <v>221541.0</v>
      </c>
      <c r="J328" s="7">
        <v>212872.0</v>
      </c>
      <c r="K328" s="7">
        <v>8669.0</v>
      </c>
      <c r="L328" s="7">
        <v>44.53</v>
      </c>
      <c r="M328" s="7">
        <v>-0.07</v>
      </c>
      <c r="N328" s="7">
        <v>13991.0</v>
      </c>
      <c r="O328" s="7">
        <v>2251353.0</v>
      </c>
      <c r="P328" s="7" t="s">
        <v>411</v>
      </c>
      <c r="Q328" s="7">
        <v>5003.87</v>
      </c>
      <c r="R328" s="3">
        <f t="shared" si="1"/>
        <v>10000</v>
      </c>
    </row>
    <row r="329" ht="22.5" customHeight="1">
      <c r="B329" s="7" t="s">
        <v>338</v>
      </c>
      <c r="C329" s="7">
        <v>26541.0</v>
      </c>
      <c r="D329" s="7">
        <v>117126.0</v>
      </c>
      <c r="E329" s="7">
        <v>2.5408168E7</v>
      </c>
      <c r="F329" s="7">
        <v>2.4956987E7</v>
      </c>
      <c r="G329" s="7">
        <v>2.32734775E8</v>
      </c>
      <c r="H329" s="7">
        <v>4.98303414E9</v>
      </c>
      <c r="I329" s="7">
        <v>1092597.0</v>
      </c>
      <c r="J329" s="7">
        <v>1063034.0</v>
      </c>
      <c r="K329" s="7">
        <v>29563.0</v>
      </c>
      <c r="L329" s="7">
        <v>65.19</v>
      </c>
      <c r="M329" s="7">
        <v>-0.13</v>
      </c>
      <c r="N329" s="7">
        <v>50947.0</v>
      </c>
      <c r="O329" s="7">
        <v>2.5548002E7</v>
      </c>
      <c r="P329" s="7" t="s">
        <v>411</v>
      </c>
      <c r="Q329" s="7">
        <v>5003.87</v>
      </c>
      <c r="R329" s="3">
        <f t="shared" si="1"/>
        <v>10000</v>
      </c>
    </row>
    <row r="330" ht="22.5" customHeight="1">
      <c r="B330" s="7" t="s">
        <v>339</v>
      </c>
      <c r="C330" s="7">
        <v>26541.0</v>
      </c>
      <c r="D330" s="7">
        <v>117126.0</v>
      </c>
      <c r="E330" s="7">
        <v>2.3220996E7</v>
      </c>
      <c r="F330" s="7">
        <v>2.2820732E7</v>
      </c>
      <c r="G330" s="7">
        <v>1.98186114E8</v>
      </c>
      <c r="H330" s="7">
        <v>4.471169138E9</v>
      </c>
      <c r="I330" s="7">
        <v>915673.0</v>
      </c>
      <c r="J330" s="7">
        <v>886046.0</v>
      </c>
      <c r="K330" s="7">
        <v>29627.0</v>
      </c>
      <c r="L330" s="7">
        <v>67.48</v>
      </c>
      <c r="M330" s="7">
        <v>-0.12</v>
      </c>
      <c r="N330" s="7">
        <v>51010.0</v>
      </c>
      <c r="O330" s="7">
        <v>2.1815651E7</v>
      </c>
      <c r="P330" s="7" t="s">
        <v>411</v>
      </c>
      <c r="Q330" s="7">
        <v>5003.87</v>
      </c>
      <c r="R330" s="3">
        <f t="shared" si="1"/>
        <v>10000</v>
      </c>
    </row>
    <row r="331" ht="22.5" customHeight="1">
      <c r="B331" s="7" t="s">
        <v>341</v>
      </c>
      <c r="C331" s="7">
        <v>26541.0</v>
      </c>
      <c r="D331" s="7">
        <v>117126.0</v>
      </c>
      <c r="E331" s="7">
        <v>2.4248514E7</v>
      </c>
      <c r="F331" s="7">
        <v>2.3842007E7</v>
      </c>
      <c r="G331" s="7">
        <v>2.16066169E8</v>
      </c>
      <c r="H331" s="7">
        <v>4.674786741E9</v>
      </c>
      <c r="I331" s="7">
        <v>1068764.0</v>
      </c>
      <c r="J331" s="7">
        <v>1038753.0</v>
      </c>
      <c r="K331" s="7">
        <v>30011.0</v>
      </c>
      <c r="L331" s="7">
        <v>66.69</v>
      </c>
      <c r="M331" s="7">
        <v>-0.13</v>
      </c>
      <c r="N331" s="7">
        <v>51386.0</v>
      </c>
      <c r="O331" s="7">
        <v>2.1495058E7</v>
      </c>
      <c r="P331" s="7" t="s">
        <v>411</v>
      </c>
      <c r="Q331" s="7">
        <v>5003.87</v>
      </c>
      <c r="R331" s="3">
        <f t="shared" si="1"/>
        <v>10000</v>
      </c>
    </row>
    <row r="332" ht="22.5" customHeight="1">
      <c r="B332" s="7" t="s">
        <v>343</v>
      </c>
      <c r="C332" s="7">
        <v>26541.0</v>
      </c>
      <c r="D332" s="7">
        <v>117126.0</v>
      </c>
      <c r="E332" s="7">
        <v>2.3256296E7</v>
      </c>
      <c r="F332" s="7">
        <v>2.2860998E7</v>
      </c>
      <c r="G332" s="7">
        <v>2.03444147E8</v>
      </c>
      <c r="H332" s="7">
        <v>4.549201912E9</v>
      </c>
      <c r="I332" s="7">
        <v>971112.0</v>
      </c>
      <c r="J332" s="7">
        <v>941180.0</v>
      </c>
      <c r="K332" s="7">
        <v>29932.0</v>
      </c>
      <c r="L332" s="7">
        <v>68.1</v>
      </c>
      <c r="M332" s="7">
        <v>-0.12</v>
      </c>
      <c r="N332" s="7">
        <v>51310.0</v>
      </c>
      <c r="O332" s="7">
        <v>2.0761383E7</v>
      </c>
      <c r="P332" s="7" t="s">
        <v>411</v>
      </c>
      <c r="Q332" s="7">
        <v>5003.87</v>
      </c>
      <c r="R332" s="3">
        <f t="shared" si="1"/>
        <v>10000</v>
      </c>
    </row>
    <row r="333" ht="22.5" customHeight="1">
      <c r="B333" s="7" t="s">
        <v>347</v>
      </c>
      <c r="C333" s="7">
        <v>26541.0</v>
      </c>
      <c r="D333" s="7">
        <v>117126.0</v>
      </c>
      <c r="E333" s="7">
        <v>2.6508606E7</v>
      </c>
      <c r="F333" s="7">
        <v>2.6028355E7</v>
      </c>
      <c r="G333" s="7">
        <v>2.7289646E8</v>
      </c>
      <c r="H333" s="7">
        <v>5.331972292E9</v>
      </c>
      <c r="I333" s="7">
        <v>1341356.0</v>
      </c>
      <c r="J333" s="7">
        <v>1311377.0</v>
      </c>
      <c r="K333" s="7">
        <v>29979.0</v>
      </c>
      <c r="L333" s="7">
        <v>63.21</v>
      </c>
      <c r="M333" s="7">
        <v>-0.14</v>
      </c>
      <c r="N333" s="7">
        <v>51356.0</v>
      </c>
      <c r="O333" s="7">
        <v>2.6149153E7</v>
      </c>
      <c r="P333" s="7" t="s">
        <v>411</v>
      </c>
      <c r="Q333" s="7">
        <v>5003.87</v>
      </c>
      <c r="R333" s="3">
        <f t="shared" si="1"/>
        <v>10000</v>
      </c>
    </row>
    <row r="334" ht="22.5" customHeight="1">
      <c r="B334" s="7" t="s">
        <v>348</v>
      </c>
      <c r="C334" s="7">
        <v>26541.0</v>
      </c>
      <c r="D334" s="7">
        <v>117126.0</v>
      </c>
      <c r="E334" s="7">
        <v>2.5524116E7</v>
      </c>
      <c r="F334" s="7">
        <v>2.50654E7</v>
      </c>
      <c r="G334" s="7">
        <v>2.53726335E8</v>
      </c>
      <c r="H334" s="7">
        <v>5.056583735E9</v>
      </c>
      <c r="I334" s="7">
        <v>1230460.0</v>
      </c>
      <c r="J334" s="7">
        <v>1200847.0</v>
      </c>
      <c r="K334" s="7">
        <v>29613.0</v>
      </c>
      <c r="L334" s="7">
        <v>63.6</v>
      </c>
      <c r="M334" s="7">
        <v>-0.14</v>
      </c>
      <c r="N334" s="7">
        <v>50996.0</v>
      </c>
      <c r="O334" s="7">
        <v>2.4783266E7</v>
      </c>
      <c r="P334" s="7" t="s">
        <v>411</v>
      </c>
      <c r="Q334" s="7">
        <v>5003.87</v>
      </c>
      <c r="R334" s="3">
        <f t="shared" si="1"/>
        <v>10000</v>
      </c>
    </row>
    <row r="335" ht="22.5" customHeight="1">
      <c r="B335" s="7" t="s">
        <v>351</v>
      </c>
      <c r="C335" s="7">
        <v>26541.0</v>
      </c>
      <c r="D335" s="7">
        <v>117126.0</v>
      </c>
      <c r="E335" s="7">
        <v>2.6797835E7</v>
      </c>
      <c r="F335" s="7">
        <v>2.631029E7</v>
      </c>
      <c r="G335" s="7">
        <v>2.67756426E8</v>
      </c>
      <c r="H335" s="7">
        <v>5.354122286E9</v>
      </c>
      <c r="I335" s="7">
        <v>1292196.0</v>
      </c>
      <c r="J335" s="7">
        <v>1262573.0</v>
      </c>
      <c r="K335" s="7">
        <v>29623.0</v>
      </c>
      <c r="L335" s="7">
        <v>63.37</v>
      </c>
      <c r="M335" s="7">
        <v>-0.14</v>
      </c>
      <c r="N335" s="7">
        <v>51006.0</v>
      </c>
      <c r="O335" s="7">
        <v>2.7149432E7</v>
      </c>
      <c r="P335" s="7" t="s">
        <v>411</v>
      </c>
      <c r="Q335" s="7">
        <v>5003.87</v>
      </c>
      <c r="R335" s="3">
        <f t="shared" si="1"/>
        <v>10000</v>
      </c>
    </row>
    <row r="336" ht="22.5" customHeight="1">
      <c r="B336" s="7" t="s">
        <v>353</v>
      </c>
      <c r="C336" s="7">
        <v>26541.0</v>
      </c>
      <c r="D336" s="7">
        <v>117126.0</v>
      </c>
      <c r="E336" s="7">
        <v>2.6164957E7</v>
      </c>
      <c r="F336" s="7">
        <v>2.568521E7</v>
      </c>
      <c r="G336" s="7">
        <v>2.57772731E8</v>
      </c>
      <c r="H336" s="7">
        <v>5.276327687E9</v>
      </c>
      <c r="I336" s="7">
        <v>1247441.0</v>
      </c>
      <c r="J336" s="7">
        <v>1217623.0</v>
      </c>
      <c r="K336" s="7">
        <v>29818.0</v>
      </c>
      <c r="L336" s="7">
        <v>66.76</v>
      </c>
      <c r="M336" s="7">
        <v>-0.13</v>
      </c>
      <c r="N336" s="7">
        <v>51196.0</v>
      </c>
      <c r="O336" s="7">
        <v>2.5603805E7</v>
      </c>
      <c r="P336" s="7" t="s">
        <v>411</v>
      </c>
      <c r="Q336" s="7">
        <v>5003.87</v>
      </c>
      <c r="R336" s="3">
        <f t="shared" si="1"/>
        <v>10000</v>
      </c>
    </row>
    <row r="337" ht="22.5" customHeight="1">
      <c r="B337" s="7" t="s">
        <v>374</v>
      </c>
      <c r="C337" s="7">
        <v>3090.0</v>
      </c>
      <c r="D337" s="7">
        <v>59825.0</v>
      </c>
      <c r="E337" s="7">
        <v>7234218.0</v>
      </c>
      <c r="F337" s="7">
        <v>7163372.0</v>
      </c>
      <c r="G337" s="7">
        <v>1.4758332E7</v>
      </c>
      <c r="H337" s="7">
        <v>1.12230581E9</v>
      </c>
      <c r="I337" s="7">
        <v>390364.0</v>
      </c>
      <c r="J337" s="7">
        <v>382240.0</v>
      </c>
      <c r="K337" s="7">
        <v>8124.0</v>
      </c>
      <c r="L337" s="7">
        <v>24.84</v>
      </c>
      <c r="M337" s="7">
        <v>-0.08</v>
      </c>
      <c r="N337" s="7">
        <v>13454.0</v>
      </c>
      <c r="O337" s="7">
        <v>3422198.0</v>
      </c>
      <c r="P337" s="7" t="s">
        <v>411</v>
      </c>
      <c r="Q337" s="7">
        <v>5003.87</v>
      </c>
      <c r="R337" s="3">
        <f t="shared" si="1"/>
        <v>10000</v>
      </c>
    </row>
    <row r="338" ht="22.5" customHeight="1">
      <c r="B338" s="7" t="s">
        <v>390</v>
      </c>
      <c r="C338" s="7">
        <v>2929760.0</v>
      </c>
      <c r="D338" s="7">
        <v>6277585.0</v>
      </c>
      <c r="E338" s="7">
        <v>3260820.0</v>
      </c>
      <c r="F338" s="7">
        <v>2940670.0</v>
      </c>
      <c r="G338" s="7">
        <v>3.314921E7</v>
      </c>
      <c r="H338" s="7">
        <v>4.1277299E9</v>
      </c>
      <c r="I338" s="7">
        <v>58142.0</v>
      </c>
      <c r="J338" s="7">
        <v>52173.0</v>
      </c>
      <c r="K338" s="7">
        <v>5969.0</v>
      </c>
      <c r="L338" s="7">
        <v>564.95</v>
      </c>
      <c r="M338" s="7">
        <v>-0.07</v>
      </c>
      <c r="N338" s="7">
        <v>9621.0</v>
      </c>
      <c r="O338" s="7">
        <v>3970039.0</v>
      </c>
      <c r="P338" s="7" t="s">
        <v>411</v>
      </c>
      <c r="Q338" s="7">
        <v>5003.87</v>
      </c>
      <c r="R338" s="3">
        <f t="shared" si="1"/>
        <v>10000</v>
      </c>
    </row>
    <row r="339" ht="22.5" customHeight="1">
      <c r="B339" s="7" t="s">
        <v>329</v>
      </c>
      <c r="C339" s="7">
        <v>6300.0</v>
      </c>
      <c r="D339" s="7">
        <v>114816.0</v>
      </c>
      <c r="E339" s="7">
        <v>3.4153101E7</v>
      </c>
      <c r="F339" s="7">
        <v>3.3877835E7</v>
      </c>
      <c r="G339" s="7">
        <v>3.8662572E7</v>
      </c>
      <c r="H339" s="7">
        <v>2.321785907E9</v>
      </c>
      <c r="I339" s="7">
        <v>1185478.0</v>
      </c>
      <c r="J339" s="7">
        <v>1142852.0</v>
      </c>
      <c r="K339" s="7">
        <v>42626.0</v>
      </c>
      <c r="L339" s="7">
        <v>53.04</v>
      </c>
      <c r="M339" s="7">
        <v>-0.03</v>
      </c>
      <c r="N339" s="7">
        <v>66509.0</v>
      </c>
      <c r="O339" s="7">
        <v>1.9386912E7</v>
      </c>
      <c r="P339" s="7" t="s">
        <v>411</v>
      </c>
      <c r="Q339" s="7">
        <v>5003.88</v>
      </c>
      <c r="R339" s="3">
        <f t="shared" si="1"/>
        <v>10000</v>
      </c>
    </row>
    <row r="340" ht="22.5" customHeight="1">
      <c r="B340" s="7" t="s">
        <v>359</v>
      </c>
      <c r="C340" s="7">
        <v>1315.0</v>
      </c>
      <c r="D340" s="7">
        <v>5254.0</v>
      </c>
      <c r="E340" s="7">
        <v>2.0317495E7</v>
      </c>
      <c r="F340" s="7">
        <v>2.0141584E7</v>
      </c>
      <c r="G340" s="7">
        <v>3.0399176E7</v>
      </c>
      <c r="H340" s="7">
        <v>1.54535144E9</v>
      </c>
      <c r="I340" s="7">
        <v>772037.0</v>
      </c>
      <c r="J340" s="7">
        <v>739287.0</v>
      </c>
      <c r="K340" s="7">
        <v>32750.0</v>
      </c>
      <c r="L340" s="7">
        <v>22.97</v>
      </c>
      <c r="M340" s="7">
        <v>-0.04</v>
      </c>
      <c r="N340" s="7">
        <v>54076.0</v>
      </c>
      <c r="O340" s="7">
        <v>7347341.0</v>
      </c>
      <c r="P340" s="7" t="s">
        <v>411</v>
      </c>
      <c r="Q340" s="7">
        <v>5003.88</v>
      </c>
      <c r="R340" s="3">
        <f t="shared" si="1"/>
        <v>10000</v>
      </c>
    </row>
    <row r="341" ht="22.5" customHeight="1">
      <c r="B341" s="7" t="s">
        <v>367</v>
      </c>
      <c r="C341" s="7">
        <v>1740.0</v>
      </c>
      <c r="D341" s="7">
        <v>104640.0</v>
      </c>
      <c r="E341" s="7">
        <v>1.7377554E7</v>
      </c>
      <c r="F341" s="7">
        <v>1.7124567E7</v>
      </c>
      <c r="G341" s="7">
        <v>3.3738974E7</v>
      </c>
      <c r="H341" s="7">
        <v>1.275453425E9</v>
      </c>
      <c r="I341" s="7">
        <v>549037.0</v>
      </c>
      <c r="J341" s="7">
        <v>515868.0</v>
      </c>
      <c r="K341" s="7">
        <v>33169.0</v>
      </c>
      <c r="L341" s="7">
        <v>32.91</v>
      </c>
      <c r="M341" s="7">
        <v>-0.06</v>
      </c>
      <c r="N341" s="7">
        <v>54464.0</v>
      </c>
      <c r="O341" s="7">
        <v>5385413.0</v>
      </c>
      <c r="P341" s="7" t="s">
        <v>411</v>
      </c>
      <c r="Q341" s="7">
        <v>5003.88</v>
      </c>
      <c r="R341" s="3">
        <f t="shared" si="1"/>
        <v>10000</v>
      </c>
    </row>
    <row r="342" ht="22.5" customHeight="1">
      <c r="B342" s="7" t="s">
        <v>383</v>
      </c>
      <c r="C342" s="7">
        <v>53118.0</v>
      </c>
      <c r="D342" s="7">
        <v>168346.0</v>
      </c>
      <c r="E342" s="7">
        <v>1.4819502E7</v>
      </c>
      <c r="F342" s="7">
        <v>1.4518401E7</v>
      </c>
      <c r="G342" s="7">
        <v>4.5540003E7</v>
      </c>
      <c r="H342" s="7">
        <v>5.758544267E9</v>
      </c>
      <c r="I342" s="7">
        <v>499224.0</v>
      </c>
      <c r="J342" s="7">
        <v>472227.0</v>
      </c>
      <c r="K342" s="7">
        <v>26997.0</v>
      </c>
      <c r="L342" s="7">
        <v>70.43</v>
      </c>
      <c r="M342" s="7">
        <v>-0.08</v>
      </c>
      <c r="N342" s="7">
        <v>45259.0</v>
      </c>
      <c r="O342" s="7">
        <v>4841298.0</v>
      </c>
      <c r="P342" s="7" t="s">
        <v>411</v>
      </c>
      <c r="Q342" s="7">
        <v>5003.88</v>
      </c>
      <c r="R342" s="3">
        <f t="shared" si="1"/>
        <v>10000</v>
      </c>
    </row>
    <row r="343" ht="22.5" customHeight="1">
      <c r="B343" s="7" t="s">
        <v>384</v>
      </c>
      <c r="C343" s="7">
        <v>73074.0</v>
      </c>
      <c r="D343" s="7">
        <v>231921.0</v>
      </c>
      <c r="E343" s="7">
        <v>1.9033663E7</v>
      </c>
      <c r="F343" s="7">
        <v>1.8624064E7</v>
      </c>
      <c r="G343" s="7">
        <v>7.4231415E7</v>
      </c>
      <c r="H343" s="7">
        <v>8.967924734E9</v>
      </c>
      <c r="I343" s="7">
        <v>726945.0</v>
      </c>
      <c r="J343" s="7">
        <v>695987.0</v>
      </c>
      <c r="K343" s="7">
        <v>30958.0</v>
      </c>
      <c r="L343" s="7">
        <v>78.06</v>
      </c>
      <c r="M343" s="7">
        <v>-0.09</v>
      </c>
      <c r="N343" s="7">
        <v>52283.0</v>
      </c>
      <c r="O343" s="7">
        <v>7385266.0</v>
      </c>
      <c r="P343" s="7" t="s">
        <v>411</v>
      </c>
      <c r="Q343" s="7">
        <v>5003.88</v>
      </c>
      <c r="R343" s="3">
        <f t="shared" si="1"/>
        <v>10000</v>
      </c>
    </row>
    <row r="344" ht="22.5" customHeight="1">
      <c r="B344" s="7" t="s">
        <v>262</v>
      </c>
      <c r="C344" s="7">
        <v>4128.0</v>
      </c>
      <c r="D344" s="7">
        <v>72562.0</v>
      </c>
      <c r="E344" s="7">
        <v>1.9845584E7</v>
      </c>
      <c r="F344" s="7">
        <v>1.9320602E7</v>
      </c>
      <c r="G344" s="7">
        <v>2.18761308E8</v>
      </c>
      <c r="H344" s="7">
        <v>2.60350078E9</v>
      </c>
      <c r="I344" s="7">
        <v>677750.0</v>
      </c>
      <c r="J344" s="7">
        <v>644746.0</v>
      </c>
      <c r="K344" s="7">
        <v>33004.0</v>
      </c>
      <c r="L344" s="7">
        <v>97.66</v>
      </c>
      <c r="M344" s="7">
        <v>-0.16</v>
      </c>
      <c r="N344" s="7">
        <v>54318.0</v>
      </c>
      <c r="O344" s="7">
        <v>2.952576E7</v>
      </c>
      <c r="P344" s="7" t="s">
        <v>411</v>
      </c>
      <c r="Q344" s="7">
        <v>5003.89</v>
      </c>
      <c r="R344" s="3">
        <f t="shared" si="1"/>
        <v>10000</v>
      </c>
    </row>
    <row r="345" ht="22.5" customHeight="1">
      <c r="B345" s="7" t="s">
        <v>267</v>
      </c>
      <c r="C345" s="7">
        <v>4288.0</v>
      </c>
      <c r="D345" s="7">
        <v>76698.0</v>
      </c>
      <c r="E345" s="7">
        <v>1.9181526E7</v>
      </c>
      <c r="F345" s="7">
        <v>1.8667044E7</v>
      </c>
      <c r="G345" s="7">
        <v>2.35429692E8</v>
      </c>
      <c r="H345" s="7">
        <v>2.584362463E9</v>
      </c>
      <c r="I345" s="7">
        <v>632782.0</v>
      </c>
      <c r="J345" s="7">
        <v>601158.0</v>
      </c>
      <c r="K345" s="7">
        <v>31624.0</v>
      </c>
      <c r="L345" s="7">
        <v>99.09</v>
      </c>
      <c r="M345" s="7">
        <v>-0.16</v>
      </c>
      <c r="N345" s="7">
        <v>52961.0</v>
      </c>
      <c r="O345" s="7">
        <v>3.3428923E7</v>
      </c>
      <c r="P345" s="7" t="s">
        <v>411</v>
      </c>
      <c r="Q345" s="7">
        <v>5003.89</v>
      </c>
      <c r="R345" s="3">
        <f t="shared" si="1"/>
        <v>10000</v>
      </c>
    </row>
    <row r="346" ht="22.5" customHeight="1">
      <c r="B346" s="7" t="s">
        <v>270</v>
      </c>
      <c r="C346" s="7">
        <v>4448.0</v>
      </c>
      <c r="D346" s="7">
        <v>80690.0</v>
      </c>
      <c r="E346" s="7">
        <v>1.9022356E7</v>
      </c>
      <c r="F346" s="7">
        <v>1.8527867E7</v>
      </c>
      <c r="G346" s="7">
        <v>1.97492702E8</v>
      </c>
      <c r="H346" s="7">
        <v>2.417795822E9</v>
      </c>
      <c r="I346" s="7">
        <v>610864.0</v>
      </c>
      <c r="J346" s="7">
        <v>579906.0</v>
      </c>
      <c r="K346" s="7">
        <v>30958.0</v>
      </c>
      <c r="L346" s="7">
        <v>94.93</v>
      </c>
      <c r="M346" s="7">
        <v>-0.15</v>
      </c>
      <c r="N346" s="7">
        <v>52308.0</v>
      </c>
      <c r="O346" s="7">
        <v>2.6993298E7</v>
      </c>
      <c r="P346" s="7" t="s">
        <v>411</v>
      </c>
      <c r="Q346" s="7">
        <v>5003.89</v>
      </c>
      <c r="R346" s="3">
        <f t="shared" si="1"/>
        <v>10000</v>
      </c>
    </row>
    <row r="347" ht="22.5" customHeight="1">
      <c r="B347" s="7" t="s">
        <v>363</v>
      </c>
      <c r="C347" s="7">
        <v>480.0</v>
      </c>
      <c r="D347" s="7">
        <v>3632.0</v>
      </c>
      <c r="E347" s="7">
        <v>2.2275467E7</v>
      </c>
      <c r="F347" s="7">
        <v>2.2110525E7</v>
      </c>
      <c r="G347" s="7">
        <v>2.5515167E7</v>
      </c>
      <c r="H347" s="7">
        <v>3.82974492E8</v>
      </c>
      <c r="I347" s="7">
        <v>694675.0</v>
      </c>
      <c r="J347" s="7">
        <v>654074.0</v>
      </c>
      <c r="K347" s="7">
        <v>40601.0</v>
      </c>
      <c r="L347" s="7">
        <v>66.5</v>
      </c>
      <c r="M347" s="7">
        <v>-0.03</v>
      </c>
      <c r="N347" s="7">
        <v>61729.0</v>
      </c>
      <c r="O347" s="7">
        <v>9647438.0</v>
      </c>
      <c r="P347" s="7" t="s">
        <v>411</v>
      </c>
      <c r="Q347" s="7">
        <v>5003.89</v>
      </c>
      <c r="R347" s="3">
        <f t="shared" si="1"/>
        <v>10000</v>
      </c>
    </row>
    <row r="348" ht="22.5" customHeight="1">
      <c r="B348" s="7" t="s">
        <v>264</v>
      </c>
      <c r="C348" s="7">
        <v>4288.0</v>
      </c>
      <c r="D348" s="7">
        <v>76700.0</v>
      </c>
      <c r="E348" s="7">
        <v>2.0450941E7</v>
      </c>
      <c r="F348" s="7">
        <v>1.9887648E7</v>
      </c>
      <c r="G348" s="7">
        <v>2.67052723E8</v>
      </c>
      <c r="H348" s="7">
        <v>2.838394004E9</v>
      </c>
      <c r="I348" s="7">
        <v>718667.0</v>
      </c>
      <c r="J348" s="7">
        <v>685762.0</v>
      </c>
      <c r="K348" s="7">
        <v>32905.0</v>
      </c>
      <c r="L348" s="7">
        <v>102.66</v>
      </c>
      <c r="M348" s="7">
        <v>-0.17</v>
      </c>
      <c r="N348" s="7">
        <v>54219.0</v>
      </c>
      <c r="O348" s="7">
        <v>3.8223919E7</v>
      </c>
      <c r="P348" s="7" t="s">
        <v>411</v>
      </c>
      <c r="Q348" s="7">
        <v>5003.9</v>
      </c>
      <c r="R348" s="3">
        <f t="shared" si="1"/>
        <v>10000</v>
      </c>
    </row>
    <row r="349" ht="22.5" customHeight="1">
      <c r="B349" s="7" t="s">
        <v>273</v>
      </c>
      <c r="C349" s="7">
        <v>1164.0</v>
      </c>
      <c r="D349" s="7">
        <v>28980.0</v>
      </c>
      <c r="E349" s="7">
        <v>1.1139504E7</v>
      </c>
      <c r="F349" s="7">
        <v>1.1049304E7</v>
      </c>
      <c r="G349" s="7">
        <v>2.1180176E7</v>
      </c>
      <c r="H349" s="7">
        <v>1.390170915E9</v>
      </c>
      <c r="I349" s="7">
        <v>501566.0</v>
      </c>
      <c r="J349" s="7">
        <v>483140.0</v>
      </c>
      <c r="K349" s="7">
        <v>18426.0</v>
      </c>
      <c r="L349" s="7">
        <v>34.6</v>
      </c>
      <c r="M349" s="7">
        <v>-0.06</v>
      </c>
      <c r="N349" s="7">
        <v>29494.0</v>
      </c>
      <c r="O349" s="7">
        <v>4373545.0</v>
      </c>
      <c r="P349" s="7" t="s">
        <v>411</v>
      </c>
      <c r="Q349" s="7">
        <v>5003.9</v>
      </c>
      <c r="R349" s="3">
        <f t="shared" si="1"/>
        <v>10000</v>
      </c>
    </row>
    <row r="350" ht="22.5" customHeight="1">
      <c r="B350" s="7" t="s">
        <v>288</v>
      </c>
      <c r="C350" s="7">
        <v>708290.0</v>
      </c>
      <c r="D350" s="7">
        <v>5425469.0</v>
      </c>
      <c r="E350" s="7">
        <v>3633948.0</v>
      </c>
      <c r="F350" s="7">
        <v>3476717.0</v>
      </c>
      <c r="G350" s="7">
        <v>4.554925E7</v>
      </c>
      <c r="H350" s="7">
        <v>5.426003472E9</v>
      </c>
      <c r="I350" s="7">
        <v>98464.0</v>
      </c>
      <c r="J350" s="7">
        <v>92777.0</v>
      </c>
      <c r="K350" s="7">
        <v>5687.0</v>
      </c>
      <c r="L350" s="7">
        <v>225.46</v>
      </c>
      <c r="M350" s="7">
        <v>-0.17</v>
      </c>
      <c r="N350" s="7">
        <v>10131.0</v>
      </c>
      <c r="O350" s="7">
        <v>6697232.0</v>
      </c>
      <c r="P350" s="7" t="s">
        <v>411</v>
      </c>
      <c r="Q350" s="7">
        <v>5003.9</v>
      </c>
      <c r="R350" s="3">
        <f t="shared" si="1"/>
        <v>10000</v>
      </c>
    </row>
    <row r="351" ht="22.5" customHeight="1">
      <c r="B351" s="7" t="s">
        <v>349</v>
      </c>
      <c r="C351" s="7">
        <v>26541.0</v>
      </c>
      <c r="D351" s="7">
        <v>117126.0</v>
      </c>
      <c r="E351" s="7">
        <v>2.4387815E7</v>
      </c>
      <c r="F351" s="7">
        <v>2.3952133E7</v>
      </c>
      <c r="G351" s="7">
        <v>2.1801701E8</v>
      </c>
      <c r="H351" s="7">
        <v>4.733889088E9</v>
      </c>
      <c r="I351" s="7">
        <v>1018584.0</v>
      </c>
      <c r="J351" s="7">
        <v>988854.0</v>
      </c>
      <c r="K351" s="7">
        <v>29730.0</v>
      </c>
      <c r="L351" s="7">
        <v>66.22</v>
      </c>
      <c r="M351" s="7">
        <v>-0.13</v>
      </c>
      <c r="N351" s="7">
        <v>51110.0</v>
      </c>
      <c r="O351" s="7">
        <v>2.3772336E7</v>
      </c>
      <c r="P351" s="7" t="s">
        <v>411</v>
      </c>
      <c r="Q351" s="7">
        <v>5003.9</v>
      </c>
      <c r="R351" s="3">
        <f t="shared" si="1"/>
        <v>10000</v>
      </c>
    </row>
    <row r="352" ht="22.5" customHeight="1">
      <c r="B352" s="7" t="s">
        <v>365</v>
      </c>
      <c r="C352" s="7">
        <v>5000.0</v>
      </c>
      <c r="D352" s="7">
        <v>21250.0</v>
      </c>
      <c r="E352" s="7">
        <v>1.768399E7</v>
      </c>
      <c r="F352" s="7">
        <v>1.7267873E7</v>
      </c>
      <c r="G352" s="7">
        <v>3.9180922E7</v>
      </c>
      <c r="H352" s="7">
        <v>3.336860168E9</v>
      </c>
      <c r="I352" s="7">
        <v>513644.0</v>
      </c>
      <c r="J352" s="7">
        <v>481453.0</v>
      </c>
      <c r="K352" s="7">
        <v>32191.0</v>
      </c>
      <c r="L352" s="7">
        <v>34.87</v>
      </c>
      <c r="M352" s="7">
        <v>-0.06</v>
      </c>
      <c r="N352" s="7">
        <v>53509.0</v>
      </c>
      <c r="O352" s="7">
        <v>5800462.0</v>
      </c>
      <c r="P352" s="7" t="s">
        <v>411</v>
      </c>
      <c r="Q352" s="7">
        <v>5003.9</v>
      </c>
      <c r="R352" s="3">
        <f t="shared" si="1"/>
        <v>10000</v>
      </c>
    </row>
    <row r="353" ht="22.5" customHeight="1">
      <c r="B353" s="7" t="s">
        <v>371</v>
      </c>
      <c r="C353" s="7">
        <v>1000.0</v>
      </c>
      <c r="D353" s="7">
        <v>21405.0</v>
      </c>
      <c r="E353" s="7">
        <v>8.0107374E7</v>
      </c>
      <c r="F353" s="7">
        <v>5.9371209E7</v>
      </c>
      <c r="G353" s="7">
        <v>8.12393299E8</v>
      </c>
      <c r="H353" s="7">
        <v>9.614955427E9</v>
      </c>
      <c r="I353" s="7">
        <v>483879.0</v>
      </c>
      <c r="J353" s="7">
        <v>289647.0</v>
      </c>
      <c r="K353" s="7">
        <v>194232.0</v>
      </c>
      <c r="L353" s="7">
        <v>43.29</v>
      </c>
      <c r="M353" s="7">
        <v>-0.04</v>
      </c>
      <c r="N353" s="7">
        <v>271641.0</v>
      </c>
      <c r="O353" s="7">
        <v>1.85558859E8</v>
      </c>
      <c r="P353" s="7" t="s">
        <v>411</v>
      </c>
      <c r="Q353" s="7">
        <v>5003.9</v>
      </c>
      <c r="R353" s="3">
        <f t="shared" si="1"/>
        <v>10000</v>
      </c>
    </row>
    <row r="354" ht="22.5" customHeight="1">
      <c r="B354" s="7" t="s">
        <v>280</v>
      </c>
      <c r="C354" s="7">
        <v>69644.0</v>
      </c>
      <c r="D354" s="7">
        <v>368587.0</v>
      </c>
      <c r="E354" s="7">
        <v>1.4535374E7</v>
      </c>
      <c r="F354" s="7">
        <v>1.4219896E7</v>
      </c>
      <c r="G354" s="7">
        <v>3.3911234E7</v>
      </c>
      <c r="H354" s="7">
        <v>4.466490566E9</v>
      </c>
      <c r="I354" s="7">
        <v>420681.0</v>
      </c>
      <c r="J354" s="7">
        <v>393206.0</v>
      </c>
      <c r="K354" s="7">
        <v>27475.0</v>
      </c>
      <c r="L354" s="7">
        <v>87.76</v>
      </c>
      <c r="M354" s="7">
        <v>-0.08</v>
      </c>
      <c r="N354" s="7">
        <v>45150.0</v>
      </c>
      <c r="O354" s="7">
        <v>6245264.0</v>
      </c>
      <c r="P354" s="7" t="s">
        <v>411</v>
      </c>
      <c r="Q354" s="7">
        <v>5003.91</v>
      </c>
      <c r="R354" s="3">
        <f t="shared" si="1"/>
        <v>10000</v>
      </c>
    </row>
    <row r="355" ht="22.5" customHeight="1">
      <c r="B355" s="7" t="s">
        <v>285</v>
      </c>
      <c r="C355" s="7">
        <v>4660.0</v>
      </c>
      <c r="D355" s="7">
        <v>13676.0</v>
      </c>
      <c r="E355" s="7">
        <v>2.0267247E7</v>
      </c>
      <c r="F355" s="7">
        <v>2.0256696E7</v>
      </c>
      <c r="G355" s="7">
        <v>2.0441968E7</v>
      </c>
      <c r="H355" s="7">
        <v>4.037633135E9</v>
      </c>
      <c r="I355" s="7">
        <v>346353.0</v>
      </c>
      <c r="J355" s="7">
        <v>311754.0</v>
      </c>
      <c r="K355" s="7">
        <v>34599.0</v>
      </c>
      <c r="L355" s="7">
        <v>48.83</v>
      </c>
      <c r="M355" s="7">
        <v>0.0</v>
      </c>
      <c r="N355" s="7">
        <v>55961.0</v>
      </c>
      <c r="O355" s="7">
        <v>8462365.0</v>
      </c>
      <c r="P355" s="7" t="s">
        <v>411</v>
      </c>
      <c r="Q355" s="7">
        <v>5003.91</v>
      </c>
      <c r="R355" s="3">
        <f t="shared" si="1"/>
        <v>10000</v>
      </c>
    </row>
    <row r="356" ht="22.5" customHeight="1">
      <c r="B356" s="7" t="s">
        <v>72</v>
      </c>
      <c r="C356" s="7">
        <v>4660.0</v>
      </c>
      <c r="D356" s="7">
        <v>243504.0</v>
      </c>
      <c r="E356" s="7">
        <v>8127485.0</v>
      </c>
      <c r="F356" s="7">
        <v>7913212.0</v>
      </c>
      <c r="G356" s="7">
        <v>1.7798716E7</v>
      </c>
      <c r="H356" s="7">
        <v>1.660793993E9</v>
      </c>
      <c r="I356" s="7">
        <v>281852.0</v>
      </c>
      <c r="J356" s="7">
        <v>273954.0</v>
      </c>
      <c r="K356" s="7">
        <v>7898.0</v>
      </c>
      <c r="L356" s="7">
        <v>148.96</v>
      </c>
      <c r="M356" s="7">
        <v>-0.07</v>
      </c>
      <c r="N356" s="7">
        <v>13220.0</v>
      </c>
      <c r="O356" s="7">
        <v>5490709.0</v>
      </c>
      <c r="P356" s="7" t="s">
        <v>411</v>
      </c>
      <c r="Q356" s="7">
        <v>5003.91</v>
      </c>
      <c r="R356" s="3">
        <f t="shared" si="1"/>
        <v>10000</v>
      </c>
    </row>
    <row r="357" ht="22.5" customHeight="1">
      <c r="B357" s="7" t="s">
        <v>389</v>
      </c>
      <c r="C357" s="7">
        <v>11244.0</v>
      </c>
      <c r="D357" s="7">
        <v>99730.0</v>
      </c>
      <c r="E357" s="7">
        <v>8182390.0</v>
      </c>
      <c r="F357" s="7">
        <v>8057806.0</v>
      </c>
      <c r="G357" s="7">
        <v>2.3044582E7</v>
      </c>
      <c r="H357" s="7">
        <v>1.346950247E9</v>
      </c>
      <c r="I357" s="7">
        <v>399828.0</v>
      </c>
      <c r="J357" s="7">
        <v>391751.0</v>
      </c>
      <c r="K357" s="7">
        <v>8077.0</v>
      </c>
      <c r="L357" s="7">
        <v>30.39</v>
      </c>
      <c r="M357" s="7">
        <v>-0.1</v>
      </c>
      <c r="N357" s="7">
        <v>13410.0</v>
      </c>
      <c r="O357" s="7">
        <v>5099688.0</v>
      </c>
      <c r="P357" s="7" t="s">
        <v>411</v>
      </c>
      <c r="Q357" s="7">
        <v>5003.91</v>
      </c>
      <c r="R357" s="3">
        <f t="shared" si="1"/>
        <v>10000</v>
      </c>
    </row>
    <row r="358" ht="22.5" customHeight="1">
      <c r="B358" s="7" t="s">
        <v>254</v>
      </c>
      <c r="C358" s="7">
        <v>3906.0</v>
      </c>
      <c r="D358" s="7">
        <v>1.3611728E7</v>
      </c>
      <c r="E358" s="7">
        <v>1.8651551E7</v>
      </c>
      <c r="F358" s="7">
        <v>1.8389454E7</v>
      </c>
      <c r="G358" s="7">
        <v>2.66070611E8</v>
      </c>
      <c r="H358" s="7">
        <v>5.87873067E8</v>
      </c>
      <c r="I358" s="7">
        <v>306604.0</v>
      </c>
      <c r="J358" s="7">
        <v>254864.0</v>
      </c>
      <c r="K358" s="7">
        <v>51740.0</v>
      </c>
      <c r="L358" s="7">
        <v>67.71</v>
      </c>
      <c r="M358" s="7">
        <v>-0.02</v>
      </c>
      <c r="N358" s="7">
        <v>72295.0</v>
      </c>
      <c r="O358" s="7">
        <v>1.07949407E8</v>
      </c>
      <c r="P358" s="7" t="s">
        <v>411</v>
      </c>
      <c r="Q358" s="7">
        <v>5003.91</v>
      </c>
      <c r="R358" s="3">
        <f t="shared" si="1"/>
        <v>10000</v>
      </c>
    </row>
    <row r="359" ht="22.5" customHeight="1">
      <c r="B359" s="7" t="s">
        <v>271</v>
      </c>
      <c r="C359" s="7">
        <v>1176.0</v>
      </c>
      <c r="D359" s="7">
        <v>78498.0</v>
      </c>
      <c r="E359" s="7">
        <v>5.5176815E7</v>
      </c>
      <c r="F359" s="7">
        <v>5.3806397E7</v>
      </c>
      <c r="G359" s="7">
        <v>2.18070635E8</v>
      </c>
      <c r="H359" s="7">
        <v>1.563944979E9</v>
      </c>
      <c r="I359" s="7">
        <v>1004675.0</v>
      </c>
      <c r="J359" s="7">
        <v>917072.0</v>
      </c>
      <c r="K359" s="7">
        <v>87603.0</v>
      </c>
      <c r="L359" s="7">
        <v>66.22</v>
      </c>
      <c r="M359" s="7">
        <v>-0.08</v>
      </c>
      <c r="N359" s="7">
        <v>152860.0</v>
      </c>
      <c r="O359" s="7">
        <v>2.474251E7</v>
      </c>
      <c r="P359" s="7" t="s">
        <v>411</v>
      </c>
      <c r="Q359" s="7">
        <v>5003.93</v>
      </c>
      <c r="R359" s="3">
        <f t="shared" si="1"/>
        <v>10000</v>
      </c>
    </row>
    <row r="360" ht="22.5" customHeight="1">
      <c r="B360" s="7" t="s">
        <v>301</v>
      </c>
      <c r="C360" s="7">
        <v>3001.0</v>
      </c>
      <c r="D360" s="7">
        <v>8931.0</v>
      </c>
      <c r="E360" s="7">
        <v>1.3069793E7</v>
      </c>
      <c r="F360" s="7">
        <v>1.29712E7</v>
      </c>
      <c r="G360" s="7">
        <v>1.6981675E7</v>
      </c>
      <c r="H360" s="7">
        <v>1.354841301E9</v>
      </c>
      <c r="I360" s="7">
        <v>498571.0</v>
      </c>
      <c r="J360" s="7">
        <v>474011.0</v>
      </c>
      <c r="K360" s="7">
        <v>24560.0</v>
      </c>
      <c r="L360" s="7">
        <v>32.97</v>
      </c>
      <c r="M360" s="7">
        <v>-0.03</v>
      </c>
      <c r="N360" s="7">
        <v>39388.0</v>
      </c>
      <c r="O360" s="7">
        <v>4202067.0</v>
      </c>
      <c r="P360" s="7" t="s">
        <v>411</v>
      </c>
      <c r="Q360" s="7">
        <v>5003.93</v>
      </c>
      <c r="R360" s="3">
        <f t="shared" si="1"/>
        <v>10000</v>
      </c>
    </row>
    <row r="361" ht="22.5" customHeight="1">
      <c r="B361" s="7" t="s">
        <v>395</v>
      </c>
      <c r="C361" s="7">
        <v>2734848.0</v>
      </c>
      <c r="D361" s="7">
        <v>5821656.0</v>
      </c>
      <c r="E361" s="7">
        <v>3472630.0</v>
      </c>
      <c r="F361" s="7">
        <v>3098421.0</v>
      </c>
      <c r="G361" s="7">
        <v>4.4895828E7</v>
      </c>
      <c r="H361" s="7">
        <v>4.209319065E9</v>
      </c>
      <c r="I361" s="7">
        <v>64678.0</v>
      </c>
      <c r="J361" s="7">
        <v>57995.0</v>
      </c>
      <c r="K361" s="7">
        <v>6683.0</v>
      </c>
      <c r="L361" s="7">
        <v>564.99</v>
      </c>
      <c r="M361" s="7">
        <v>-0.08</v>
      </c>
      <c r="N361" s="7">
        <v>10730.0</v>
      </c>
      <c r="O361" s="7">
        <v>4860637.0</v>
      </c>
      <c r="P361" s="7" t="s">
        <v>411</v>
      </c>
      <c r="Q361" s="7">
        <v>5003.93</v>
      </c>
      <c r="R361" s="3">
        <f t="shared" si="1"/>
        <v>10000</v>
      </c>
    </row>
    <row r="362" ht="22.5" customHeight="1">
      <c r="B362" s="7" t="s">
        <v>297</v>
      </c>
      <c r="C362" s="7">
        <v>3278.0</v>
      </c>
      <c r="D362" s="7">
        <v>9760.0</v>
      </c>
      <c r="E362" s="7">
        <v>1.3881607E7</v>
      </c>
      <c r="F362" s="7">
        <v>1.3763299E7</v>
      </c>
      <c r="G362" s="7">
        <v>1.7458592E7</v>
      </c>
      <c r="H362" s="7">
        <v>1.761123991E9</v>
      </c>
      <c r="I362" s="7">
        <v>557283.0</v>
      </c>
      <c r="J362" s="7">
        <v>530759.0</v>
      </c>
      <c r="K362" s="7">
        <v>26524.0</v>
      </c>
      <c r="L362" s="7">
        <v>30.93</v>
      </c>
      <c r="M362" s="7">
        <v>-0.03</v>
      </c>
      <c r="N362" s="7">
        <v>42942.0</v>
      </c>
      <c r="O362" s="7">
        <v>4010883.0</v>
      </c>
      <c r="P362" s="7" t="s">
        <v>411</v>
      </c>
      <c r="Q362" s="7">
        <v>5003.94</v>
      </c>
      <c r="R362" s="3">
        <f t="shared" si="1"/>
        <v>10000</v>
      </c>
    </row>
    <row r="363" ht="22.5" customHeight="1">
      <c r="B363" s="7" t="s">
        <v>272</v>
      </c>
      <c r="C363" s="7">
        <v>1097.0</v>
      </c>
      <c r="D363" s="7">
        <v>23771.0</v>
      </c>
      <c r="E363" s="7">
        <v>8631430.0</v>
      </c>
      <c r="F363" s="7">
        <v>8563966.0</v>
      </c>
      <c r="G363" s="7">
        <v>1.6292632E7</v>
      </c>
      <c r="H363" s="7">
        <v>1.17910803E9</v>
      </c>
      <c r="I363" s="7">
        <v>513216.0</v>
      </c>
      <c r="J363" s="7">
        <v>502857.0</v>
      </c>
      <c r="K363" s="7">
        <v>10359.0</v>
      </c>
      <c r="L363" s="7">
        <v>32.03</v>
      </c>
      <c r="M363" s="7">
        <v>-0.07</v>
      </c>
      <c r="N363" s="7">
        <v>16539.0</v>
      </c>
      <c r="O363" s="7">
        <v>4271786.0</v>
      </c>
      <c r="P363" s="7" t="s">
        <v>411</v>
      </c>
      <c r="Q363" s="7">
        <v>5003.98</v>
      </c>
      <c r="R363" s="3">
        <f t="shared" si="1"/>
        <v>10000</v>
      </c>
    </row>
    <row r="364" ht="22.5" customHeight="1">
      <c r="B364" s="7" t="s">
        <v>298</v>
      </c>
      <c r="C364" s="7">
        <v>3096.0</v>
      </c>
      <c r="D364" s="7">
        <v>9215.0</v>
      </c>
      <c r="E364" s="7">
        <v>1.4978603E7</v>
      </c>
      <c r="F364" s="7">
        <v>1.4870936E7</v>
      </c>
      <c r="G364" s="7">
        <v>1.9135471E7</v>
      </c>
      <c r="H364" s="7">
        <v>1.691895242E9</v>
      </c>
      <c r="I364" s="7">
        <v>519661.0</v>
      </c>
      <c r="J364" s="7">
        <v>488810.0</v>
      </c>
      <c r="K364" s="7">
        <v>30851.0</v>
      </c>
      <c r="L364" s="7">
        <v>31.87</v>
      </c>
      <c r="M364" s="7">
        <v>-0.03</v>
      </c>
      <c r="N364" s="7">
        <v>49396.0</v>
      </c>
      <c r="O364" s="7">
        <v>4136892.0</v>
      </c>
      <c r="P364" s="7" t="s">
        <v>411</v>
      </c>
      <c r="Q364" s="7">
        <v>5003.98</v>
      </c>
      <c r="R364" s="3">
        <f t="shared" si="1"/>
        <v>10000</v>
      </c>
    </row>
    <row r="365" ht="22.5" customHeight="1">
      <c r="B365" s="7" t="s">
        <v>244</v>
      </c>
      <c r="C365" s="7">
        <v>513.0</v>
      </c>
      <c r="D365" s="7">
        <v>1424.0</v>
      </c>
      <c r="E365" s="7">
        <v>2.5974738E7</v>
      </c>
      <c r="F365" s="7">
        <v>2.5807178E7</v>
      </c>
      <c r="G365" s="7">
        <v>3.200164E7</v>
      </c>
      <c r="H365" s="7">
        <v>6.06743556E8</v>
      </c>
      <c r="I365" s="7">
        <v>1107715.0</v>
      </c>
      <c r="J365" s="7">
        <v>1074368.0</v>
      </c>
      <c r="K365" s="7">
        <v>33347.0</v>
      </c>
      <c r="L365" s="7">
        <v>21.9</v>
      </c>
      <c r="M365" s="7">
        <v>-0.04</v>
      </c>
      <c r="N365" s="7">
        <v>54665.0</v>
      </c>
      <c r="O365" s="7">
        <v>1.2654318E7</v>
      </c>
      <c r="P365" s="7" t="s">
        <v>411</v>
      </c>
      <c r="Q365" s="7">
        <v>5003.99</v>
      </c>
      <c r="R365" s="3">
        <f t="shared" si="1"/>
        <v>10000</v>
      </c>
    </row>
    <row r="366" ht="22.5" customHeight="1">
      <c r="B366" s="7" t="s">
        <v>283</v>
      </c>
      <c r="C366" s="7">
        <v>621.0</v>
      </c>
      <c r="D366" s="7">
        <v>1733.0</v>
      </c>
      <c r="E366" s="7">
        <v>2.7315097E7</v>
      </c>
      <c r="F366" s="7">
        <v>2.7180794E7</v>
      </c>
      <c r="G366" s="7">
        <v>3.6712372E7</v>
      </c>
      <c r="H366" s="7">
        <v>6.5799875E8</v>
      </c>
      <c r="I366" s="7">
        <v>1202468.0</v>
      </c>
      <c r="J366" s="7">
        <v>1168958.0</v>
      </c>
      <c r="K366" s="7">
        <v>33510.0</v>
      </c>
      <c r="L366" s="7">
        <v>24.35</v>
      </c>
      <c r="M366" s="7">
        <v>-0.04</v>
      </c>
      <c r="N366" s="7">
        <v>54829.0</v>
      </c>
      <c r="O366" s="7">
        <v>1.3622952E7</v>
      </c>
      <c r="P366" s="7" t="s">
        <v>411</v>
      </c>
      <c r="Q366" s="7">
        <v>5003.99</v>
      </c>
      <c r="R366" s="3">
        <f t="shared" si="1"/>
        <v>10000</v>
      </c>
    </row>
    <row r="367" ht="22.5" customHeight="1">
      <c r="B367" s="7" t="s">
        <v>295</v>
      </c>
      <c r="C367" s="7">
        <v>5550.0</v>
      </c>
      <c r="D367" s="7">
        <v>16552.0</v>
      </c>
      <c r="E367" s="7">
        <v>1.450077E7</v>
      </c>
      <c r="F367" s="7">
        <v>1.4363684E7</v>
      </c>
      <c r="G367" s="7">
        <v>1.9325877E7</v>
      </c>
      <c r="H367" s="7">
        <v>1.926669991E9</v>
      </c>
      <c r="I367" s="7">
        <v>496918.0</v>
      </c>
      <c r="J367" s="7">
        <v>468288.0</v>
      </c>
      <c r="K367" s="7">
        <v>28630.0</v>
      </c>
      <c r="L367" s="7">
        <v>53.5</v>
      </c>
      <c r="M367" s="7">
        <v>-0.03</v>
      </c>
      <c r="N367" s="7">
        <v>46244.0</v>
      </c>
      <c r="O367" s="7">
        <v>4197621.0</v>
      </c>
      <c r="P367" s="7" t="s">
        <v>411</v>
      </c>
      <c r="Q367" s="7">
        <v>5003.99</v>
      </c>
      <c r="R367" s="3">
        <f t="shared" si="1"/>
        <v>10000</v>
      </c>
    </row>
    <row r="368" ht="22.5" customHeight="1">
      <c r="B368" s="7" t="s">
        <v>62</v>
      </c>
      <c r="C368" s="7">
        <v>1085.0</v>
      </c>
      <c r="D368" s="7">
        <v>25464.0</v>
      </c>
      <c r="E368" s="7">
        <v>9681572.0</v>
      </c>
      <c r="F368" s="7">
        <v>9598741.0</v>
      </c>
      <c r="G368" s="7">
        <v>1.9688078E7</v>
      </c>
      <c r="H368" s="7">
        <v>1.141445382E9</v>
      </c>
      <c r="I368" s="7">
        <v>482767.0</v>
      </c>
      <c r="J368" s="7">
        <v>469157.0</v>
      </c>
      <c r="K368" s="7">
        <v>13610.0</v>
      </c>
      <c r="L368" s="7">
        <v>32.56</v>
      </c>
      <c r="M368" s="7">
        <v>-0.07</v>
      </c>
      <c r="N368" s="7">
        <v>21840.0</v>
      </c>
      <c r="O368" s="7">
        <v>4394645.0</v>
      </c>
      <c r="P368" s="7" t="s">
        <v>411</v>
      </c>
      <c r="Q368" s="7">
        <v>5003.99</v>
      </c>
      <c r="R368" s="3">
        <f t="shared" si="1"/>
        <v>10000</v>
      </c>
    </row>
    <row r="369" ht="22.5" customHeight="1">
      <c r="B369" s="7" t="s">
        <v>286</v>
      </c>
      <c r="C369" s="7">
        <v>3633.0</v>
      </c>
      <c r="D369" s="7">
        <v>10625.0</v>
      </c>
      <c r="E369" s="7">
        <v>1.6729643E7</v>
      </c>
      <c r="F369" s="7">
        <v>1.6483232E7</v>
      </c>
      <c r="G369" s="7">
        <v>2.3751464E7</v>
      </c>
      <c r="H369" s="7">
        <v>3.284575759E9</v>
      </c>
      <c r="I369" s="7">
        <v>534337.0</v>
      </c>
      <c r="J369" s="7">
        <v>500207.0</v>
      </c>
      <c r="K369" s="7">
        <v>34130.0</v>
      </c>
      <c r="L369" s="7">
        <v>45.87</v>
      </c>
      <c r="M369" s="7">
        <v>-0.02</v>
      </c>
      <c r="N369" s="7">
        <v>55431.0</v>
      </c>
      <c r="O369" s="7">
        <v>4550217.0</v>
      </c>
      <c r="P369" s="7" t="s">
        <v>411</v>
      </c>
      <c r="Q369" s="7">
        <v>5004.0</v>
      </c>
      <c r="R369" s="3">
        <f t="shared" si="1"/>
        <v>10000</v>
      </c>
    </row>
    <row r="370" ht="22.5" customHeight="1">
      <c r="B370" s="7" t="s">
        <v>292</v>
      </c>
      <c r="C370" s="7">
        <v>7193.0</v>
      </c>
      <c r="D370" s="7">
        <v>21469.0</v>
      </c>
      <c r="E370" s="7">
        <v>1.3820047E7</v>
      </c>
      <c r="F370" s="7">
        <v>1.3689429E7</v>
      </c>
      <c r="G370" s="7">
        <v>1.7912408E7</v>
      </c>
      <c r="H370" s="7">
        <v>2.476696838E9</v>
      </c>
      <c r="I370" s="7">
        <v>520175.0</v>
      </c>
      <c r="J370" s="7">
        <v>493555.0</v>
      </c>
      <c r="K370" s="7">
        <v>26620.0</v>
      </c>
      <c r="L370" s="7">
        <v>69.93</v>
      </c>
      <c r="M370" s="7">
        <v>-0.03</v>
      </c>
      <c r="N370" s="7">
        <v>42907.0</v>
      </c>
      <c r="O370" s="7">
        <v>4084811.0</v>
      </c>
      <c r="P370" s="7" t="s">
        <v>411</v>
      </c>
      <c r="Q370" s="7">
        <v>5004.0</v>
      </c>
      <c r="R370" s="3">
        <f t="shared" si="1"/>
        <v>10000</v>
      </c>
    </row>
    <row r="371" ht="22.5" customHeight="1">
      <c r="B371" s="7" t="s">
        <v>303</v>
      </c>
      <c r="C371" s="7">
        <v>4699.0</v>
      </c>
      <c r="D371" s="7">
        <v>14013.0</v>
      </c>
      <c r="E371" s="7">
        <v>1.658495E7</v>
      </c>
      <c r="F371" s="7">
        <v>1.643213E7</v>
      </c>
      <c r="G371" s="7">
        <v>2.3884802E7</v>
      </c>
      <c r="H371" s="7">
        <v>1.895984477E9</v>
      </c>
      <c r="I371" s="7">
        <v>529831.0</v>
      </c>
      <c r="J371" s="7">
        <v>495192.0</v>
      </c>
      <c r="K371" s="7">
        <v>34639.0</v>
      </c>
      <c r="L371" s="7">
        <v>42.36</v>
      </c>
      <c r="M371" s="7">
        <v>-0.04</v>
      </c>
      <c r="N371" s="7">
        <v>55921.0</v>
      </c>
      <c r="O371" s="7">
        <v>4368715.0</v>
      </c>
      <c r="P371" s="7" t="s">
        <v>411</v>
      </c>
      <c r="Q371" s="7">
        <v>5004.0</v>
      </c>
      <c r="R371" s="3">
        <f t="shared" si="1"/>
        <v>10000</v>
      </c>
    </row>
    <row r="372" ht="22.5" customHeight="1">
      <c r="B372" s="7" t="s">
        <v>321</v>
      </c>
      <c r="C372" s="7">
        <v>344469.0</v>
      </c>
      <c r="D372" s="7">
        <v>286016.0</v>
      </c>
      <c r="E372" s="7">
        <v>1.8189237E7</v>
      </c>
      <c r="F372" s="7">
        <v>1.7724999E7</v>
      </c>
      <c r="G372" s="7">
        <v>2.82676079E8</v>
      </c>
      <c r="H372" s="7">
        <v>4.467176627E9</v>
      </c>
      <c r="I372" s="7">
        <v>598026.0</v>
      </c>
      <c r="J372" s="7">
        <v>571035.0</v>
      </c>
      <c r="K372" s="7">
        <v>26991.0</v>
      </c>
      <c r="L372" s="7">
        <v>72.63</v>
      </c>
      <c r="M372" s="7">
        <v>-0.13</v>
      </c>
      <c r="N372" s="7">
        <v>48402.0</v>
      </c>
      <c r="O372" s="7">
        <v>4.0435227E7</v>
      </c>
      <c r="P372" s="7" t="s">
        <v>411</v>
      </c>
      <c r="Q372" s="7">
        <v>5004.0</v>
      </c>
      <c r="R372" s="3">
        <f t="shared" si="1"/>
        <v>10000</v>
      </c>
    </row>
    <row r="373" ht="22.5" customHeight="1">
      <c r="B373" s="7" t="s">
        <v>281</v>
      </c>
      <c r="C373" s="7">
        <v>8527.0</v>
      </c>
      <c r="D373" s="7">
        <v>25482.0</v>
      </c>
      <c r="E373" s="7">
        <v>1.4842594E7</v>
      </c>
      <c r="F373" s="7">
        <v>1.4842562E7</v>
      </c>
      <c r="G373" s="7">
        <v>1.4849703E7</v>
      </c>
      <c r="H373" s="7">
        <v>1.4244723478E10</v>
      </c>
      <c r="I373" s="7">
        <v>149178.0</v>
      </c>
      <c r="J373" s="7">
        <v>117466.0</v>
      </c>
      <c r="K373" s="7">
        <v>31712.0</v>
      </c>
      <c r="L373" s="7">
        <v>22.51</v>
      </c>
      <c r="M373" s="7">
        <v>0.0</v>
      </c>
      <c r="N373" s="7">
        <v>50044.0</v>
      </c>
      <c r="O373" s="7">
        <v>5122844.0</v>
      </c>
      <c r="P373" s="7" t="s">
        <v>411</v>
      </c>
      <c r="Q373" s="7">
        <v>5004.01</v>
      </c>
      <c r="R373" s="3">
        <f t="shared" si="1"/>
        <v>10000</v>
      </c>
    </row>
    <row r="374" ht="22.5" customHeight="1">
      <c r="B374" s="7" t="s">
        <v>284</v>
      </c>
      <c r="C374" s="7">
        <v>15232.0</v>
      </c>
      <c r="D374" s="7">
        <v>134756.0</v>
      </c>
      <c r="E374" s="7">
        <v>1.4776706E7</v>
      </c>
      <c r="F374" s="7">
        <v>1.4614612E7</v>
      </c>
      <c r="G374" s="7">
        <v>1.9049866E7</v>
      </c>
      <c r="H374" s="7">
        <v>7.772374019E9</v>
      </c>
      <c r="I374" s="7">
        <v>436919.0</v>
      </c>
      <c r="J374" s="7">
        <v>407243.0</v>
      </c>
      <c r="K374" s="7">
        <v>29676.0</v>
      </c>
      <c r="L374" s="7">
        <v>17.29</v>
      </c>
      <c r="M374" s="7">
        <v>-0.05</v>
      </c>
      <c r="N374" s="7">
        <v>47837.0</v>
      </c>
      <c r="O374" s="7">
        <v>4444244.0</v>
      </c>
      <c r="P374" s="7" t="s">
        <v>411</v>
      </c>
      <c r="Q374" s="7">
        <v>5004.01</v>
      </c>
      <c r="R374" s="3">
        <f t="shared" si="1"/>
        <v>10000</v>
      </c>
    </row>
    <row r="375" ht="22.5" customHeight="1">
      <c r="B375" s="7" t="s">
        <v>287</v>
      </c>
      <c r="C375" s="7">
        <v>97.0</v>
      </c>
      <c r="D375" s="7">
        <v>204.0</v>
      </c>
      <c r="E375" s="7">
        <v>2.7929147E7</v>
      </c>
      <c r="F375" s="7">
        <v>2.7729205E7</v>
      </c>
      <c r="G375" s="7">
        <v>3.3016595E7</v>
      </c>
      <c r="H375" s="7">
        <v>3.98554513E8</v>
      </c>
      <c r="I375" s="7">
        <v>1483489.0</v>
      </c>
      <c r="J375" s="7">
        <v>1450161.0</v>
      </c>
      <c r="K375" s="7">
        <v>33328.0</v>
      </c>
      <c r="L375" s="7">
        <v>18.35</v>
      </c>
      <c r="M375" s="7">
        <v>-0.03</v>
      </c>
      <c r="N375" s="7">
        <v>54647.0</v>
      </c>
      <c r="O375" s="7">
        <v>1.3177471E7</v>
      </c>
      <c r="P375" s="7" t="s">
        <v>411</v>
      </c>
      <c r="Q375" s="7">
        <v>5004.01</v>
      </c>
      <c r="R375" s="3">
        <f t="shared" si="1"/>
        <v>10000</v>
      </c>
    </row>
    <row r="376" ht="22.5" customHeight="1">
      <c r="B376" s="7" t="s">
        <v>289</v>
      </c>
      <c r="C376" s="7">
        <v>6154.0</v>
      </c>
      <c r="D376" s="7">
        <v>18364.0</v>
      </c>
      <c r="E376" s="7">
        <v>1.4710278E7</v>
      </c>
      <c r="F376" s="7">
        <v>1.4592952E7</v>
      </c>
      <c r="G376" s="7">
        <v>1.8317428E7</v>
      </c>
      <c r="H376" s="7">
        <v>3.000386034E9</v>
      </c>
      <c r="I376" s="7">
        <v>540911.0</v>
      </c>
      <c r="J376" s="7">
        <v>511472.0</v>
      </c>
      <c r="K376" s="7">
        <v>29439.0</v>
      </c>
      <c r="L376" s="7">
        <v>51.75</v>
      </c>
      <c r="M376" s="7">
        <v>-0.02</v>
      </c>
      <c r="N376" s="7">
        <v>47468.0</v>
      </c>
      <c r="O376" s="7">
        <v>4080892.0</v>
      </c>
      <c r="P376" s="7" t="s">
        <v>411</v>
      </c>
      <c r="Q376" s="7">
        <v>5004.01</v>
      </c>
      <c r="R376" s="3">
        <f t="shared" si="1"/>
        <v>10000</v>
      </c>
    </row>
    <row r="377" ht="22.5" customHeight="1">
      <c r="B377" s="7" t="s">
        <v>293</v>
      </c>
      <c r="C377" s="7">
        <v>4000.0</v>
      </c>
      <c r="D377" s="7">
        <v>11914.0</v>
      </c>
      <c r="E377" s="7">
        <v>1.4451068E7</v>
      </c>
      <c r="F377" s="7">
        <v>1.4321026E7</v>
      </c>
      <c r="G377" s="7">
        <v>1.9256545E7</v>
      </c>
      <c r="H377" s="7">
        <v>1.782580495E9</v>
      </c>
      <c r="I377" s="7">
        <v>522927.0</v>
      </c>
      <c r="J377" s="7">
        <v>494266.0</v>
      </c>
      <c r="K377" s="7">
        <v>28661.0</v>
      </c>
      <c r="L377" s="7">
        <v>43.93</v>
      </c>
      <c r="M377" s="7">
        <v>-0.03</v>
      </c>
      <c r="N377" s="7">
        <v>46181.0</v>
      </c>
      <c r="O377" s="7">
        <v>4119078.0</v>
      </c>
      <c r="P377" s="7" t="s">
        <v>411</v>
      </c>
      <c r="Q377" s="7">
        <v>5004.01</v>
      </c>
      <c r="R377" s="3">
        <f t="shared" si="1"/>
        <v>10000</v>
      </c>
    </row>
    <row r="378" ht="22.5" customHeight="1">
      <c r="B378" s="7" t="s">
        <v>294</v>
      </c>
      <c r="C378" s="7">
        <v>4249.0</v>
      </c>
      <c r="D378" s="7">
        <v>12662.0</v>
      </c>
      <c r="E378" s="7">
        <v>1.395546E7</v>
      </c>
      <c r="F378" s="7">
        <v>1.3829813E7</v>
      </c>
      <c r="G378" s="7">
        <v>1.7711108E7</v>
      </c>
      <c r="H378" s="7">
        <v>1.639413643E9</v>
      </c>
      <c r="I378" s="7">
        <v>515001.0</v>
      </c>
      <c r="J378" s="7">
        <v>488239.0</v>
      </c>
      <c r="K378" s="7">
        <v>26762.0</v>
      </c>
      <c r="L378" s="7">
        <v>47.75</v>
      </c>
      <c r="M378" s="7">
        <v>-0.03</v>
      </c>
      <c r="N378" s="7">
        <v>43319.0</v>
      </c>
      <c r="O378" s="7">
        <v>4130405.0</v>
      </c>
      <c r="P378" s="7" t="s">
        <v>411</v>
      </c>
      <c r="Q378" s="7">
        <v>5004.01</v>
      </c>
      <c r="R378" s="3">
        <f t="shared" si="1"/>
        <v>10000</v>
      </c>
    </row>
    <row r="379" ht="22.5" customHeight="1">
      <c r="B379" s="7" t="s">
        <v>302</v>
      </c>
      <c r="C379" s="7">
        <v>4344.0</v>
      </c>
      <c r="D379" s="7">
        <v>12948.0</v>
      </c>
      <c r="E379" s="7">
        <v>1.4887524E7</v>
      </c>
      <c r="F379" s="7">
        <v>1.4753805E7</v>
      </c>
      <c r="G379" s="7">
        <v>1.9405003E7</v>
      </c>
      <c r="H379" s="7">
        <v>1.951251272E9</v>
      </c>
      <c r="I379" s="7">
        <v>509159.0</v>
      </c>
      <c r="J379" s="7">
        <v>479561.0</v>
      </c>
      <c r="K379" s="7">
        <v>29598.0</v>
      </c>
      <c r="L379" s="7">
        <v>34.84</v>
      </c>
      <c r="M379" s="7">
        <v>-0.03</v>
      </c>
      <c r="N379" s="7">
        <v>47977.0</v>
      </c>
      <c r="O379" s="7">
        <v>4170965.0</v>
      </c>
      <c r="P379" s="7" t="s">
        <v>411</v>
      </c>
      <c r="Q379" s="7">
        <v>5004.01</v>
      </c>
      <c r="R379" s="3">
        <f t="shared" si="1"/>
        <v>10000</v>
      </c>
    </row>
    <row r="380" ht="22.5" customHeight="1">
      <c r="B380" s="7" t="s">
        <v>304</v>
      </c>
      <c r="C380" s="7">
        <v>4292.0</v>
      </c>
      <c r="D380" s="7">
        <v>12790.0</v>
      </c>
      <c r="E380" s="7">
        <v>1.8039194E7</v>
      </c>
      <c r="F380" s="7">
        <v>1.7896134E7</v>
      </c>
      <c r="G380" s="7">
        <v>2.389149E7</v>
      </c>
      <c r="H380" s="7">
        <v>2.06886942E9</v>
      </c>
      <c r="I380" s="7">
        <v>686587.0</v>
      </c>
      <c r="J380" s="7">
        <v>651252.0</v>
      </c>
      <c r="K380" s="7">
        <v>35335.0</v>
      </c>
      <c r="L380" s="7">
        <v>47.06</v>
      </c>
      <c r="M380" s="7">
        <v>-0.03</v>
      </c>
      <c r="N380" s="7">
        <v>56610.0</v>
      </c>
      <c r="O380" s="7">
        <v>5359802.0</v>
      </c>
      <c r="P380" s="7" t="s">
        <v>411</v>
      </c>
      <c r="Q380" s="7">
        <v>5004.01</v>
      </c>
      <c r="R380" s="3">
        <f t="shared" si="1"/>
        <v>10000</v>
      </c>
    </row>
    <row r="381" ht="22.5" customHeight="1">
      <c r="B381" s="7" t="s">
        <v>251</v>
      </c>
      <c r="C381" s="7">
        <v>772.0</v>
      </c>
      <c r="D381" s="7">
        <v>9601.0</v>
      </c>
      <c r="E381" s="7">
        <v>1.2887131E7</v>
      </c>
      <c r="F381" s="7">
        <v>1.285113E7</v>
      </c>
      <c r="G381" s="7">
        <v>1.4903567E7</v>
      </c>
      <c r="H381" s="7">
        <v>1.410058274E9</v>
      </c>
      <c r="I381" s="7">
        <v>357170.0</v>
      </c>
      <c r="J381" s="7">
        <v>333072.0</v>
      </c>
      <c r="K381" s="7">
        <v>24098.0</v>
      </c>
      <c r="L381" s="7">
        <v>25.15</v>
      </c>
      <c r="M381" s="7">
        <v>-0.02</v>
      </c>
      <c r="N381" s="7">
        <v>38566.0</v>
      </c>
      <c r="O381" s="7">
        <v>4574225.0</v>
      </c>
      <c r="P381" s="7" t="s">
        <v>411</v>
      </c>
      <c r="Q381" s="7">
        <v>5004.02</v>
      </c>
      <c r="R381" s="3">
        <f t="shared" si="1"/>
        <v>10000</v>
      </c>
    </row>
    <row r="382" ht="22.5" customHeight="1">
      <c r="B382" s="7" t="s">
        <v>290</v>
      </c>
      <c r="C382" s="7">
        <v>3018.0</v>
      </c>
      <c r="D382" s="7">
        <v>8982.0</v>
      </c>
      <c r="E382" s="7">
        <v>1.7178786E7</v>
      </c>
      <c r="F382" s="7">
        <v>1.7038443E7</v>
      </c>
      <c r="G382" s="7">
        <v>2.1075867E7</v>
      </c>
      <c r="H382" s="7">
        <v>1.893471613E9</v>
      </c>
      <c r="I382" s="7">
        <v>568854.0</v>
      </c>
      <c r="J382" s="7">
        <v>534275.0</v>
      </c>
      <c r="K382" s="7">
        <v>34579.0</v>
      </c>
      <c r="L382" s="7">
        <v>33.71</v>
      </c>
      <c r="M382" s="7">
        <v>-0.03</v>
      </c>
      <c r="N382" s="7">
        <v>55873.0</v>
      </c>
      <c r="O382" s="7">
        <v>4834011.0</v>
      </c>
      <c r="P382" s="7" t="s">
        <v>411</v>
      </c>
      <c r="Q382" s="7">
        <v>5004.02</v>
      </c>
      <c r="R382" s="3">
        <f t="shared" si="1"/>
        <v>10000</v>
      </c>
    </row>
    <row r="383" ht="22.5" customHeight="1">
      <c r="B383" s="7" t="s">
        <v>291</v>
      </c>
      <c r="C383" s="7">
        <v>4838.0</v>
      </c>
      <c r="D383" s="7">
        <v>14428.0</v>
      </c>
      <c r="E383" s="7">
        <v>1.1615367E7</v>
      </c>
      <c r="F383" s="7">
        <v>1.1517417E7</v>
      </c>
      <c r="G383" s="7">
        <v>1.5415131E7</v>
      </c>
      <c r="H383" s="7">
        <v>1.708345591E9</v>
      </c>
      <c r="I383" s="7">
        <v>513148.0</v>
      </c>
      <c r="J383" s="7">
        <v>493422.0</v>
      </c>
      <c r="K383" s="7">
        <v>19726.0</v>
      </c>
      <c r="L383" s="7">
        <v>48.75</v>
      </c>
      <c r="M383" s="7">
        <v>-0.03</v>
      </c>
      <c r="N383" s="7">
        <v>31718.0</v>
      </c>
      <c r="O383" s="7">
        <v>4118108.0</v>
      </c>
      <c r="P383" s="7" t="s">
        <v>411</v>
      </c>
      <c r="Q383" s="7">
        <v>5004.02</v>
      </c>
      <c r="R383" s="3">
        <f t="shared" si="1"/>
        <v>10000</v>
      </c>
    </row>
    <row r="384" ht="22.5" customHeight="1">
      <c r="B384" s="7" t="s">
        <v>296</v>
      </c>
      <c r="C384" s="7">
        <v>7282.0</v>
      </c>
      <c r="D384" s="7">
        <v>21738.0</v>
      </c>
      <c r="E384" s="7">
        <v>1.5807954E7</v>
      </c>
      <c r="F384" s="7">
        <v>1.5676351E7</v>
      </c>
      <c r="G384" s="7">
        <v>2.0015727E7</v>
      </c>
      <c r="H384" s="7">
        <v>3.349194428E9</v>
      </c>
      <c r="I384" s="7">
        <v>515294.0</v>
      </c>
      <c r="J384" s="7">
        <v>482660.0</v>
      </c>
      <c r="K384" s="7">
        <v>32634.0</v>
      </c>
      <c r="L384" s="7">
        <v>55.91</v>
      </c>
      <c r="M384" s="7">
        <v>-0.02</v>
      </c>
      <c r="N384" s="7">
        <v>52804.0</v>
      </c>
      <c r="O384" s="7">
        <v>4144109.0</v>
      </c>
      <c r="P384" s="7" t="s">
        <v>411</v>
      </c>
      <c r="Q384" s="7">
        <v>5004.02</v>
      </c>
      <c r="R384" s="3">
        <f t="shared" si="1"/>
        <v>10000</v>
      </c>
    </row>
    <row r="385" ht="22.5" customHeight="1">
      <c r="B385" s="7" t="s">
        <v>300</v>
      </c>
      <c r="C385" s="7">
        <v>6576.0</v>
      </c>
      <c r="D385" s="7">
        <v>19630.0</v>
      </c>
      <c r="E385" s="7">
        <v>1.4123431E7</v>
      </c>
      <c r="F385" s="7">
        <v>1.3993085E7</v>
      </c>
      <c r="G385" s="7">
        <v>1.8622159E7</v>
      </c>
      <c r="H385" s="7">
        <v>2.700641352E9</v>
      </c>
      <c r="I385" s="7">
        <v>519013.0</v>
      </c>
      <c r="J385" s="7">
        <v>491636.0</v>
      </c>
      <c r="K385" s="7">
        <v>27377.0</v>
      </c>
      <c r="L385" s="7">
        <v>48.15</v>
      </c>
      <c r="M385" s="7">
        <v>-0.03</v>
      </c>
      <c r="N385" s="7">
        <v>44261.0</v>
      </c>
      <c r="O385" s="7">
        <v>4128338.0</v>
      </c>
      <c r="P385" s="7" t="s">
        <v>411</v>
      </c>
      <c r="Q385" s="7">
        <v>5004.02</v>
      </c>
      <c r="R385" s="3">
        <f t="shared" si="1"/>
        <v>10000</v>
      </c>
    </row>
    <row r="386" ht="22.5" customHeight="1">
      <c r="B386" s="7" t="s">
        <v>305</v>
      </c>
      <c r="C386" s="7">
        <v>5418.0</v>
      </c>
      <c r="D386" s="7">
        <v>16168.0</v>
      </c>
      <c r="E386" s="7">
        <v>1.1718222E7</v>
      </c>
      <c r="F386" s="7">
        <v>1.162429E7</v>
      </c>
      <c r="G386" s="7">
        <v>1.5380983E7</v>
      </c>
      <c r="H386" s="7">
        <v>1.928714007E9</v>
      </c>
      <c r="I386" s="7">
        <v>544951.0</v>
      </c>
      <c r="J386" s="7">
        <v>524776.0</v>
      </c>
      <c r="K386" s="7">
        <v>20175.0</v>
      </c>
      <c r="L386" s="7">
        <v>50.3</v>
      </c>
      <c r="M386" s="7">
        <v>-0.03</v>
      </c>
      <c r="N386" s="7">
        <v>32368.0</v>
      </c>
      <c r="O386" s="7">
        <v>4029211.0</v>
      </c>
      <c r="P386" s="7" t="s">
        <v>411</v>
      </c>
      <c r="Q386" s="7">
        <v>5004.02</v>
      </c>
      <c r="R386" s="3">
        <f t="shared" si="1"/>
        <v>10000</v>
      </c>
    </row>
    <row r="387" ht="22.5" customHeight="1">
      <c r="B387" s="7" t="s">
        <v>400</v>
      </c>
      <c r="C387" s="7">
        <v>302576.0</v>
      </c>
      <c r="D387" s="7">
        <v>1702428.0</v>
      </c>
      <c r="E387" s="7">
        <v>2.0930097E7</v>
      </c>
      <c r="F387" s="7">
        <v>2.0340301E7</v>
      </c>
      <c r="G387" s="7">
        <v>1.24944727E9</v>
      </c>
      <c r="H387" s="7">
        <v>1.4232731428E10</v>
      </c>
      <c r="I387" s="7">
        <v>446784.0</v>
      </c>
      <c r="J387" s="7">
        <v>417765.0</v>
      </c>
      <c r="K387" s="7">
        <v>29019.0</v>
      </c>
      <c r="L387" s="7">
        <v>100.89</v>
      </c>
      <c r="M387" s="7">
        <v>-0.09</v>
      </c>
      <c r="N387" s="7">
        <v>50342.0</v>
      </c>
      <c r="O387" s="7">
        <v>1.68883109E8</v>
      </c>
      <c r="P387" s="7" t="s">
        <v>411</v>
      </c>
      <c r="Q387" s="7">
        <v>5004.08</v>
      </c>
      <c r="R387" s="3">
        <f t="shared" si="1"/>
        <v>10000</v>
      </c>
    </row>
    <row r="388" ht="22.5" customHeight="1">
      <c r="B388" s="7" t="s">
        <v>398</v>
      </c>
      <c r="C388" s="7">
        <v>13431.0</v>
      </c>
      <c r="D388" s="7">
        <v>335655.0</v>
      </c>
      <c r="E388" s="7">
        <v>1.2295502E7</v>
      </c>
      <c r="F388" s="7">
        <v>1.1967598E7</v>
      </c>
      <c r="G388" s="7">
        <v>3.5191727E7</v>
      </c>
      <c r="H388" s="7">
        <v>4.784537018E9</v>
      </c>
      <c r="I388" s="7">
        <v>434899.0</v>
      </c>
      <c r="J388" s="7">
        <v>414651.0</v>
      </c>
      <c r="K388" s="7">
        <v>20248.0</v>
      </c>
      <c r="L388" s="7">
        <v>58.4</v>
      </c>
      <c r="M388" s="7">
        <v>-0.08</v>
      </c>
      <c r="N388" s="7">
        <v>33578.0</v>
      </c>
      <c r="O388" s="7">
        <v>4810805.0</v>
      </c>
      <c r="P388" s="7" t="s">
        <v>411</v>
      </c>
      <c r="Q388" s="7">
        <v>5004.1</v>
      </c>
      <c r="R388" s="3">
        <f t="shared" si="1"/>
        <v>10000</v>
      </c>
    </row>
    <row r="389" ht="22.5" customHeight="1">
      <c r="B389" s="7" t="s">
        <v>399</v>
      </c>
      <c r="C389" s="7">
        <v>314295.0</v>
      </c>
      <c r="D389" s="7">
        <v>1258522.0</v>
      </c>
      <c r="E389" s="7">
        <v>5880046.0</v>
      </c>
      <c r="F389" s="7">
        <v>5711081.0</v>
      </c>
      <c r="G389" s="7">
        <v>2.1065367E7</v>
      </c>
      <c r="H389" s="7">
        <v>9.849632438E9</v>
      </c>
      <c r="I389" s="7">
        <v>289743.0</v>
      </c>
      <c r="J389" s="7">
        <v>282804.0</v>
      </c>
      <c r="K389" s="7">
        <v>6939.0</v>
      </c>
      <c r="L389" s="7">
        <v>55.45</v>
      </c>
      <c r="M389" s="7">
        <v>-0.15</v>
      </c>
      <c r="N389" s="7">
        <v>12288.0</v>
      </c>
      <c r="O389" s="7">
        <v>4137169.0</v>
      </c>
      <c r="P389" s="7" t="s">
        <v>411</v>
      </c>
      <c r="Q389" s="7">
        <v>5004.11</v>
      </c>
      <c r="R389" s="3">
        <f t="shared" si="1"/>
        <v>10000</v>
      </c>
    </row>
    <row r="390" ht="22.5" customHeight="1">
      <c r="B390" s="7" t="s">
        <v>401</v>
      </c>
      <c r="C390" s="7">
        <v>269416.0</v>
      </c>
      <c r="D390" s="7">
        <v>1214079.0</v>
      </c>
      <c r="E390" s="7">
        <v>2.4005024E7</v>
      </c>
      <c r="F390" s="7">
        <v>2.3547744E7</v>
      </c>
      <c r="G390" s="7">
        <v>4.5386072E7</v>
      </c>
      <c r="H390" s="7">
        <v>6.516080793E9</v>
      </c>
      <c r="I390" s="7">
        <v>885852.0</v>
      </c>
      <c r="J390" s="7">
        <v>852974.0</v>
      </c>
      <c r="K390" s="7">
        <v>32878.0</v>
      </c>
      <c r="L390" s="7">
        <v>43.52</v>
      </c>
      <c r="M390" s="7">
        <v>-0.06</v>
      </c>
      <c r="N390" s="7">
        <v>54163.0</v>
      </c>
      <c r="O390" s="7">
        <v>1.127262E7</v>
      </c>
      <c r="P390" s="7" t="s">
        <v>411</v>
      </c>
      <c r="Q390" s="7">
        <v>5004.11</v>
      </c>
      <c r="R390" s="3">
        <f t="shared" si="1"/>
        <v>10000</v>
      </c>
    </row>
    <row r="391" ht="22.5" customHeight="1">
      <c r="B391" s="7" t="s">
        <v>406</v>
      </c>
      <c r="C391" s="7">
        <v>1296.0</v>
      </c>
      <c r="D391" s="7">
        <v>230544.0</v>
      </c>
      <c r="E391" s="7">
        <v>1.8304631E7</v>
      </c>
      <c r="F391" s="7">
        <v>1.7650243E7</v>
      </c>
      <c r="G391" s="7">
        <v>4.0560388E7</v>
      </c>
      <c r="H391" s="7">
        <v>2.591790858E9</v>
      </c>
      <c r="I391" s="7">
        <v>416304.0</v>
      </c>
      <c r="J391" s="7">
        <v>380956.0</v>
      </c>
      <c r="K391" s="7">
        <v>35348.0</v>
      </c>
      <c r="L391" s="7">
        <v>64.27</v>
      </c>
      <c r="M391" s="7">
        <v>-0.06</v>
      </c>
      <c r="N391" s="7">
        <v>56501.0</v>
      </c>
      <c r="O391" s="7">
        <v>1.2442017E7</v>
      </c>
      <c r="P391" s="7" t="s">
        <v>411</v>
      </c>
      <c r="Q391" s="7">
        <v>5004.12</v>
      </c>
      <c r="R391" s="3">
        <f t="shared" si="1"/>
        <v>10000</v>
      </c>
    </row>
    <row r="392" ht="22.5" customHeight="1">
      <c r="B392" s="7" t="s">
        <v>405</v>
      </c>
      <c r="C392" s="7">
        <v>1156.0</v>
      </c>
      <c r="D392" s="7">
        <v>194072.0</v>
      </c>
      <c r="E392" s="7">
        <v>1.5296949E7</v>
      </c>
      <c r="F392" s="7">
        <v>1.4783219E7</v>
      </c>
      <c r="G392" s="7">
        <v>3.1634463E7</v>
      </c>
      <c r="H392" s="7">
        <v>2.066137175E9</v>
      </c>
      <c r="I392" s="7">
        <v>318596.0</v>
      </c>
      <c r="J392" s="7">
        <v>286593.0</v>
      </c>
      <c r="K392" s="7">
        <v>32003.0</v>
      </c>
      <c r="L392" s="7">
        <v>60.06</v>
      </c>
      <c r="M392" s="7">
        <v>-0.05</v>
      </c>
      <c r="N392" s="7">
        <v>51045.0</v>
      </c>
      <c r="O392" s="7">
        <v>8820067.0</v>
      </c>
      <c r="P392" s="7" t="s">
        <v>411</v>
      </c>
      <c r="Q392" s="7">
        <v>5004.13</v>
      </c>
      <c r="R392" s="3">
        <f t="shared" si="1"/>
        <v>10000</v>
      </c>
    </row>
    <row r="393" ht="22.5" customHeight="1">
      <c r="B393" s="7" t="s">
        <v>407</v>
      </c>
      <c r="C393" s="7">
        <v>382.0</v>
      </c>
      <c r="D393" s="7">
        <v>1018.0</v>
      </c>
      <c r="E393" s="7">
        <v>7.3621681E7</v>
      </c>
      <c r="F393" s="7">
        <v>7.360602E7</v>
      </c>
      <c r="G393" s="7">
        <v>1.29951561E8</v>
      </c>
      <c r="H393" s="7">
        <v>6.04473762E8</v>
      </c>
      <c r="I393" s="7">
        <v>2277867.0</v>
      </c>
      <c r="J393" s="7">
        <v>2134743.0</v>
      </c>
      <c r="K393" s="7">
        <v>143124.0</v>
      </c>
      <c r="L393" s="7">
        <v>37.75</v>
      </c>
      <c r="M393" s="7">
        <v>-0.04</v>
      </c>
      <c r="N393" s="7">
        <v>228392.0</v>
      </c>
      <c r="O393" s="7">
        <v>3.0326752E7</v>
      </c>
      <c r="P393" s="7" t="s">
        <v>411</v>
      </c>
      <c r="Q393" s="7">
        <v>5004.13</v>
      </c>
      <c r="R393" s="3">
        <f t="shared" si="1"/>
        <v>10000</v>
      </c>
    </row>
    <row r="394" ht="22.5" customHeight="1">
      <c r="B394" s="7" t="s">
        <v>402</v>
      </c>
      <c r="C394" s="7">
        <v>1110.0</v>
      </c>
      <c r="D394" s="7">
        <v>27596.0</v>
      </c>
      <c r="E394" s="7">
        <v>1.0619394E7</v>
      </c>
      <c r="F394" s="7">
        <v>1.0539021E7</v>
      </c>
      <c r="G394" s="7">
        <v>2.0405119E7</v>
      </c>
      <c r="H394" s="7">
        <v>1.326606182E9</v>
      </c>
      <c r="I394" s="7">
        <v>509911.0</v>
      </c>
      <c r="J394" s="7">
        <v>493313.0</v>
      </c>
      <c r="K394" s="7">
        <v>16598.0</v>
      </c>
      <c r="L394" s="7">
        <v>32.36</v>
      </c>
      <c r="M394" s="7">
        <v>-0.06</v>
      </c>
      <c r="N394" s="7">
        <v>26656.0</v>
      </c>
      <c r="O394" s="7">
        <v>4313124.0</v>
      </c>
      <c r="P394" s="7" t="s">
        <v>411</v>
      </c>
      <c r="Q394" s="7">
        <v>5004.14</v>
      </c>
      <c r="R394" s="3">
        <f t="shared" si="1"/>
        <v>10000</v>
      </c>
    </row>
    <row r="395" ht="22.5" customHeight="1">
      <c r="B395" s="7" t="s">
        <v>403</v>
      </c>
      <c r="C395" s="7">
        <v>2240.0</v>
      </c>
      <c r="D395" s="7">
        <v>8960.0</v>
      </c>
      <c r="E395" s="7">
        <v>1.49496274E8</v>
      </c>
      <c r="F395" s="7">
        <v>1.49439648E8</v>
      </c>
      <c r="G395" s="7">
        <v>7.03129686E8</v>
      </c>
      <c r="H395" s="7">
        <v>1.666928382E9</v>
      </c>
      <c r="I395" s="7">
        <v>6322142.0</v>
      </c>
      <c r="J395" s="7">
        <v>6114386.0</v>
      </c>
      <c r="K395" s="7">
        <v>207756.0</v>
      </c>
      <c r="L395" s="7">
        <v>21.99</v>
      </c>
      <c r="M395" s="7">
        <v>-0.04</v>
      </c>
      <c r="N395" s="7">
        <v>328825.0</v>
      </c>
      <c r="O395" s="7">
        <v>1.64747575E8</v>
      </c>
      <c r="P395" s="7" t="s">
        <v>411</v>
      </c>
      <c r="Q395" s="7">
        <v>5004.14</v>
      </c>
      <c r="R395" s="3">
        <f t="shared" si="1"/>
        <v>10000</v>
      </c>
    </row>
    <row r="396" ht="22.5" customHeight="1">
      <c r="B396" s="7" t="s">
        <v>34</v>
      </c>
      <c r="C396" s="7">
        <v>17349.0</v>
      </c>
      <c r="D396" s="7">
        <v>51071.0</v>
      </c>
      <c r="E396" s="7">
        <v>2.0846562E7</v>
      </c>
      <c r="F396" s="7">
        <v>2.0671984E7</v>
      </c>
      <c r="G396" s="7">
        <v>5.1166347E7</v>
      </c>
      <c r="H396" s="7">
        <v>3.684563594E9</v>
      </c>
      <c r="I396" s="7">
        <v>786603.0</v>
      </c>
      <c r="J396" s="7">
        <v>752069.0</v>
      </c>
      <c r="K396" s="7">
        <v>34534.0</v>
      </c>
      <c r="L396" s="7">
        <v>44.84</v>
      </c>
      <c r="M396" s="7">
        <v>-0.06</v>
      </c>
      <c r="N396" s="7">
        <v>55851.0</v>
      </c>
      <c r="O396" s="7">
        <v>9439369.0</v>
      </c>
      <c r="P396" s="7" t="s">
        <v>411</v>
      </c>
      <c r="Q396" s="7">
        <v>5004.14</v>
      </c>
      <c r="R396" s="3">
        <f t="shared" si="1"/>
        <v>10000</v>
      </c>
    </row>
    <row r="397" ht="22.5" customHeight="1">
      <c r="B397" s="7" t="s">
        <v>404</v>
      </c>
      <c r="C397" s="7">
        <v>730.0</v>
      </c>
      <c r="D397" s="7">
        <v>43124.0</v>
      </c>
      <c r="E397" s="7">
        <v>9.5842756E7</v>
      </c>
      <c r="F397" s="7">
        <v>7.3568532E7</v>
      </c>
      <c r="G397" s="7">
        <v>2.87809701E8</v>
      </c>
      <c r="H397" s="7">
        <v>2.636976262E9</v>
      </c>
      <c r="I397" s="7">
        <v>950159.0</v>
      </c>
      <c r="J397" s="7">
        <v>815989.0</v>
      </c>
      <c r="K397" s="7">
        <v>134170.0</v>
      </c>
      <c r="L397" s="7">
        <v>51.55</v>
      </c>
      <c r="M397" s="7">
        <v>-0.05</v>
      </c>
      <c r="N397" s="7">
        <v>219160.0</v>
      </c>
      <c r="O397" s="7">
        <v>1.64357223E8</v>
      </c>
      <c r="P397" s="7" t="s">
        <v>411</v>
      </c>
      <c r="Q397" s="7">
        <v>5004.14</v>
      </c>
      <c r="R397" s="3">
        <f t="shared" si="1"/>
        <v>10000</v>
      </c>
    </row>
    <row r="398" ht="22.5" customHeight="1">
      <c r="B398" s="7" t="s">
        <v>245</v>
      </c>
      <c r="C398" s="7">
        <v>400.0</v>
      </c>
      <c r="D398" s="7">
        <v>30664.0</v>
      </c>
      <c r="E398" s="7">
        <v>1.8637811E7</v>
      </c>
      <c r="F398" s="7">
        <v>1.8134178E7</v>
      </c>
      <c r="G398" s="7">
        <v>2.3425904E7</v>
      </c>
      <c r="H398" s="7">
        <v>4.93996779E8</v>
      </c>
      <c r="I398" s="7">
        <v>386118.0</v>
      </c>
      <c r="J398" s="7">
        <v>351502.0</v>
      </c>
      <c r="K398" s="7">
        <v>34616.0</v>
      </c>
      <c r="L398" s="7">
        <v>78.77</v>
      </c>
      <c r="M398" s="7">
        <v>-0.04</v>
      </c>
      <c r="N398" s="7">
        <v>55823.0</v>
      </c>
      <c r="O398" s="7">
        <v>7645798.0</v>
      </c>
      <c r="P398" s="7" t="s">
        <v>411</v>
      </c>
      <c r="Q398" s="7">
        <v>5004.15</v>
      </c>
      <c r="R398" s="3">
        <f t="shared" si="1"/>
        <v>10000</v>
      </c>
    </row>
    <row r="399" ht="22.5" customHeight="1">
      <c r="B399" s="7" t="s">
        <v>358</v>
      </c>
      <c r="C399" s="7">
        <v>302737.0</v>
      </c>
      <c r="D399" s="7">
        <v>1309727.0</v>
      </c>
      <c r="E399" s="7">
        <v>953270.0</v>
      </c>
      <c r="F399" s="7">
        <v>933065.0</v>
      </c>
      <c r="G399" s="7">
        <v>1499626.0</v>
      </c>
      <c r="H399" s="7">
        <v>1.0473542503E10</v>
      </c>
      <c r="I399" s="7">
        <v>39766.0</v>
      </c>
      <c r="J399" s="7">
        <v>37984.0</v>
      </c>
      <c r="K399" s="7">
        <v>1782.0</v>
      </c>
      <c r="L399" s="7">
        <v>60.55</v>
      </c>
      <c r="M399" s="7">
        <v>-0.04</v>
      </c>
      <c r="N399" s="7">
        <v>2979.0</v>
      </c>
      <c r="O399" s="7">
        <v>339944.0</v>
      </c>
      <c r="P399" s="7" t="s">
        <v>411</v>
      </c>
      <c r="Q399" s="7">
        <v>5004.17</v>
      </c>
      <c r="R399" s="3">
        <f t="shared" si="1"/>
        <v>10000</v>
      </c>
    </row>
    <row r="400" ht="22.5" customHeight="1">
      <c r="B400" s="7" t="s">
        <v>260</v>
      </c>
      <c r="C400" s="7">
        <v>123133.0</v>
      </c>
      <c r="D400" s="7">
        <v>796517.0</v>
      </c>
      <c r="E400" s="7">
        <v>6051082.0</v>
      </c>
      <c r="F400" s="7">
        <v>5844989.0</v>
      </c>
      <c r="G400" s="7">
        <v>2.0491589E7</v>
      </c>
      <c r="H400" s="7">
        <v>1.4468865636E10</v>
      </c>
      <c r="I400" s="7">
        <v>222507.0</v>
      </c>
      <c r="J400" s="7">
        <v>214935.0</v>
      </c>
      <c r="K400" s="7">
        <v>7572.0</v>
      </c>
      <c r="L400" s="7">
        <v>103.51</v>
      </c>
      <c r="M400" s="7">
        <v>-0.12</v>
      </c>
      <c r="N400" s="7">
        <v>12906.0</v>
      </c>
      <c r="O400" s="7">
        <v>4216117.0</v>
      </c>
      <c r="P400" s="7" t="s">
        <v>411</v>
      </c>
      <c r="Q400" s="7">
        <v>5004.23</v>
      </c>
      <c r="R400" s="3">
        <f t="shared" si="1"/>
        <v>10000</v>
      </c>
    </row>
    <row r="401" ht="22.5" customHeight="1">
      <c r="B401" s="7" t="s">
        <v>313</v>
      </c>
      <c r="C401" s="7">
        <v>81920.0</v>
      </c>
      <c r="D401" s="7">
        <v>1.6496017E7</v>
      </c>
      <c r="E401" s="7">
        <v>7080650.0</v>
      </c>
      <c r="F401" s="7">
        <v>6393423.0</v>
      </c>
      <c r="G401" s="7">
        <v>2.57932153E8</v>
      </c>
      <c r="H401" s="7">
        <v>3.921094366E9</v>
      </c>
      <c r="I401" s="7">
        <v>226826.0</v>
      </c>
      <c r="J401" s="7">
        <v>215729.0</v>
      </c>
      <c r="K401" s="7">
        <v>11097.0</v>
      </c>
      <c r="L401" s="7">
        <v>329.23</v>
      </c>
      <c r="M401" s="7">
        <v>-0.07</v>
      </c>
      <c r="N401" s="7">
        <v>16087.0</v>
      </c>
      <c r="O401" s="7">
        <v>5.5275806E7</v>
      </c>
      <c r="P401" s="7" t="s">
        <v>411</v>
      </c>
      <c r="Q401" s="7">
        <v>5006.31</v>
      </c>
      <c r="R401" s="3">
        <f t="shared" si="1"/>
        <v>10000</v>
      </c>
    </row>
    <row r="403">
      <c r="P403" s="4" t="s">
        <v>408</v>
      </c>
      <c r="Q403" s="4" t="s">
        <v>4</v>
      </c>
    </row>
    <row r="404">
      <c r="P404" s="5">
        <f t="shared" ref="P404:Q404" si="2">SUM(Q2:Q401)/400</f>
        <v>2503.88265</v>
      </c>
      <c r="Q404" s="5">
        <f t="shared" si="2"/>
        <v>4414.9124</v>
      </c>
    </row>
    <row r="405">
      <c r="N405" s="4" t="s">
        <v>409</v>
      </c>
      <c r="O405" s="5">
        <f>COUNTIF(P2:P401,"=SAT")</f>
        <v>150</v>
      </c>
    </row>
    <row r="406">
      <c r="N406" s="4" t="s">
        <v>410</v>
      </c>
      <c r="O406" s="5">
        <f>COUNTIF(P2:P401,"=UNSAT")</f>
        <v>97</v>
      </c>
    </row>
    <row r="407">
      <c r="N407" s="4" t="s">
        <v>411</v>
      </c>
      <c r="O407" s="5">
        <f>COUNTIF(P2:P401,"=IND")</f>
        <v>153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8" max="8" width="8.13"/>
    <col customWidth="1" min="9" max="9" width="7.75"/>
    <col customWidth="1" min="10" max="10" width="6.63"/>
    <col customWidth="1" min="11" max="11" width="10.63"/>
    <col customWidth="1" min="12" max="12" width="10.5"/>
    <col customWidth="1" min="13" max="13" width="11.13"/>
    <col customWidth="1" min="14" max="14" width="10.5"/>
    <col customWidth="1" min="15" max="15" width="9.75"/>
    <col customWidth="1" min="16" max="16" width="10.63"/>
    <col customWidth="1" min="17" max="17" width="12.13"/>
  </cols>
  <sheetData>
    <row r="1" ht="22.5" customHeight="1">
      <c r="A1" s="1" t="s">
        <v>0</v>
      </c>
      <c r="B1" s="2" t="s">
        <v>1</v>
      </c>
      <c r="C1" s="6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419</v>
      </c>
      <c r="K1" s="2" t="s">
        <v>420</v>
      </c>
      <c r="L1" s="2" t="s">
        <v>421</v>
      </c>
      <c r="M1" s="2" t="s">
        <v>422</v>
      </c>
      <c r="N1" s="2" t="s">
        <v>423</v>
      </c>
      <c r="O1" s="2" t="s">
        <v>424</v>
      </c>
      <c r="P1" s="2" t="s">
        <v>2</v>
      </c>
      <c r="Q1" s="2" t="s">
        <v>3</v>
      </c>
      <c r="R1" s="1" t="s">
        <v>4</v>
      </c>
    </row>
    <row r="2" ht="22.5" customHeight="1">
      <c r="B2" s="7" t="s">
        <v>14</v>
      </c>
      <c r="C2" s="7">
        <v>35320.0</v>
      </c>
      <c r="D2" s="7">
        <v>1182493.0</v>
      </c>
      <c r="E2" s="7">
        <v>1082.0</v>
      </c>
      <c r="F2" s="7">
        <v>1069.0</v>
      </c>
      <c r="G2" s="7">
        <v>23463.0</v>
      </c>
      <c r="H2" s="7">
        <v>226033.0</v>
      </c>
      <c r="I2" s="7">
        <v>48.0</v>
      </c>
      <c r="J2" s="7">
        <v>47.0</v>
      </c>
      <c r="K2" s="7">
        <v>1.0</v>
      </c>
      <c r="L2" s="7">
        <v>19.18</v>
      </c>
      <c r="M2" s="7">
        <v>-0.15</v>
      </c>
      <c r="N2" s="7">
        <v>2.0</v>
      </c>
      <c r="O2" s="7">
        <v>10249.0</v>
      </c>
      <c r="P2" s="7" t="s">
        <v>409</v>
      </c>
      <c r="Q2" s="7">
        <v>1.08</v>
      </c>
      <c r="R2" s="3">
        <f t="shared" ref="R2:R401" si="1">IF(P2="IND", 10000, Q2)</f>
        <v>1.08</v>
      </c>
    </row>
    <row r="3" ht="22.5" customHeight="1">
      <c r="B3" s="7" t="s">
        <v>5</v>
      </c>
      <c r="C3" s="7">
        <v>35945.0</v>
      </c>
      <c r="D3" s="7">
        <v>1218255.0</v>
      </c>
      <c r="E3" s="7">
        <v>1042.0</v>
      </c>
      <c r="F3" s="7">
        <v>1019.0</v>
      </c>
      <c r="G3" s="7">
        <v>17325.0</v>
      </c>
      <c r="H3" s="7">
        <v>175580.0</v>
      </c>
      <c r="I3" s="7">
        <v>36.0</v>
      </c>
      <c r="J3" s="7">
        <v>36.0</v>
      </c>
      <c r="K3" s="7">
        <v>0.0</v>
      </c>
      <c r="L3" s="7">
        <v>14.02</v>
      </c>
      <c r="M3" s="7">
        <v>-0.17</v>
      </c>
      <c r="N3" s="7">
        <v>1.0</v>
      </c>
      <c r="O3" s="7">
        <v>6689.0</v>
      </c>
      <c r="P3" s="7" t="s">
        <v>409</v>
      </c>
      <c r="Q3" s="7">
        <v>1.15</v>
      </c>
      <c r="R3" s="3">
        <f t="shared" si="1"/>
        <v>1.15</v>
      </c>
    </row>
    <row r="4" ht="22.5" customHeight="1">
      <c r="B4" s="7" t="s">
        <v>13</v>
      </c>
      <c r="C4" s="7">
        <v>134780.0</v>
      </c>
      <c r="D4" s="7">
        <v>648622.0</v>
      </c>
      <c r="E4" s="7">
        <v>1012.0</v>
      </c>
      <c r="F4" s="7">
        <v>978.0</v>
      </c>
      <c r="G4" s="7">
        <v>30271.0</v>
      </c>
      <c r="H4" s="7">
        <v>1634482.0</v>
      </c>
      <c r="I4" s="7">
        <v>45.0</v>
      </c>
      <c r="J4" s="7">
        <v>45.0</v>
      </c>
      <c r="K4" s="7">
        <v>0.0</v>
      </c>
      <c r="L4" s="7">
        <v>26.63</v>
      </c>
      <c r="M4" s="7">
        <v>-0.24</v>
      </c>
      <c r="N4" s="7">
        <v>1.0</v>
      </c>
      <c r="O4" s="7">
        <v>4694.0</v>
      </c>
      <c r="P4" s="7" t="s">
        <v>409</v>
      </c>
      <c r="Q4" s="7">
        <v>1.23</v>
      </c>
      <c r="R4" s="3">
        <f t="shared" si="1"/>
        <v>1.23</v>
      </c>
    </row>
    <row r="5" ht="22.5" customHeight="1">
      <c r="B5" s="7" t="s">
        <v>7</v>
      </c>
      <c r="C5" s="7">
        <v>23345.0</v>
      </c>
      <c r="D5" s="7">
        <v>49263.0</v>
      </c>
      <c r="E5" s="7">
        <v>13088.0</v>
      </c>
      <c r="F5" s="7">
        <v>12727.0</v>
      </c>
      <c r="G5" s="7">
        <v>122347.0</v>
      </c>
      <c r="H5" s="7">
        <v>2998839.0</v>
      </c>
      <c r="I5" s="7">
        <v>697.0</v>
      </c>
      <c r="J5" s="7">
        <v>638.0</v>
      </c>
      <c r="K5" s="7">
        <v>59.0</v>
      </c>
      <c r="L5" s="7">
        <v>47.8</v>
      </c>
      <c r="M5" s="7">
        <v>-0.17</v>
      </c>
      <c r="N5" s="7">
        <v>85.0</v>
      </c>
      <c r="O5" s="7">
        <v>11075.0</v>
      </c>
      <c r="P5" s="7" t="s">
        <v>409</v>
      </c>
      <c r="Q5" s="7">
        <v>1.28</v>
      </c>
      <c r="R5" s="3">
        <f t="shared" si="1"/>
        <v>1.28</v>
      </c>
    </row>
    <row r="6" ht="22.5" customHeight="1">
      <c r="B6" s="7" t="s">
        <v>11</v>
      </c>
      <c r="C6" s="7">
        <v>760.0</v>
      </c>
      <c r="D6" s="7">
        <v>37548.0</v>
      </c>
      <c r="E6" s="7">
        <v>40216.0</v>
      </c>
      <c r="F6" s="7">
        <v>39023.0</v>
      </c>
      <c r="G6" s="7">
        <v>66157.0</v>
      </c>
      <c r="H6" s="7">
        <v>3633284.0</v>
      </c>
      <c r="I6" s="7">
        <v>1421.0</v>
      </c>
      <c r="J6" s="7">
        <v>1226.0</v>
      </c>
      <c r="K6" s="7">
        <v>195.0</v>
      </c>
      <c r="L6" s="7">
        <v>43.82</v>
      </c>
      <c r="M6" s="7">
        <v>-0.07</v>
      </c>
      <c r="N6" s="7">
        <v>252.0</v>
      </c>
      <c r="O6" s="7">
        <v>22503.0</v>
      </c>
      <c r="P6" s="7" t="s">
        <v>409</v>
      </c>
      <c r="Q6" s="7">
        <v>2.31</v>
      </c>
      <c r="R6" s="3">
        <f t="shared" si="1"/>
        <v>2.31</v>
      </c>
    </row>
    <row r="7" ht="22.5" customHeight="1">
      <c r="B7" s="7" t="s">
        <v>10</v>
      </c>
      <c r="C7" s="7">
        <v>32852.0</v>
      </c>
      <c r="D7" s="7">
        <v>170331.0</v>
      </c>
      <c r="E7" s="7">
        <v>31554.0</v>
      </c>
      <c r="F7" s="7">
        <v>30273.0</v>
      </c>
      <c r="G7" s="7">
        <v>188695.0</v>
      </c>
      <c r="H7" s="7">
        <v>1.3578063E7</v>
      </c>
      <c r="I7" s="7">
        <v>3355.0</v>
      </c>
      <c r="J7" s="7">
        <v>3315.0</v>
      </c>
      <c r="K7" s="7">
        <v>40.0</v>
      </c>
      <c r="L7" s="7">
        <v>14.46</v>
      </c>
      <c r="M7" s="7">
        <v>-0.26</v>
      </c>
      <c r="N7" s="7">
        <v>75.0</v>
      </c>
      <c r="O7" s="7">
        <v>37041.0</v>
      </c>
      <c r="P7" s="7" t="s">
        <v>409</v>
      </c>
      <c r="Q7" s="7">
        <v>4.96</v>
      </c>
      <c r="R7" s="3">
        <f t="shared" si="1"/>
        <v>4.96</v>
      </c>
    </row>
    <row r="8" ht="22.5" customHeight="1">
      <c r="B8" s="7" t="s">
        <v>12</v>
      </c>
      <c r="C8" s="7">
        <v>12197.0</v>
      </c>
      <c r="D8" s="7">
        <v>78363.0</v>
      </c>
      <c r="E8" s="7">
        <v>150147.0</v>
      </c>
      <c r="F8" s="7">
        <v>143941.0</v>
      </c>
      <c r="G8" s="7">
        <v>2708866.0</v>
      </c>
      <c r="H8" s="7">
        <v>1.8408188E7</v>
      </c>
      <c r="I8" s="7">
        <v>12276.0</v>
      </c>
      <c r="J8" s="7">
        <v>12120.0</v>
      </c>
      <c r="K8" s="7">
        <v>156.0</v>
      </c>
      <c r="L8" s="7">
        <v>10.41</v>
      </c>
      <c r="M8" s="7">
        <v>-0.29</v>
      </c>
      <c r="N8" s="7">
        <v>366.0</v>
      </c>
      <c r="O8" s="7">
        <v>422645.0</v>
      </c>
      <c r="P8" s="7" t="s">
        <v>409</v>
      </c>
      <c r="Q8" s="7">
        <v>8.04</v>
      </c>
      <c r="R8" s="3">
        <f t="shared" si="1"/>
        <v>8.04</v>
      </c>
    </row>
    <row r="9" ht="22.5" customHeight="1">
      <c r="B9" s="7" t="s">
        <v>15</v>
      </c>
      <c r="C9" s="7">
        <v>323138.0</v>
      </c>
      <c r="D9" s="7">
        <v>2.1567424E7</v>
      </c>
      <c r="E9" s="7">
        <v>42.0</v>
      </c>
      <c r="F9" s="7">
        <v>42.0</v>
      </c>
      <c r="G9" s="7">
        <v>488000.0</v>
      </c>
      <c r="H9" s="7">
        <v>577871.0</v>
      </c>
      <c r="I9" s="7">
        <v>0.0</v>
      </c>
      <c r="J9" s="7">
        <v>0.0</v>
      </c>
      <c r="K9" s="7">
        <v>0.0</v>
      </c>
      <c r="L9" s="7">
        <v>9.19</v>
      </c>
      <c r="M9" s="7">
        <v>-0.74</v>
      </c>
      <c r="N9" s="7">
        <v>0.0</v>
      </c>
      <c r="O9" s="7">
        <v>487781.0</v>
      </c>
      <c r="P9" s="7" t="s">
        <v>409</v>
      </c>
      <c r="Q9" s="7">
        <v>9.57</v>
      </c>
      <c r="R9" s="3">
        <f t="shared" si="1"/>
        <v>9.57</v>
      </c>
    </row>
    <row r="10" ht="22.5" customHeight="1">
      <c r="B10" s="7" t="s">
        <v>119</v>
      </c>
      <c r="C10" s="7">
        <v>3603.0</v>
      </c>
      <c r="D10" s="7">
        <v>14304.0</v>
      </c>
      <c r="E10" s="7">
        <v>143542.0</v>
      </c>
      <c r="F10" s="7">
        <v>140356.0</v>
      </c>
      <c r="G10" s="7">
        <v>367158.0</v>
      </c>
      <c r="H10" s="7">
        <v>2.2543318E7</v>
      </c>
      <c r="I10" s="7">
        <v>8653.0</v>
      </c>
      <c r="J10" s="7">
        <v>7988.0</v>
      </c>
      <c r="K10" s="7">
        <v>665.0</v>
      </c>
      <c r="L10" s="7">
        <v>30.51</v>
      </c>
      <c r="M10" s="7">
        <v>-0.12</v>
      </c>
      <c r="N10" s="7">
        <v>833.0</v>
      </c>
      <c r="O10" s="7">
        <v>73666.0</v>
      </c>
      <c r="P10" s="7" t="s">
        <v>409</v>
      </c>
      <c r="Q10" s="7">
        <v>10.75</v>
      </c>
      <c r="R10" s="3">
        <f t="shared" si="1"/>
        <v>10.75</v>
      </c>
    </row>
    <row r="11" ht="22.5" customHeight="1">
      <c r="B11" s="7" t="s">
        <v>31</v>
      </c>
      <c r="C11" s="7">
        <v>600.0</v>
      </c>
      <c r="D11" s="7">
        <v>16668.0</v>
      </c>
      <c r="E11" s="7">
        <v>186283.0</v>
      </c>
      <c r="F11" s="7">
        <v>184474.0</v>
      </c>
      <c r="G11" s="7">
        <v>322423.0</v>
      </c>
      <c r="H11" s="7">
        <v>1.2019453E7</v>
      </c>
      <c r="I11" s="7">
        <v>9822.0</v>
      </c>
      <c r="J11" s="7">
        <v>8456.0</v>
      </c>
      <c r="K11" s="7">
        <v>1366.0</v>
      </c>
      <c r="L11" s="7">
        <v>19.46</v>
      </c>
      <c r="M11" s="7">
        <v>-0.07</v>
      </c>
      <c r="N11" s="7">
        <v>1645.0</v>
      </c>
      <c r="O11" s="7">
        <v>68715.0</v>
      </c>
      <c r="P11" s="7" t="s">
        <v>409</v>
      </c>
      <c r="Q11" s="7">
        <v>13.66</v>
      </c>
      <c r="R11" s="3">
        <f t="shared" si="1"/>
        <v>13.66</v>
      </c>
    </row>
    <row r="12" ht="22.5" customHeight="1">
      <c r="B12" s="7" t="s">
        <v>16</v>
      </c>
      <c r="C12" s="7">
        <v>190399.0</v>
      </c>
      <c r="D12" s="7">
        <v>564772.0</v>
      </c>
      <c r="E12" s="7">
        <v>71775.0</v>
      </c>
      <c r="F12" s="7">
        <v>70041.0</v>
      </c>
      <c r="G12" s="7">
        <v>421057.0</v>
      </c>
      <c r="H12" s="7">
        <v>1.7511418E7</v>
      </c>
      <c r="I12" s="7">
        <v>2736.0</v>
      </c>
      <c r="J12" s="7">
        <v>2468.0</v>
      </c>
      <c r="K12" s="7">
        <v>268.0</v>
      </c>
      <c r="L12" s="7">
        <v>25.27</v>
      </c>
      <c r="M12" s="7">
        <v>-0.11</v>
      </c>
      <c r="N12" s="7">
        <v>396.0</v>
      </c>
      <c r="O12" s="7">
        <v>95451.0</v>
      </c>
      <c r="P12" s="7" t="s">
        <v>410</v>
      </c>
      <c r="Q12" s="7">
        <v>13.99</v>
      </c>
      <c r="R12" s="3">
        <f t="shared" si="1"/>
        <v>13.99</v>
      </c>
    </row>
    <row r="13" ht="22.5" customHeight="1">
      <c r="B13" s="7" t="s">
        <v>56</v>
      </c>
      <c r="C13" s="7">
        <v>600.0</v>
      </c>
      <c r="D13" s="7">
        <v>16790.0</v>
      </c>
      <c r="E13" s="7">
        <v>189184.0</v>
      </c>
      <c r="F13" s="7">
        <v>187614.0</v>
      </c>
      <c r="G13" s="7">
        <v>307908.0</v>
      </c>
      <c r="H13" s="7">
        <v>1.4372375E7</v>
      </c>
      <c r="I13" s="7">
        <v>9742.0</v>
      </c>
      <c r="J13" s="7">
        <v>8248.0</v>
      </c>
      <c r="K13" s="7">
        <v>1494.0</v>
      </c>
      <c r="L13" s="7">
        <v>20.64</v>
      </c>
      <c r="M13" s="7">
        <v>-0.07</v>
      </c>
      <c r="N13" s="7">
        <v>1777.0</v>
      </c>
      <c r="O13" s="7">
        <v>67699.0</v>
      </c>
      <c r="P13" s="7" t="s">
        <v>409</v>
      </c>
      <c r="Q13" s="7">
        <v>16.55</v>
      </c>
      <c r="R13" s="3">
        <f t="shared" si="1"/>
        <v>16.55</v>
      </c>
    </row>
    <row r="14" ht="22.5" customHeight="1">
      <c r="B14" s="7" t="s">
        <v>30</v>
      </c>
      <c r="C14" s="7">
        <v>9824.0</v>
      </c>
      <c r="D14" s="7">
        <v>153979.0</v>
      </c>
      <c r="E14" s="7">
        <v>206731.0</v>
      </c>
      <c r="F14" s="7">
        <v>202641.0</v>
      </c>
      <c r="G14" s="7">
        <v>469784.0</v>
      </c>
      <c r="H14" s="7">
        <v>3.9234355E7</v>
      </c>
      <c r="I14" s="7">
        <v>7224.0</v>
      </c>
      <c r="J14" s="7">
        <v>6039.0</v>
      </c>
      <c r="K14" s="7">
        <v>1185.0</v>
      </c>
      <c r="L14" s="7">
        <v>25.93</v>
      </c>
      <c r="M14" s="7">
        <v>-0.08</v>
      </c>
      <c r="N14" s="7">
        <v>1538.0</v>
      </c>
      <c r="O14" s="7">
        <v>86203.0</v>
      </c>
      <c r="P14" s="7" t="s">
        <v>409</v>
      </c>
      <c r="Q14" s="7">
        <v>18.42</v>
      </c>
      <c r="R14" s="3">
        <f t="shared" si="1"/>
        <v>18.42</v>
      </c>
    </row>
    <row r="15" ht="22.5" customHeight="1">
      <c r="B15" s="7" t="s">
        <v>316</v>
      </c>
      <c r="C15" s="7">
        <v>41961.0</v>
      </c>
      <c r="D15" s="7">
        <v>70118.0</v>
      </c>
      <c r="E15" s="7">
        <v>141144.0</v>
      </c>
      <c r="F15" s="7">
        <v>136529.0</v>
      </c>
      <c r="G15" s="7">
        <v>2547170.0</v>
      </c>
      <c r="H15" s="7">
        <v>4.4510166E7</v>
      </c>
      <c r="I15" s="7">
        <v>14520.0</v>
      </c>
      <c r="J15" s="7">
        <v>14168.0</v>
      </c>
      <c r="K15" s="7">
        <v>352.0</v>
      </c>
      <c r="L15" s="7">
        <v>48.12</v>
      </c>
      <c r="M15" s="7">
        <v>-0.25</v>
      </c>
      <c r="N15" s="7">
        <v>524.0</v>
      </c>
      <c r="O15" s="7">
        <v>149147.0</v>
      </c>
      <c r="P15" s="7" t="s">
        <v>409</v>
      </c>
      <c r="Q15" s="7">
        <v>18.5</v>
      </c>
      <c r="R15" s="3">
        <f t="shared" si="1"/>
        <v>18.5</v>
      </c>
    </row>
    <row r="16" ht="22.5" customHeight="1">
      <c r="B16" s="7" t="s">
        <v>207</v>
      </c>
      <c r="C16" s="7">
        <v>3836.0</v>
      </c>
      <c r="D16" s="7">
        <v>15071.0</v>
      </c>
      <c r="E16" s="7">
        <v>193627.0</v>
      </c>
      <c r="F16" s="7">
        <v>189563.0</v>
      </c>
      <c r="G16" s="7">
        <v>496951.0</v>
      </c>
      <c r="H16" s="7">
        <v>3.3493515E7</v>
      </c>
      <c r="I16" s="7">
        <v>11517.0</v>
      </c>
      <c r="J16" s="7">
        <v>10429.0</v>
      </c>
      <c r="K16" s="7">
        <v>1088.0</v>
      </c>
      <c r="L16" s="7">
        <v>35.08</v>
      </c>
      <c r="M16" s="7">
        <v>-0.12</v>
      </c>
      <c r="N16" s="7">
        <v>1402.0</v>
      </c>
      <c r="O16" s="7">
        <v>68059.0</v>
      </c>
      <c r="P16" s="7" t="s">
        <v>409</v>
      </c>
      <c r="Q16" s="7">
        <v>19.6</v>
      </c>
      <c r="R16" s="3">
        <f t="shared" si="1"/>
        <v>19.6</v>
      </c>
    </row>
    <row r="17" ht="22.5" customHeight="1">
      <c r="B17" s="7" t="s">
        <v>37</v>
      </c>
      <c r="C17" s="7">
        <v>270120.0</v>
      </c>
      <c r="D17" s="7">
        <v>1227441.0</v>
      </c>
      <c r="E17" s="7">
        <v>27207.0</v>
      </c>
      <c r="F17" s="7">
        <v>22823.0</v>
      </c>
      <c r="G17" s="7">
        <v>185322.0</v>
      </c>
      <c r="H17" s="7">
        <v>8.7168593E7</v>
      </c>
      <c r="I17" s="7">
        <v>1081.0</v>
      </c>
      <c r="J17" s="7">
        <v>1008.0</v>
      </c>
      <c r="K17" s="7">
        <v>73.0</v>
      </c>
      <c r="L17" s="7">
        <v>166.89</v>
      </c>
      <c r="M17" s="7">
        <v>-0.11</v>
      </c>
      <c r="N17" s="7">
        <v>103.0</v>
      </c>
      <c r="O17" s="7">
        <v>46296.0</v>
      </c>
      <c r="P17" s="7" t="s">
        <v>409</v>
      </c>
      <c r="Q17" s="7">
        <v>20.81</v>
      </c>
      <c r="R17" s="3">
        <f t="shared" si="1"/>
        <v>20.81</v>
      </c>
    </row>
    <row r="18" ht="22.5" customHeight="1">
      <c r="B18" s="7" t="s">
        <v>33</v>
      </c>
      <c r="C18" s="7">
        <v>3298.0</v>
      </c>
      <c r="D18" s="7">
        <v>142629.0</v>
      </c>
      <c r="E18" s="7">
        <v>234833.0</v>
      </c>
      <c r="F18" s="7">
        <v>227722.0</v>
      </c>
      <c r="G18" s="7">
        <v>632796.0</v>
      </c>
      <c r="H18" s="7">
        <v>3.0696813E7</v>
      </c>
      <c r="I18" s="7">
        <v>10634.0</v>
      </c>
      <c r="J18" s="7">
        <v>9234.0</v>
      </c>
      <c r="K18" s="7">
        <v>1400.0</v>
      </c>
      <c r="L18" s="7">
        <v>64.22</v>
      </c>
      <c r="M18" s="7">
        <v>-0.1</v>
      </c>
      <c r="N18" s="7">
        <v>1834.0</v>
      </c>
      <c r="O18" s="7">
        <v>102763.0</v>
      </c>
      <c r="P18" s="7" t="s">
        <v>409</v>
      </c>
      <c r="Q18" s="7">
        <v>22.15</v>
      </c>
      <c r="R18" s="3">
        <f t="shared" si="1"/>
        <v>22.15</v>
      </c>
    </row>
    <row r="19" ht="22.5" customHeight="1">
      <c r="B19" s="7" t="s">
        <v>8</v>
      </c>
      <c r="C19" s="7">
        <v>6061.0</v>
      </c>
      <c r="D19" s="7">
        <v>17574.0</v>
      </c>
      <c r="E19" s="7">
        <v>362892.0</v>
      </c>
      <c r="F19" s="7">
        <v>358041.0</v>
      </c>
      <c r="G19" s="7">
        <v>964715.0</v>
      </c>
      <c r="H19" s="7">
        <v>3.4884621E7</v>
      </c>
      <c r="I19" s="7">
        <v>20781.0</v>
      </c>
      <c r="J19" s="7">
        <v>18442.0</v>
      </c>
      <c r="K19" s="7">
        <v>2339.0</v>
      </c>
      <c r="L19" s="7">
        <v>20.37</v>
      </c>
      <c r="M19" s="7">
        <v>-0.1</v>
      </c>
      <c r="N19" s="7">
        <v>2804.0</v>
      </c>
      <c r="O19" s="7">
        <v>178250.0</v>
      </c>
      <c r="P19" s="7" t="s">
        <v>410</v>
      </c>
      <c r="Q19" s="7">
        <v>23.53</v>
      </c>
      <c r="R19" s="3">
        <f t="shared" si="1"/>
        <v>23.53</v>
      </c>
    </row>
    <row r="20" ht="22.5" customHeight="1">
      <c r="B20" s="7" t="s">
        <v>26</v>
      </c>
      <c r="C20" s="7">
        <v>26421.0</v>
      </c>
      <c r="D20" s="7">
        <v>122125.0</v>
      </c>
      <c r="E20" s="7">
        <v>30001.0</v>
      </c>
      <c r="F20" s="7">
        <v>28986.0</v>
      </c>
      <c r="G20" s="7">
        <v>76190.0</v>
      </c>
      <c r="H20" s="7">
        <v>1.0270863E8</v>
      </c>
      <c r="I20" s="7">
        <v>2864.0</v>
      </c>
      <c r="J20" s="7">
        <v>2774.0</v>
      </c>
      <c r="K20" s="7">
        <v>90.0</v>
      </c>
      <c r="L20" s="7">
        <v>139.5</v>
      </c>
      <c r="M20" s="7">
        <v>-0.11</v>
      </c>
      <c r="N20" s="7">
        <v>121.0</v>
      </c>
      <c r="O20" s="7">
        <v>17434.0</v>
      </c>
      <c r="P20" s="7" t="s">
        <v>410</v>
      </c>
      <c r="Q20" s="7">
        <v>25.75</v>
      </c>
      <c r="R20" s="3">
        <f t="shared" si="1"/>
        <v>25.75</v>
      </c>
    </row>
    <row r="21" ht="22.5" customHeight="1">
      <c r="B21" s="7" t="s">
        <v>18</v>
      </c>
      <c r="C21" s="7">
        <v>5448.0</v>
      </c>
      <c r="D21" s="7">
        <v>15992.0</v>
      </c>
      <c r="E21" s="7">
        <v>355464.0</v>
      </c>
      <c r="F21" s="7">
        <v>350267.0</v>
      </c>
      <c r="G21" s="7">
        <v>842337.0</v>
      </c>
      <c r="H21" s="7">
        <v>3.8617744E7</v>
      </c>
      <c r="I21" s="7">
        <v>16587.0</v>
      </c>
      <c r="J21" s="7">
        <v>14557.0</v>
      </c>
      <c r="K21" s="7">
        <v>2030.0</v>
      </c>
      <c r="L21" s="7">
        <v>25.96</v>
      </c>
      <c r="M21" s="7">
        <v>-0.09</v>
      </c>
      <c r="N21" s="7">
        <v>2508.0</v>
      </c>
      <c r="O21" s="7">
        <v>168496.0</v>
      </c>
      <c r="P21" s="7" t="s">
        <v>410</v>
      </c>
      <c r="Q21" s="7">
        <v>27.2</v>
      </c>
      <c r="R21" s="3">
        <f t="shared" si="1"/>
        <v>27.2</v>
      </c>
    </row>
    <row r="22" ht="22.5" customHeight="1">
      <c r="B22" s="7" t="s">
        <v>95</v>
      </c>
      <c r="C22" s="7">
        <v>686.0</v>
      </c>
      <c r="D22" s="7">
        <v>19093.0</v>
      </c>
      <c r="E22" s="7">
        <v>308964.0</v>
      </c>
      <c r="F22" s="7">
        <v>306196.0</v>
      </c>
      <c r="G22" s="7">
        <v>520690.0</v>
      </c>
      <c r="H22" s="7">
        <v>2.6645751E7</v>
      </c>
      <c r="I22" s="7">
        <v>16952.0</v>
      </c>
      <c r="J22" s="7">
        <v>14325.0</v>
      </c>
      <c r="K22" s="7">
        <v>2627.0</v>
      </c>
      <c r="L22" s="7">
        <v>21.66</v>
      </c>
      <c r="M22" s="7">
        <v>-0.07</v>
      </c>
      <c r="N22" s="7">
        <v>3080.0</v>
      </c>
      <c r="O22" s="7">
        <v>109199.0</v>
      </c>
      <c r="P22" s="7" t="s">
        <v>409</v>
      </c>
      <c r="Q22" s="7">
        <v>32.16</v>
      </c>
      <c r="R22" s="3">
        <f t="shared" si="1"/>
        <v>32.16</v>
      </c>
    </row>
    <row r="23" ht="22.5" customHeight="1">
      <c r="B23" s="7" t="s">
        <v>32</v>
      </c>
      <c r="C23" s="7">
        <v>48941.0</v>
      </c>
      <c r="D23" s="7">
        <v>552747.0</v>
      </c>
      <c r="E23" s="7">
        <v>129396.0</v>
      </c>
      <c r="F23" s="7">
        <v>124769.0</v>
      </c>
      <c r="G23" s="7">
        <v>3575345.0</v>
      </c>
      <c r="H23" s="7">
        <v>8.3650576E7</v>
      </c>
      <c r="I23" s="7">
        <v>9370.0</v>
      </c>
      <c r="J23" s="7">
        <v>9240.0</v>
      </c>
      <c r="K23" s="7">
        <v>130.0</v>
      </c>
      <c r="L23" s="7">
        <v>10.43</v>
      </c>
      <c r="M23" s="7">
        <v>-0.29</v>
      </c>
      <c r="N23" s="7">
        <v>273.0</v>
      </c>
      <c r="O23" s="7">
        <v>689209.0</v>
      </c>
      <c r="P23" s="7" t="s">
        <v>409</v>
      </c>
      <c r="Q23" s="7">
        <v>32.21</v>
      </c>
      <c r="R23" s="3">
        <f t="shared" si="1"/>
        <v>32.21</v>
      </c>
    </row>
    <row r="24" ht="22.5" customHeight="1">
      <c r="B24" s="7" t="s">
        <v>40</v>
      </c>
      <c r="C24" s="7">
        <v>13240.0</v>
      </c>
      <c r="D24" s="7">
        <v>39135.0</v>
      </c>
      <c r="E24" s="7">
        <v>396873.0</v>
      </c>
      <c r="F24" s="7">
        <v>384430.0</v>
      </c>
      <c r="G24" s="7">
        <v>1438144.0</v>
      </c>
      <c r="H24" s="7">
        <v>6.3106211E7</v>
      </c>
      <c r="I24" s="7">
        <v>24922.0</v>
      </c>
      <c r="J24" s="7">
        <v>23658.0</v>
      </c>
      <c r="K24" s="7">
        <v>1264.0</v>
      </c>
      <c r="L24" s="7">
        <v>33.15</v>
      </c>
      <c r="M24" s="7">
        <v>-0.14</v>
      </c>
      <c r="N24" s="7">
        <v>1771.0</v>
      </c>
      <c r="O24" s="7">
        <v>246061.0</v>
      </c>
      <c r="P24" s="7" t="s">
        <v>410</v>
      </c>
      <c r="Q24" s="7">
        <v>32.98</v>
      </c>
      <c r="R24" s="3">
        <f t="shared" si="1"/>
        <v>32.98</v>
      </c>
    </row>
    <row r="25" ht="22.5" customHeight="1">
      <c r="B25" s="7" t="s">
        <v>28</v>
      </c>
      <c r="C25" s="7">
        <v>2633376.0</v>
      </c>
      <c r="D25" s="7">
        <v>1.2055676E7</v>
      </c>
      <c r="E25" s="7">
        <v>2030.0</v>
      </c>
      <c r="F25" s="7">
        <v>1887.0</v>
      </c>
      <c r="G25" s="7">
        <v>1284081.0</v>
      </c>
      <c r="H25" s="7">
        <v>2.3590746E7</v>
      </c>
      <c r="I25" s="7">
        <v>127.0</v>
      </c>
      <c r="J25" s="7">
        <v>126.0</v>
      </c>
      <c r="K25" s="7">
        <v>1.0</v>
      </c>
      <c r="L25" s="7">
        <v>120.11</v>
      </c>
      <c r="M25" s="7">
        <v>-0.26</v>
      </c>
      <c r="N25" s="7">
        <v>5.0</v>
      </c>
      <c r="O25" s="7">
        <v>9823.0</v>
      </c>
      <c r="P25" s="7" t="s">
        <v>409</v>
      </c>
      <c r="Q25" s="7">
        <v>35.68</v>
      </c>
      <c r="R25" s="3">
        <f t="shared" si="1"/>
        <v>35.68</v>
      </c>
    </row>
    <row r="26" ht="22.5" customHeight="1">
      <c r="B26" s="7" t="s">
        <v>184</v>
      </c>
      <c r="C26" s="7">
        <v>31503.0</v>
      </c>
      <c r="D26" s="7">
        <v>94548.0</v>
      </c>
      <c r="E26" s="7">
        <v>16024.0</v>
      </c>
      <c r="F26" s="7">
        <v>15987.0</v>
      </c>
      <c r="G26" s="7">
        <v>18050.0</v>
      </c>
      <c r="H26" s="7">
        <v>1.22006774E8</v>
      </c>
      <c r="I26" s="7">
        <v>543.0</v>
      </c>
      <c r="J26" s="7">
        <v>328.0</v>
      </c>
      <c r="K26" s="7">
        <v>215.0</v>
      </c>
      <c r="L26" s="7">
        <v>33.9</v>
      </c>
      <c r="M26" s="7">
        <v>-0.01</v>
      </c>
      <c r="N26" s="7">
        <v>240.0</v>
      </c>
      <c r="O26" s="7">
        <v>5226.0</v>
      </c>
      <c r="P26" s="7" t="s">
        <v>409</v>
      </c>
      <c r="Q26" s="7">
        <v>36.63</v>
      </c>
      <c r="R26" s="3">
        <f t="shared" si="1"/>
        <v>36.63</v>
      </c>
    </row>
    <row r="27" ht="22.5" customHeight="1">
      <c r="B27" s="7" t="s">
        <v>39</v>
      </c>
      <c r="C27" s="7">
        <v>19995.0</v>
      </c>
      <c r="D27" s="7">
        <v>62866.0</v>
      </c>
      <c r="E27" s="7">
        <v>366867.0</v>
      </c>
      <c r="F27" s="7">
        <v>357852.0</v>
      </c>
      <c r="G27" s="7">
        <v>819457.0</v>
      </c>
      <c r="H27" s="7">
        <v>8.3815518E7</v>
      </c>
      <c r="I27" s="7">
        <v>17495.0</v>
      </c>
      <c r="J27" s="7">
        <v>15631.0</v>
      </c>
      <c r="K27" s="7">
        <v>1864.0</v>
      </c>
      <c r="L27" s="7">
        <v>30.84</v>
      </c>
      <c r="M27" s="7">
        <v>-0.09</v>
      </c>
      <c r="N27" s="7">
        <v>2347.0</v>
      </c>
      <c r="O27" s="7">
        <v>169028.0</v>
      </c>
      <c r="P27" s="7" t="s">
        <v>410</v>
      </c>
      <c r="Q27" s="7">
        <v>36.93</v>
      </c>
      <c r="R27" s="3">
        <f t="shared" si="1"/>
        <v>36.93</v>
      </c>
    </row>
    <row r="28" ht="22.5" customHeight="1">
      <c r="B28" s="7" t="s">
        <v>17</v>
      </c>
      <c r="C28" s="7">
        <v>479.0</v>
      </c>
      <c r="D28" s="7">
        <v>123439.0</v>
      </c>
      <c r="E28" s="7">
        <v>516028.0</v>
      </c>
      <c r="F28" s="7">
        <v>505656.0</v>
      </c>
      <c r="G28" s="7">
        <v>2346802.0</v>
      </c>
      <c r="H28" s="7">
        <v>1.3434312E7</v>
      </c>
      <c r="I28" s="7">
        <v>47297.0</v>
      </c>
      <c r="J28" s="7">
        <v>46057.0</v>
      </c>
      <c r="K28" s="7">
        <v>1240.0</v>
      </c>
      <c r="L28" s="7">
        <v>18.28</v>
      </c>
      <c r="M28" s="7">
        <v>-0.17</v>
      </c>
      <c r="N28" s="7">
        <v>1767.0</v>
      </c>
      <c r="O28" s="7">
        <v>281554.0</v>
      </c>
      <c r="P28" s="7" t="s">
        <v>409</v>
      </c>
      <c r="Q28" s="7">
        <v>37.38</v>
      </c>
      <c r="R28" s="3">
        <f t="shared" si="1"/>
        <v>37.38</v>
      </c>
    </row>
    <row r="29" ht="22.5" customHeight="1">
      <c r="B29" s="7" t="s">
        <v>36</v>
      </c>
      <c r="C29" s="7">
        <v>1385.0</v>
      </c>
      <c r="D29" s="7">
        <v>27650.0</v>
      </c>
      <c r="E29" s="7">
        <v>396749.0</v>
      </c>
      <c r="F29" s="7">
        <v>388717.0</v>
      </c>
      <c r="G29" s="7">
        <v>857362.0</v>
      </c>
      <c r="H29" s="7">
        <v>4.7484033E7</v>
      </c>
      <c r="I29" s="7">
        <v>17200.0</v>
      </c>
      <c r="J29" s="7">
        <v>15261.0</v>
      </c>
      <c r="K29" s="7">
        <v>1939.0</v>
      </c>
      <c r="L29" s="7">
        <v>41.61</v>
      </c>
      <c r="M29" s="7">
        <v>-0.09</v>
      </c>
      <c r="N29" s="7">
        <v>2420.0</v>
      </c>
      <c r="O29" s="7">
        <v>242401.0</v>
      </c>
      <c r="P29" s="7" t="s">
        <v>409</v>
      </c>
      <c r="Q29" s="7">
        <v>38.45</v>
      </c>
      <c r="R29" s="3">
        <f t="shared" si="1"/>
        <v>38.45</v>
      </c>
    </row>
    <row r="30" ht="22.5" customHeight="1">
      <c r="B30" s="7" t="s">
        <v>61</v>
      </c>
      <c r="C30" s="7">
        <v>57220.0</v>
      </c>
      <c r="D30" s="7">
        <v>568572.0</v>
      </c>
      <c r="E30" s="7">
        <v>51943.0</v>
      </c>
      <c r="F30" s="7">
        <v>49793.0</v>
      </c>
      <c r="G30" s="7">
        <v>632518.0</v>
      </c>
      <c r="H30" s="7">
        <v>5.3614883E7</v>
      </c>
      <c r="I30" s="7">
        <v>3842.0</v>
      </c>
      <c r="J30" s="7">
        <v>3693.0</v>
      </c>
      <c r="K30" s="7">
        <v>149.0</v>
      </c>
      <c r="L30" s="7">
        <v>23.85</v>
      </c>
      <c r="M30" s="7">
        <v>-0.23</v>
      </c>
      <c r="N30" s="7">
        <v>246.0</v>
      </c>
      <c r="O30" s="7">
        <v>57640.0</v>
      </c>
      <c r="P30" s="7" t="s">
        <v>409</v>
      </c>
      <c r="Q30" s="7">
        <v>38.69</v>
      </c>
      <c r="R30" s="3">
        <f t="shared" si="1"/>
        <v>38.69</v>
      </c>
    </row>
    <row r="31" ht="22.5" customHeight="1">
      <c r="B31" s="7" t="s">
        <v>224</v>
      </c>
      <c r="C31" s="7">
        <v>3220.0</v>
      </c>
      <c r="D31" s="7">
        <v>12314.0</v>
      </c>
      <c r="E31" s="7">
        <v>693040.0</v>
      </c>
      <c r="F31" s="7">
        <v>681587.0</v>
      </c>
      <c r="G31" s="7">
        <v>2217155.0</v>
      </c>
      <c r="H31" s="7">
        <v>5.4276764E7</v>
      </c>
      <c r="I31" s="7">
        <v>36772.0</v>
      </c>
      <c r="J31" s="7">
        <v>33253.0</v>
      </c>
      <c r="K31" s="7">
        <v>3519.0</v>
      </c>
      <c r="L31" s="7">
        <v>30.02</v>
      </c>
      <c r="M31" s="7">
        <v>-0.11</v>
      </c>
      <c r="N31" s="7">
        <v>4534.0</v>
      </c>
      <c r="O31" s="7">
        <v>297666.0</v>
      </c>
      <c r="P31" s="7" t="s">
        <v>409</v>
      </c>
      <c r="Q31" s="7">
        <v>41.14</v>
      </c>
      <c r="R31" s="3">
        <f t="shared" si="1"/>
        <v>41.14</v>
      </c>
    </row>
    <row r="32" ht="22.5" customHeight="1">
      <c r="B32" s="7" t="s">
        <v>44</v>
      </c>
      <c r="C32" s="7">
        <v>3738383.0</v>
      </c>
      <c r="D32" s="7">
        <v>1.6651874E7</v>
      </c>
      <c r="E32" s="7">
        <v>1833.0</v>
      </c>
      <c r="F32" s="7">
        <v>1626.0</v>
      </c>
      <c r="G32" s="7">
        <v>2108250.0</v>
      </c>
      <c r="H32" s="7">
        <v>2.3026303E7</v>
      </c>
      <c r="I32" s="7">
        <v>71.0</v>
      </c>
      <c r="J32" s="7">
        <v>71.0</v>
      </c>
      <c r="K32" s="7">
        <v>0.0</v>
      </c>
      <c r="L32" s="7">
        <v>20.67</v>
      </c>
      <c r="M32" s="7">
        <v>-0.22</v>
      </c>
      <c r="N32" s="7">
        <v>3.0</v>
      </c>
      <c r="O32" s="7">
        <v>3992.0</v>
      </c>
      <c r="P32" s="7" t="s">
        <v>409</v>
      </c>
      <c r="Q32" s="7">
        <v>43.15</v>
      </c>
      <c r="R32" s="3">
        <f t="shared" si="1"/>
        <v>43.15</v>
      </c>
    </row>
    <row r="33" ht="22.5" customHeight="1">
      <c r="B33" s="7" t="s">
        <v>47</v>
      </c>
      <c r="C33" s="7">
        <v>693001.0</v>
      </c>
      <c r="D33" s="7">
        <v>3661576.0</v>
      </c>
      <c r="E33" s="7">
        <v>9917.0</v>
      </c>
      <c r="F33" s="7">
        <v>9145.0</v>
      </c>
      <c r="G33" s="7">
        <v>1085765.0</v>
      </c>
      <c r="H33" s="7">
        <v>1.910612E7</v>
      </c>
      <c r="I33" s="7">
        <v>406.0</v>
      </c>
      <c r="J33" s="7">
        <v>394.0</v>
      </c>
      <c r="K33" s="7">
        <v>12.0</v>
      </c>
      <c r="L33" s="7">
        <v>30.17</v>
      </c>
      <c r="M33" s="7">
        <v>-0.2</v>
      </c>
      <c r="N33" s="7">
        <v>29.0</v>
      </c>
      <c r="O33" s="7">
        <v>801664.0</v>
      </c>
      <c r="P33" s="7" t="s">
        <v>409</v>
      </c>
      <c r="Q33" s="7">
        <v>44.83</v>
      </c>
      <c r="R33" s="3">
        <f t="shared" si="1"/>
        <v>44.83</v>
      </c>
    </row>
    <row r="34" ht="22.5" customHeight="1">
      <c r="B34" s="7" t="s">
        <v>41</v>
      </c>
      <c r="C34" s="7">
        <v>320.0</v>
      </c>
      <c r="D34" s="7">
        <v>1120.0</v>
      </c>
      <c r="E34" s="7">
        <v>630081.0</v>
      </c>
      <c r="F34" s="7">
        <v>614058.0</v>
      </c>
      <c r="G34" s="7">
        <v>1243368.0</v>
      </c>
      <c r="H34" s="7">
        <v>2.891393E7</v>
      </c>
      <c r="I34" s="7">
        <v>21160.0</v>
      </c>
      <c r="J34" s="7">
        <v>17846.0</v>
      </c>
      <c r="K34" s="7">
        <v>3314.0</v>
      </c>
      <c r="L34" s="7">
        <v>24.0</v>
      </c>
      <c r="M34" s="7">
        <v>-0.06</v>
      </c>
      <c r="N34" s="7">
        <v>4131.0</v>
      </c>
      <c r="O34" s="7">
        <v>302528.0</v>
      </c>
      <c r="P34" s="7" t="s">
        <v>409</v>
      </c>
      <c r="Q34" s="7">
        <v>49.08</v>
      </c>
      <c r="R34" s="3">
        <f t="shared" si="1"/>
        <v>49.08</v>
      </c>
    </row>
    <row r="35" ht="22.5" customHeight="1">
      <c r="B35" s="7" t="s">
        <v>46</v>
      </c>
      <c r="C35" s="7">
        <v>919562.0</v>
      </c>
      <c r="D35" s="7">
        <v>1.03439854E8</v>
      </c>
      <c r="E35" s="7">
        <v>0.0</v>
      </c>
      <c r="F35" s="7">
        <v>0.0</v>
      </c>
      <c r="G35" s="7">
        <v>0.0</v>
      </c>
      <c r="H35" s="7">
        <v>230180.0</v>
      </c>
      <c r="I35" s="7">
        <v>0.0</v>
      </c>
      <c r="J35" s="7">
        <v>0.0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 t="s">
        <v>409</v>
      </c>
      <c r="Q35" s="7">
        <v>49.55</v>
      </c>
      <c r="R35" s="3">
        <f t="shared" si="1"/>
        <v>49.55</v>
      </c>
    </row>
    <row r="36" ht="22.5" customHeight="1">
      <c r="B36" s="7" t="s">
        <v>49</v>
      </c>
      <c r="C36" s="7">
        <v>945.0</v>
      </c>
      <c r="D36" s="7">
        <v>61409.0</v>
      </c>
      <c r="E36" s="7">
        <v>608429.0</v>
      </c>
      <c r="F36" s="7">
        <v>593614.0</v>
      </c>
      <c r="G36" s="7">
        <v>942737.0</v>
      </c>
      <c r="H36" s="7">
        <v>5.892368E7</v>
      </c>
      <c r="I36" s="7">
        <v>23306.0</v>
      </c>
      <c r="J36" s="7">
        <v>20274.0</v>
      </c>
      <c r="K36" s="7">
        <v>3032.0</v>
      </c>
      <c r="L36" s="7">
        <v>54.0</v>
      </c>
      <c r="M36" s="7">
        <v>-0.06</v>
      </c>
      <c r="N36" s="7">
        <v>3784.0</v>
      </c>
      <c r="O36" s="7">
        <v>328678.0</v>
      </c>
      <c r="P36" s="7" t="s">
        <v>409</v>
      </c>
      <c r="Q36" s="7">
        <v>50.66</v>
      </c>
      <c r="R36" s="3">
        <f t="shared" si="1"/>
        <v>50.66</v>
      </c>
    </row>
    <row r="37" ht="22.5" customHeight="1">
      <c r="B37" s="7" t="s">
        <v>82</v>
      </c>
      <c r="C37" s="7">
        <v>164887.0</v>
      </c>
      <c r="D37" s="7">
        <v>759228.0</v>
      </c>
      <c r="E37" s="7">
        <v>54462.0</v>
      </c>
      <c r="F37" s="7">
        <v>51571.0</v>
      </c>
      <c r="G37" s="7">
        <v>208223.0</v>
      </c>
      <c r="H37" s="7">
        <v>1.0461561E8</v>
      </c>
      <c r="I37" s="7">
        <v>1721.0</v>
      </c>
      <c r="J37" s="7">
        <v>1552.0</v>
      </c>
      <c r="K37" s="7">
        <v>169.0</v>
      </c>
      <c r="L37" s="7">
        <v>76.95</v>
      </c>
      <c r="M37" s="7">
        <v>-0.12</v>
      </c>
      <c r="N37" s="7">
        <v>272.0</v>
      </c>
      <c r="O37" s="7">
        <v>37113.0</v>
      </c>
      <c r="P37" s="7" t="s">
        <v>409</v>
      </c>
      <c r="Q37" s="7">
        <v>57.61</v>
      </c>
      <c r="R37" s="3">
        <f t="shared" si="1"/>
        <v>57.61</v>
      </c>
    </row>
    <row r="38" ht="22.5" customHeight="1">
      <c r="B38" s="7" t="s">
        <v>197</v>
      </c>
      <c r="C38" s="7">
        <v>3220.0</v>
      </c>
      <c r="D38" s="7">
        <v>12314.0</v>
      </c>
      <c r="E38" s="7">
        <v>831524.0</v>
      </c>
      <c r="F38" s="7">
        <v>817947.0</v>
      </c>
      <c r="G38" s="7">
        <v>2578956.0</v>
      </c>
      <c r="H38" s="7">
        <v>6.5104878E7</v>
      </c>
      <c r="I38" s="7">
        <v>40336.0</v>
      </c>
      <c r="J38" s="7">
        <v>35362.0</v>
      </c>
      <c r="K38" s="7">
        <v>4974.0</v>
      </c>
      <c r="L38" s="7">
        <v>34.47</v>
      </c>
      <c r="M38" s="7">
        <v>-0.1</v>
      </c>
      <c r="N38" s="7">
        <v>6386.0</v>
      </c>
      <c r="O38" s="7">
        <v>298370.0</v>
      </c>
      <c r="P38" s="7" t="s">
        <v>409</v>
      </c>
      <c r="Q38" s="7">
        <v>59.29</v>
      </c>
      <c r="R38" s="3">
        <f t="shared" si="1"/>
        <v>59.29</v>
      </c>
    </row>
    <row r="39" ht="22.5" customHeight="1">
      <c r="B39" s="7" t="s">
        <v>29</v>
      </c>
      <c r="C39" s="7">
        <v>76668.0</v>
      </c>
      <c r="D39" s="7">
        <v>639201.0</v>
      </c>
      <c r="E39" s="7">
        <v>132206.0</v>
      </c>
      <c r="F39" s="7">
        <v>57380.0</v>
      </c>
      <c r="G39" s="7">
        <v>1687762.0</v>
      </c>
      <c r="H39" s="7">
        <v>1.95745659E8</v>
      </c>
      <c r="I39" s="7">
        <v>1439.0</v>
      </c>
      <c r="J39" s="7">
        <v>1230.0</v>
      </c>
      <c r="K39" s="7">
        <v>209.0</v>
      </c>
      <c r="L39" s="7">
        <v>1782.94</v>
      </c>
      <c r="M39" s="7">
        <v>-0.09</v>
      </c>
      <c r="N39" s="7">
        <v>304.0</v>
      </c>
      <c r="O39" s="7">
        <v>228966.0</v>
      </c>
      <c r="P39" s="7" t="s">
        <v>409</v>
      </c>
      <c r="Q39" s="7">
        <v>61.75</v>
      </c>
      <c r="R39" s="3">
        <f t="shared" si="1"/>
        <v>61.75</v>
      </c>
    </row>
    <row r="40" ht="22.5" customHeight="1">
      <c r="B40" s="7" t="s">
        <v>60</v>
      </c>
      <c r="C40" s="7">
        <v>110108.0</v>
      </c>
      <c r="D40" s="7">
        <v>506718.0</v>
      </c>
      <c r="E40" s="7">
        <v>52888.0</v>
      </c>
      <c r="F40" s="7">
        <v>50014.0</v>
      </c>
      <c r="G40" s="7">
        <v>176982.0</v>
      </c>
      <c r="H40" s="7">
        <v>1.64406783E8</v>
      </c>
      <c r="I40" s="7">
        <v>1306.0</v>
      </c>
      <c r="J40" s="7">
        <v>1104.0</v>
      </c>
      <c r="K40" s="7">
        <v>202.0</v>
      </c>
      <c r="L40" s="7">
        <v>61.25</v>
      </c>
      <c r="M40" s="7">
        <v>-0.11</v>
      </c>
      <c r="N40" s="7">
        <v>300.0</v>
      </c>
      <c r="O40" s="7">
        <v>36534.0</v>
      </c>
      <c r="P40" s="7" t="s">
        <v>409</v>
      </c>
      <c r="Q40" s="7">
        <v>63.35</v>
      </c>
      <c r="R40" s="3">
        <f t="shared" si="1"/>
        <v>63.35</v>
      </c>
    </row>
    <row r="41" ht="22.5" customHeight="1">
      <c r="B41" s="7" t="s">
        <v>153</v>
      </c>
      <c r="C41" s="7">
        <v>895.0</v>
      </c>
      <c r="D41" s="7">
        <v>20751.0</v>
      </c>
      <c r="E41" s="7">
        <v>547083.0</v>
      </c>
      <c r="F41" s="7">
        <v>541382.0</v>
      </c>
      <c r="G41" s="7">
        <v>1028938.0</v>
      </c>
      <c r="H41" s="7">
        <v>4.5300731E7</v>
      </c>
      <c r="I41" s="7">
        <v>36638.0</v>
      </c>
      <c r="J41" s="7">
        <v>34005.0</v>
      </c>
      <c r="K41" s="7">
        <v>2633.0</v>
      </c>
      <c r="L41" s="7">
        <v>24.49</v>
      </c>
      <c r="M41" s="7">
        <v>-0.08</v>
      </c>
      <c r="N41" s="7">
        <v>3206.0</v>
      </c>
      <c r="O41" s="7">
        <v>267181.0</v>
      </c>
      <c r="P41" s="7" t="s">
        <v>409</v>
      </c>
      <c r="Q41" s="7">
        <v>64.48</v>
      </c>
      <c r="R41" s="3">
        <f t="shared" si="1"/>
        <v>64.48</v>
      </c>
    </row>
    <row r="42" ht="22.5" customHeight="1">
      <c r="B42" s="7" t="s">
        <v>43</v>
      </c>
      <c r="C42" s="7">
        <v>2441.0</v>
      </c>
      <c r="D42" s="7">
        <v>15733.0</v>
      </c>
      <c r="E42" s="7">
        <v>745043.0</v>
      </c>
      <c r="F42" s="7">
        <v>733056.0</v>
      </c>
      <c r="G42" s="7">
        <v>1196702.0</v>
      </c>
      <c r="H42" s="7">
        <v>5.090874E7</v>
      </c>
      <c r="I42" s="7">
        <v>26846.0</v>
      </c>
      <c r="J42" s="7">
        <v>21995.0</v>
      </c>
      <c r="K42" s="7">
        <v>4851.0</v>
      </c>
      <c r="L42" s="7">
        <v>26.47</v>
      </c>
      <c r="M42" s="7">
        <v>-0.06</v>
      </c>
      <c r="N42" s="7">
        <v>5980.0</v>
      </c>
      <c r="O42" s="7">
        <v>322317.0</v>
      </c>
      <c r="P42" s="7" t="s">
        <v>410</v>
      </c>
      <c r="Q42" s="7">
        <v>72.61</v>
      </c>
      <c r="R42" s="3">
        <f t="shared" si="1"/>
        <v>72.61</v>
      </c>
    </row>
    <row r="43" ht="22.5" customHeight="1">
      <c r="B43" s="7" t="s">
        <v>79</v>
      </c>
      <c r="C43" s="7">
        <v>18607.0</v>
      </c>
      <c r="D43" s="7">
        <v>55720.0</v>
      </c>
      <c r="E43" s="7">
        <v>336966.0</v>
      </c>
      <c r="F43" s="7">
        <v>331413.0</v>
      </c>
      <c r="G43" s="7">
        <v>794050.0</v>
      </c>
      <c r="H43" s="7">
        <v>1.4618505E8</v>
      </c>
      <c r="I43" s="7">
        <v>18334.0</v>
      </c>
      <c r="J43" s="7">
        <v>16338.0</v>
      </c>
      <c r="K43" s="7">
        <v>1996.0</v>
      </c>
      <c r="L43" s="7">
        <v>33.65</v>
      </c>
      <c r="M43" s="7">
        <v>-0.09</v>
      </c>
      <c r="N43" s="7">
        <v>2476.0</v>
      </c>
      <c r="O43" s="7">
        <v>141333.0</v>
      </c>
      <c r="P43" s="7" t="s">
        <v>410</v>
      </c>
      <c r="Q43" s="7">
        <v>72.78</v>
      </c>
      <c r="R43" s="3">
        <f t="shared" si="1"/>
        <v>72.78</v>
      </c>
    </row>
    <row r="44" ht="22.5" customHeight="1">
      <c r="B44" s="7" t="s">
        <v>53</v>
      </c>
      <c r="C44" s="7">
        <v>15254.0</v>
      </c>
      <c r="D44" s="7">
        <v>68087.0</v>
      </c>
      <c r="E44" s="7">
        <v>841832.0</v>
      </c>
      <c r="F44" s="7">
        <v>834499.0</v>
      </c>
      <c r="G44" s="7">
        <v>1165929.0</v>
      </c>
      <c r="H44" s="7">
        <v>1.29722871E8</v>
      </c>
      <c r="I44" s="7">
        <v>34766.0</v>
      </c>
      <c r="J44" s="7">
        <v>27386.0</v>
      </c>
      <c r="K44" s="7">
        <v>7380.0</v>
      </c>
      <c r="L44" s="7">
        <v>25.7</v>
      </c>
      <c r="M44" s="7">
        <v>-0.04</v>
      </c>
      <c r="N44" s="7">
        <v>8727.0</v>
      </c>
      <c r="O44" s="7">
        <v>272783.0</v>
      </c>
      <c r="P44" s="7" t="s">
        <v>410</v>
      </c>
      <c r="Q44" s="7">
        <v>73.48</v>
      </c>
      <c r="R44" s="3">
        <f t="shared" si="1"/>
        <v>73.48</v>
      </c>
    </row>
    <row r="45" ht="22.5" customHeight="1">
      <c r="B45" s="7" t="s">
        <v>71</v>
      </c>
      <c r="C45" s="7">
        <v>3073.0</v>
      </c>
      <c r="D45" s="7">
        <v>19636.0</v>
      </c>
      <c r="E45" s="7">
        <v>527234.0</v>
      </c>
      <c r="F45" s="7">
        <v>521072.0</v>
      </c>
      <c r="G45" s="7">
        <v>935102.0</v>
      </c>
      <c r="H45" s="7">
        <v>1.42717545E8</v>
      </c>
      <c r="I45" s="7">
        <v>30418.0</v>
      </c>
      <c r="J45" s="7">
        <v>27405.0</v>
      </c>
      <c r="K45" s="7">
        <v>3013.0</v>
      </c>
      <c r="L45" s="7">
        <v>27.1</v>
      </c>
      <c r="M45" s="7">
        <v>-0.08</v>
      </c>
      <c r="N45" s="7">
        <v>3505.0</v>
      </c>
      <c r="O45" s="7">
        <v>286052.0</v>
      </c>
      <c r="P45" s="7" t="s">
        <v>409</v>
      </c>
      <c r="Q45" s="7">
        <v>74.79</v>
      </c>
      <c r="R45" s="3">
        <f t="shared" si="1"/>
        <v>74.79</v>
      </c>
    </row>
    <row r="46" ht="22.5" customHeight="1">
      <c r="B46" s="7" t="s">
        <v>51</v>
      </c>
      <c r="C46" s="7">
        <v>66201.0</v>
      </c>
      <c r="D46" s="7">
        <v>915628.0</v>
      </c>
      <c r="E46" s="7">
        <v>148325.0</v>
      </c>
      <c r="F46" s="7">
        <v>143046.0</v>
      </c>
      <c r="G46" s="7">
        <v>3317452.0</v>
      </c>
      <c r="H46" s="7">
        <v>8.3130084E7</v>
      </c>
      <c r="I46" s="7">
        <v>9155.0</v>
      </c>
      <c r="J46" s="7">
        <v>8920.0</v>
      </c>
      <c r="K46" s="7">
        <v>235.0</v>
      </c>
      <c r="L46" s="7">
        <v>12.06</v>
      </c>
      <c r="M46" s="7">
        <v>-0.26</v>
      </c>
      <c r="N46" s="7">
        <v>436.0</v>
      </c>
      <c r="O46" s="7">
        <v>901389.0</v>
      </c>
      <c r="P46" s="7" t="s">
        <v>409</v>
      </c>
      <c r="Q46" s="7">
        <v>80.15</v>
      </c>
      <c r="R46" s="3">
        <f t="shared" si="1"/>
        <v>80.15</v>
      </c>
    </row>
    <row r="47" ht="22.5" customHeight="1">
      <c r="B47" s="7" t="s">
        <v>38</v>
      </c>
      <c r="C47" s="7">
        <v>679.0</v>
      </c>
      <c r="D47" s="7">
        <v>18374.0</v>
      </c>
      <c r="E47" s="7">
        <v>546533.0</v>
      </c>
      <c r="F47" s="7">
        <v>540927.0</v>
      </c>
      <c r="G47" s="7">
        <v>1026042.0</v>
      </c>
      <c r="H47" s="7">
        <v>4.5058074E7</v>
      </c>
      <c r="I47" s="7">
        <v>39321.0</v>
      </c>
      <c r="J47" s="7">
        <v>36205.0</v>
      </c>
      <c r="K47" s="7">
        <v>3116.0</v>
      </c>
      <c r="L47" s="7">
        <v>20.89</v>
      </c>
      <c r="M47" s="7">
        <v>-0.09</v>
      </c>
      <c r="N47" s="7">
        <v>3665.0</v>
      </c>
      <c r="O47" s="7">
        <v>259269.0</v>
      </c>
      <c r="P47" s="7" t="s">
        <v>409</v>
      </c>
      <c r="Q47" s="7">
        <v>80.97</v>
      </c>
      <c r="R47" s="3">
        <f t="shared" si="1"/>
        <v>80.97</v>
      </c>
    </row>
    <row r="48" ht="22.5" customHeight="1">
      <c r="B48" s="7" t="s">
        <v>115</v>
      </c>
      <c r="C48" s="7">
        <v>3073.0</v>
      </c>
      <c r="D48" s="7">
        <v>19610.0</v>
      </c>
      <c r="E48" s="7">
        <v>541379.0</v>
      </c>
      <c r="F48" s="7">
        <v>534835.0</v>
      </c>
      <c r="G48" s="7">
        <v>971441.0</v>
      </c>
      <c r="H48" s="7">
        <v>1.45364963E8</v>
      </c>
      <c r="I48" s="7">
        <v>32692.0</v>
      </c>
      <c r="J48" s="7">
        <v>29373.0</v>
      </c>
      <c r="K48" s="7">
        <v>3319.0</v>
      </c>
      <c r="L48" s="7">
        <v>26.41</v>
      </c>
      <c r="M48" s="7">
        <v>-0.08</v>
      </c>
      <c r="N48" s="7">
        <v>3844.0</v>
      </c>
      <c r="O48" s="7">
        <v>281857.0</v>
      </c>
      <c r="P48" s="7" t="s">
        <v>409</v>
      </c>
      <c r="Q48" s="7">
        <v>83.42</v>
      </c>
      <c r="R48" s="3">
        <f t="shared" si="1"/>
        <v>83.42</v>
      </c>
    </row>
    <row r="49" ht="22.5" customHeight="1">
      <c r="B49" s="7" t="s">
        <v>52</v>
      </c>
      <c r="C49" s="7">
        <v>97675.0</v>
      </c>
      <c r="D49" s="7">
        <v>809532.0</v>
      </c>
      <c r="E49" s="7">
        <v>181103.0</v>
      </c>
      <c r="F49" s="7">
        <v>78422.0</v>
      </c>
      <c r="G49" s="7">
        <v>2460215.0</v>
      </c>
      <c r="H49" s="7">
        <v>3.01773175E8</v>
      </c>
      <c r="I49" s="7">
        <v>1741.0</v>
      </c>
      <c r="J49" s="7">
        <v>1199.0</v>
      </c>
      <c r="K49" s="7">
        <v>542.0</v>
      </c>
      <c r="L49" s="7">
        <v>1830.28</v>
      </c>
      <c r="M49" s="7">
        <v>-0.08</v>
      </c>
      <c r="N49" s="7">
        <v>722.0</v>
      </c>
      <c r="O49" s="7">
        <v>257108.0</v>
      </c>
      <c r="P49" s="7" t="s">
        <v>409</v>
      </c>
      <c r="Q49" s="7">
        <v>94.6</v>
      </c>
      <c r="R49" s="3">
        <f t="shared" si="1"/>
        <v>94.6</v>
      </c>
    </row>
    <row r="50" ht="22.5" customHeight="1">
      <c r="B50" s="7" t="s">
        <v>59</v>
      </c>
      <c r="C50" s="7">
        <v>2200.0</v>
      </c>
      <c r="D50" s="7">
        <v>9086.0</v>
      </c>
      <c r="E50" s="7">
        <v>741897.0</v>
      </c>
      <c r="F50" s="7">
        <v>721543.0</v>
      </c>
      <c r="G50" s="7">
        <v>2010180.0</v>
      </c>
      <c r="H50" s="7">
        <v>1.40509767E8</v>
      </c>
      <c r="I50" s="7">
        <v>43231.0</v>
      </c>
      <c r="J50" s="7">
        <v>39131.0</v>
      </c>
      <c r="K50" s="7">
        <v>4100.0</v>
      </c>
      <c r="L50" s="7">
        <v>25.73</v>
      </c>
      <c r="M50" s="7">
        <v>-0.11</v>
      </c>
      <c r="N50" s="7">
        <v>5248.0</v>
      </c>
      <c r="O50" s="7">
        <v>267391.0</v>
      </c>
      <c r="P50" s="7" t="s">
        <v>409</v>
      </c>
      <c r="Q50" s="7">
        <v>96.34</v>
      </c>
      <c r="R50" s="3">
        <f t="shared" si="1"/>
        <v>96.34</v>
      </c>
    </row>
    <row r="51" ht="22.5" customHeight="1">
      <c r="B51" s="7" t="s">
        <v>186</v>
      </c>
      <c r="C51" s="7">
        <v>189456.0</v>
      </c>
      <c r="D51" s="7">
        <v>835275.0</v>
      </c>
      <c r="E51" s="7">
        <v>146195.0</v>
      </c>
      <c r="F51" s="7">
        <v>126963.0</v>
      </c>
      <c r="G51" s="7">
        <v>1639102.0</v>
      </c>
      <c r="H51" s="7">
        <v>3.76978368E8</v>
      </c>
      <c r="I51" s="7">
        <v>5286.0</v>
      </c>
      <c r="J51" s="7">
        <v>4873.0</v>
      </c>
      <c r="K51" s="7">
        <v>413.0</v>
      </c>
      <c r="L51" s="7">
        <v>350.04</v>
      </c>
      <c r="M51" s="7">
        <v>-0.12</v>
      </c>
      <c r="N51" s="7">
        <v>596.0</v>
      </c>
      <c r="O51" s="7">
        <v>154140.0</v>
      </c>
      <c r="P51" s="7" t="s">
        <v>409</v>
      </c>
      <c r="Q51" s="7">
        <v>98.0</v>
      </c>
      <c r="R51" s="3">
        <f t="shared" si="1"/>
        <v>98</v>
      </c>
    </row>
    <row r="52" ht="22.5" customHeight="1">
      <c r="B52" s="7" t="s">
        <v>67</v>
      </c>
      <c r="C52" s="7">
        <v>110079.0</v>
      </c>
      <c r="D52" s="7">
        <v>506624.0</v>
      </c>
      <c r="E52" s="7">
        <v>101556.0</v>
      </c>
      <c r="F52" s="7">
        <v>96599.0</v>
      </c>
      <c r="G52" s="7">
        <v>354035.0</v>
      </c>
      <c r="H52" s="7">
        <v>2.69182968E8</v>
      </c>
      <c r="I52" s="7">
        <v>4026.0</v>
      </c>
      <c r="J52" s="7">
        <v>3743.0</v>
      </c>
      <c r="K52" s="7">
        <v>283.0</v>
      </c>
      <c r="L52" s="7">
        <v>78.09</v>
      </c>
      <c r="M52" s="7">
        <v>-0.14</v>
      </c>
      <c r="N52" s="7">
        <v>410.0</v>
      </c>
      <c r="O52" s="7">
        <v>87618.0</v>
      </c>
      <c r="P52" s="7" t="s">
        <v>409</v>
      </c>
      <c r="Q52" s="7">
        <v>103.9</v>
      </c>
      <c r="R52" s="3">
        <f t="shared" si="1"/>
        <v>103.9</v>
      </c>
    </row>
    <row r="53" ht="22.5" customHeight="1">
      <c r="B53" s="7" t="s">
        <v>54</v>
      </c>
      <c r="C53" s="7">
        <v>7807714.0</v>
      </c>
      <c r="D53" s="7">
        <v>3.59743E7</v>
      </c>
      <c r="E53" s="7">
        <v>1322.0</v>
      </c>
      <c r="F53" s="7">
        <v>1222.0</v>
      </c>
      <c r="G53" s="7">
        <v>2744543.0</v>
      </c>
      <c r="H53" s="7">
        <v>3.3737143E7</v>
      </c>
      <c r="I53" s="7">
        <v>70.0</v>
      </c>
      <c r="J53" s="7">
        <v>70.0</v>
      </c>
      <c r="K53" s="7">
        <v>0.0</v>
      </c>
      <c r="L53" s="7">
        <v>15.74</v>
      </c>
      <c r="M53" s="7">
        <v>-0.27</v>
      </c>
      <c r="N53" s="7">
        <v>2.0</v>
      </c>
      <c r="O53" s="7">
        <v>13679.0</v>
      </c>
      <c r="P53" s="7" t="s">
        <v>409</v>
      </c>
      <c r="Q53" s="7">
        <v>103.98</v>
      </c>
      <c r="R53" s="3">
        <f t="shared" si="1"/>
        <v>103.98</v>
      </c>
    </row>
    <row r="54" ht="22.5" customHeight="1">
      <c r="B54" s="7" t="s">
        <v>149</v>
      </c>
      <c r="C54" s="7">
        <v>6658.0</v>
      </c>
      <c r="D54" s="7">
        <v>31911.0</v>
      </c>
      <c r="E54" s="7">
        <v>399191.0</v>
      </c>
      <c r="F54" s="7">
        <v>399015.0</v>
      </c>
      <c r="G54" s="7">
        <v>405761.0</v>
      </c>
      <c r="H54" s="7">
        <v>4.79588967E8</v>
      </c>
      <c r="I54" s="7">
        <v>11468.0</v>
      </c>
      <c r="J54" s="7">
        <v>8498.0</v>
      </c>
      <c r="K54" s="7">
        <v>2970.0</v>
      </c>
      <c r="L54" s="7">
        <v>22.63</v>
      </c>
      <c r="M54" s="7">
        <v>0.0</v>
      </c>
      <c r="N54" s="7">
        <v>3415.0</v>
      </c>
      <c r="O54" s="7">
        <v>205612.0</v>
      </c>
      <c r="P54" s="7" t="s">
        <v>409</v>
      </c>
      <c r="Q54" s="7">
        <v>107.78</v>
      </c>
      <c r="R54" s="3">
        <f t="shared" si="1"/>
        <v>107.78</v>
      </c>
    </row>
    <row r="55" ht="22.5" customHeight="1">
      <c r="B55" s="7" t="s">
        <v>171</v>
      </c>
      <c r="C55" s="7">
        <v>6658.0</v>
      </c>
      <c r="D55" s="7">
        <v>31911.0</v>
      </c>
      <c r="E55" s="7">
        <v>399191.0</v>
      </c>
      <c r="F55" s="7">
        <v>399015.0</v>
      </c>
      <c r="G55" s="7">
        <v>405761.0</v>
      </c>
      <c r="H55" s="7">
        <v>4.79588967E8</v>
      </c>
      <c r="I55" s="7">
        <v>11468.0</v>
      </c>
      <c r="J55" s="7">
        <v>8498.0</v>
      </c>
      <c r="K55" s="7">
        <v>2970.0</v>
      </c>
      <c r="L55" s="7">
        <v>22.63</v>
      </c>
      <c r="M55" s="7">
        <v>0.0</v>
      </c>
      <c r="N55" s="7">
        <v>3415.0</v>
      </c>
      <c r="O55" s="7">
        <v>205612.0</v>
      </c>
      <c r="P55" s="7" t="s">
        <v>409</v>
      </c>
      <c r="Q55" s="7">
        <v>115.8</v>
      </c>
      <c r="R55" s="3">
        <f t="shared" si="1"/>
        <v>115.8</v>
      </c>
    </row>
    <row r="56" ht="22.5" customHeight="1">
      <c r="B56" s="7" t="s">
        <v>42</v>
      </c>
      <c r="C56" s="7">
        <v>76943.0</v>
      </c>
      <c r="D56" s="7">
        <v>231299.0</v>
      </c>
      <c r="E56" s="7">
        <v>610038.0</v>
      </c>
      <c r="F56" s="7">
        <v>595872.0</v>
      </c>
      <c r="G56" s="7">
        <v>2997596.0</v>
      </c>
      <c r="H56" s="7">
        <v>3.08475315E8</v>
      </c>
      <c r="I56" s="7">
        <v>46412.0</v>
      </c>
      <c r="J56" s="7">
        <v>44064.0</v>
      </c>
      <c r="K56" s="7">
        <v>2348.0</v>
      </c>
      <c r="L56" s="7">
        <v>40.65</v>
      </c>
      <c r="M56" s="7">
        <v>-0.17</v>
      </c>
      <c r="N56" s="7">
        <v>3138.0</v>
      </c>
      <c r="O56" s="7">
        <v>368627.0</v>
      </c>
      <c r="P56" s="7" t="s">
        <v>409</v>
      </c>
      <c r="Q56" s="7">
        <v>118.35</v>
      </c>
      <c r="R56" s="3">
        <f t="shared" si="1"/>
        <v>118.35</v>
      </c>
    </row>
    <row r="57" ht="22.5" customHeight="1">
      <c r="B57" s="7" t="s">
        <v>108</v>
      </c>
      <c r="C57" s="7">
        <v>33721.0</v>
      </c>
      <c r="D57" s="7">
        <v>157681.0</v>
      </c>
      <c r="E57" s="7">
        <v>764255.0</v>
      </c>
      <c r="F57" s="7">
        <v>732432.0</v>
      </c>
      <c r="G57" s="7">
        <v>3395722.0</v>
      </c>
      <c r="H57" s="7">
        <v>2.81429171E8</v>
      </c>
      <c r="I57" s="7">
        <v>22539.0</v>
      </c>
      <c r="J57" s="7">
        <v>19383.0</v>
      </c>
      <c r="K57" s="7">
        <v>3156.0</v>
      </c>
      <c r="L57" s="7">
        <v>66.37</v>
      </c>
      <c r="M57" s="7">
        <v>-0.11</v>
      </c>
      <c r="N57" s="7">
        <v>4417.0</v>
      </c>
      <c r="O57" s="7">
        <v>487023.0</v>
      </c>
      <c r="P57" s="7" t="s">
        <v>409</v>
      </c>
      <c r="Q57" s="7">
        <v>119.04</v>
      </c>
      <c r="R57" s="3">
        <f t="shared" si="1"/>
        <v>119.04</v>
      </c>
    </row>
    <row r="58" ht="22.5" customHeight="1">
      <c r="B58" s="7" t="s">
        <v>35</v>
      </c>
      <c r="C58" s="7">
        <v>679.0</v>
      </c>
      <c r="D58" s="7">
        <v>18401.0</v>
      </c>
      <c r="E58" s="7">
        <v>821828.0</v>
      </c>
      <c r="F58" s="7">
        <v>815610.0</v>
      </c>
      <c r="G58" s="7">
        <v>1268782.0</v>
      </c>
      <c r="H58" s="7">
        <v>7.808686E7</v>
      </c>
      <c r="I58" s="7">
        <v>40451.0</v>
      </c>
      <c r="J58" s="7">
        <v>33594.0</v>
      </c>
      <c r="K58" s="7">
        <v>6857.0</v>
      </c>
      <c r="L58" s="7">
        <v>21.04</v>
      </c>
      <c r="M58" s="7">
        <v>-0.06</v>
      </c>
      <c r="N58" s="7">
        <v>8160.0</v>
      </c>
      <c r="O58" s="7">
        <v>263725.0</v>
      </c>
      <c r="P58" s="7" t="s">
        <v>409</v>
      </c>
      <c r="Q58" s="7">
        <v>137.84</v>
      </c>
      <c r="R58" s="3">
        <f t="shared" si="1"/>
        <v>137.84</v>
      </c>
    </row>
    <row r="59" ht="22.5" customHeight="1">
      <c r="B59" s="7" t="s">
        <v>236</v>
      </c>
      <c r="C59" s="7">
        <v>180.0</v>
      </c>
      <c r="D59" s="7">
        <v>432.0</v>
      </c>
      <c r="E59" s="7">
        <v>1647191.0</v>
      </c>
      <c r="F59" s="7">
        <v>1619057.0</v>
      </c>
      <c r="G59" s="7">
        <v>2806023.0</v>
      </c>
      <c r="H59" s="7">
        <v>4.3532945E7</v>
      </c>
      <c r="I59" s="7">
        <v>74008.0</v>
      </c>
      <c r="J59" s="7">
        <v>65346.0</v>
      </c>
      <c r="K59" s="7">
        <v>8662.0</v>
      </c>
      <c r="L59" s="7">
        <v>22.71</v>
      </c>
      <c r="M59" s="7">
        <v>-0.06</v>
      </c>
      <c r="N59" s="7">
        <v>10548.0</v>
      </c>
      <c r="O59" s="7">
        <v>800647.0</v>
      </c>
      <c r="P59" s="7" t="s">
        <v>409</v>
      </c>
      <c r="Q59" s="7">
        <v>140.37</v>
      </c>
      <c r="R59" s="3">
        <f t="shared" si="1"/>
        <v>140.37</v>
      </c>
    </row>
    <row r="60" ht="22.5" customHeight="1">
      <c r="B60" s="7" t="s">
        <v>86</v>
      </c>
      <c r="C60" s="7">
        <v>139915.0</v>
      </c>
      <c r="D60" s="7">
        <v>590682.0</v>
      </c>
      <c r="E60" s="7">
        <v>460152.0</v>
      </c>
      <c r="F60" s="7">
        <v>434686.0</v>
      </c>
      <c r="G60" s="7">
        <v>1892326.0</v>
      </c>
      <c r="H60" s="7">
        <v>2.92929551E8</v>
      </c>
      <c r="I60" s="7">
        <v>21706.0</v>
      </c>
      <c r="J60" s="7">
        <v>20900.0</v>
      </c>
      <c r="K60" s="7">
        <v>806.0</v>
      </c>
      <c r="L60" s="7">
        <v>34.76</v>
      </c>
      <c r="M60" s="7">
        <v>-0.17</v>
      </c>
      <c r="N60" s="7">
        <v>1334.0</v>
      </c>
      <c r="O60" s="7">
        <v>428859.0</v>
      </c>
      <c r="P60" s="7" t="s">
        <v>410</v>
      </c>
      <c r="Q60" s="7">
        <v>145.96</v>
      </c>
      <c r="R60" s="3">
        <f t="shared" si="1"/>
        <v>145.96</v>
      </c>
    </row>
    <row r="61" ht="22.5" customHeight="1">
      <c r="B61" s="7" t="s">
        <v>64</v>
      </c>
      <c r="C61" s="7">
        <v>11137.0</v>
      </c>
      <c r="D61" s="7">
        <v>29956.0</v>
      </c>
      <c r="E61" s="7">
        <v>1774125.0</v>
      </c>
      <c r="F61" s="7">
        <v>1747846.0</v>
      </c>
      <c r="G61" s="7">
        <v>2745072.0</v>
      </c>
      <c r="H61" s="7">
        <v>2.0223467E8</v>
      </c>
      <c r="I61" s="7">
        <v>78032.0</v>
      </c>
      <c r="J61" s="7">
        <v>69803.0</v>
      </c>
      <c r="K61" s="7">
        <v>8229.0</v>
      </c>
      <c r="L61" s="7">
        <v>19.88</v>
      </c>
      <c r="M61" s="7">
        <v>-0.06</v>
      </c>
      <c r="N61" s="7">
        <v>10130.0</v>
      </c>
      <c r="O61" s="7">
        <v>945499.0</v>
      </c>
      <c r="P61" s="7" t="s">
        <v>410</v>
      </c>
      <c r="Q61" s="7">
        <v>146.55</v>
      </c>
      <c r="R61" s="3">
        <f t="shared" si="1"/>
        <v>146.55</v>
      </c>
    </row>
    <row r="62" ht="22.5" customHeight="1">
      <c r="B62" s="7" t="s">
        <v>87</v>
      </c>
      <c r="C62" s="7">
        <v>11785.0</v>
      </c>
      <c r="D62" s="7">
        <v>35160.0</v>
      </c>
      <c r="E62" s="7">
        <v>1343569.0</v>
      </c>
      <c r="F62" s="7">
        <v>1315049.0</v>
      </c>
      <c r="G62" s="7">
        <v>3242774.0</v>
      </c>
      <c r="H62" s="7">
        <v>2.48865586E8</v>
      </c>
      <c r="I62" s="7">
        <v>74631.0</v>
      </c>
      <c r="J62" s="7">
        <v>67406.0</v>
      </c>
      <c r="K62" s="7">
        <v>7225.0</v>
      </c>
      <c r="L62" s="7">
        <v>27.2</v>
      </c>
      <c r="M62" s="7">
        <v>-0.11</v>
      </c>
      <c r="N62" s="7">
        <v>9170.0</v>
      </c>
      <c r="O62" s="7">
        <v>574273.0</v>
      </c>
      <c r="P62" s="7" t="s">
        <v>410</v>
      </c>
      <c r="Q62" s="7">
        <v>148.68</v>
      </c>
      <c r="R62" s="3">
        <f t="shared" si="1"/>
        <v>148.68</v>
      </c>
    </row>
    <row r="63" ht="22.5" customHeight="1">
      <c r="B63" s="7" t="s">
        <v>45</v>
      </c>
      <c r="C63" s="7">
        <v>895.0</v>
      </c>
      <c r="D63" s="7">
        <v>20847.0</v>
      </c>
      <c r="E63" s="7">
        <v>903681.0</v>
      </c>
      <c r="F63" s="7">
        <v>896334.0</v>
      </c>
      <c r="G63" s="7">
        <v>1416556.0</v>
      </c>
      <c r="H63" s="7">
        <v>9.7084109E7</v>
      </c>
      <c r="I63" s="7">
        <v>41346.0</v>
      </c>
      <c r="J63" s="7">
        <v>33484.0</v>
      </c>
      <c r="K63" s="7">
        <v>7862.0</v>
      </c>
      <c r="L63" s="7">
        <v>25.51</v>
      </c>
      <c r="M63" s="7">
        <v>-0.06</v>
      </c>
      <c r="N63" s="7">
        <v>9394.0</v>
      </c>
      <c r="O63" s="7">
        <v>269776.0</v>
      </c>
      <c r="P63" s="7" t="s">
        <v>409</v>
      </c>
      <c r="Q63" s="7">
        <v>151.06</v>
      </c>
      <c r="R63" s="3">
        <f t="shared" si="1"/>
        <v>151.06</v>
      </c>
    </row>
    <row r="64" ht="22.5" customHeight="1">
      <c r="B64" s="7" t="s">
        <v>103</v>
      </c>
      <c r="C64" s="7">
        <v>110108.0</v>
      </c>
      <c r="D64" s="7">
        <v>506714.0</v>
      </c>
      <c r="E64" s="7">
        <v>173943.0</v>
      </c>
      <c r="F64" s="7">
        <v>167251.0</v>
      </c>
      <c r="G64" s="7">
        <v>398462.0</v>
      </c>
      <c r="H64" s="7">
        <v>4.03086475E8</v>
      </c>
      <c r="I64" s="7">
        <v>3118.0</v>
      </c>
      <c r="J64" s="7">
        <v>2469.0</v>
      </c>
      <c r="K64" s="7">
        <v>649.0</v>
      </c>
      <c r="L64" s="7">
        <v>72.31</v>
      </c>
      <c r="M64" s="7">
        <v>-0.09</v>
      </c>
      <c r="N64" s="7">
        <v>916.0</v>
      </c>
      <c r="O64" s="7">
        <v>120381.0</v>
      </c>
      <c r="P64" s="7" t="s">
        <v>410</v>
      </c>
      <c r="Q64" s="7">
        <v>151.2</v>
      </c>
      <c r="R64" s="3">
        <f t="shared" si="1"/>
        <v>151.2</v>
      </c>
    </row>
    <row r="65" ht="22.5" customHeight="1">
      <c r="B65" s="7" t="s">
        <v>138</v>
      </c>
      <c r="C65" s="7">
        <v>3573.0</v>
      </c>
      <c r="D65" s="7">
        <v>14128.0</v>
      </c>
      <c r="E65" s="7">
        <v>1319095.0</v>
      </c>
      <c r="F65" s="7">
        <v>1299198.0</v>
      </c>
      <c r="G65" s="7">
        <v>2561530.0</v>
      </c>
      <c r="H65" s="7">
        <v>1.413299E8</v>
      </c>
      <c r="I65" s="7">
        <v>66202.0</v>
      </c>
      <c r="J65" s="7">
        <v>57394.0</v>
      </c>
      <c r="K65" s="7">
        <v>8808.0</v>
      </c>
      <c r="L65" s="7">
        <v>33.9</v>
      </c>
      <c r="M65" s="7">
        <v>-0.08</v>
      </c>
      <c r="N65" s="7">
        <v>10692.0</v>
      </c>
      <c r="O65" s="7">
        <v>519985.0</v>
      </c>
      <c r="P65" s="7" t="s">
        <v>409</v>
      </c>
      <c r="Q65" s="7">
        <v>157.39</v>
      </c>
      <c r="R65" s="3">
        <f t="shared" si="1"/>
        <v>157.39</v>
      </c>
    </row>
    <row r="66" ht="22.5" customHeight="1">
      <c r="B66" s="7" t="s">
        <v>81</v>
      </c>
      <c r="C66" s="7">
        <v>3426.0</v>
      </c>
      <c r="D66" s="7">
        <v>15230.0</v>
      </c>
      <c r="E66" s="7">
        <v>1099580.0</v>
      </c>
      <c r="F66" s="7">
        <v>1099551.0</v>
      </c>
      <c r="G66" s="7">
        <v>1101568.0</v>
      </c>
      <c r="H66" s="7">
        <v>6.12328654E8</v>
      </c>
      <c r="I66" s="7">
        <v>26904.0</v>
      </c>
      <c r="J66" s="7">
        <v>13307.0</v>
      </c>
      <c r="K66" s="7">
        <v>13597.0</v>
      </c>
      <c r="L66" s="7">
        <v>17.91</v>
      </c>
      <c r="M66" s="7">
        <v>0.0</v>
      </c>
      <c r="N66" s="7">
        <v>15296.0</v>
      </c>
      <c r="O66" s="7">
        <v>381311.0</v>
      </c>
      <c r="P66" s="7" t="s">
        <v>409</v>
      </c>
      <c r="Q66" s="7">
        <v>157.83</v>
      </c>
      <c r="R66" s="3">
        <f t="shared" si="1"/>
        <v>157.83</v>
      </c>
    </row>
    <row r="67" ht="22.5" customHeight="1">
      <c r="B67" s="7" t="s">
        <v>84</v>
      </c>
      <c r="C67" s="7">
        <v>2958.0</v>
      </c>
      <c r="D67" s="7">
        <v>8708.0</v>
      </c>
      <c r="E67" s="7">
        <v>1061125.0</v>
      </c>
      <c r="F67" s="7">
        <v>1058306.0</v>
      </c>
      <c r="G67" s="7">
        <v>1131222.0</v>
      </c>
      <c r="H67" s="7">
        <v>2.17021856E8</v>
      </c>
      <c r="I67" s="7">
        <v>32676.0</v>
      </c>
      <c r="J67" s="7">
        <v>21023.0</v>
      </c>
      <c r="K67" s="7">
        <v>11653.0</v>
      </c>
      <c r="L67" s="7">
        <v>44.17</v>
      </c>
      <c r="M67" s="7">
        <v>-0.01</v>
      </c>
      <c r="N67" s="7">
        <v>13433.0</v>
      </c>
      <c r="O67" s="7">
        <v>323576.0</v>
      </c>
      <c r="P67" s="7" t="s">
        <v>410</v>
      </c>
      <c r="Q67" s="7">
        <v>160.02</v>
      </c>
      <c r="R67" s="3">
        <f t="shared" si="1"/>
        <v>160.02</v>
      </c>
    </row>
    <row r="68" ht="22.5" customHeight="1">
      <c r="B68" s="7" t="s">
        <v>168</v>
      </c>
      <c r="C68" s="7">
        <v>164916.0</v>
      </c>
      <c r="D68" s="7">
        <v>759313.0</v>
      </c>
      <c r="E68" s="7">
        <v>142332.0</v>
      </c>
      <c r="F68" s="7">
        <v>135751.0</v>
      </c>
      <c r="G68" s="7">
        <v>480863.0</v>
      </c>
      <c r="H68" s="7">
        <v>4.2831563E8</v>
      </c>
      <c r="I68" s="7">
        <v>5395.0</v>
      </c>
      <c r="J68" s="7">
        <v>5079.0</v>
      </c>
      <c r="K68" s="7">
        <v>316.0</v>
      </c>
      <c r="L68" s="7">
        <v>64.15</v>
      </c>
      <c r="M68" s="7">
        <v>-0.12</v>
      </c>
      <c r="N68" s="7">
        <v>493.0</v>
      </c>
      <c r="O68" s="7">
        <v>134720.0</v>
      </c>
      <c r="P68" s="7" t="s">
        <v>409</v>
      </c>
      <c r="Q68" s="7">
        <v>163.13</v>
      </c>
      <c r="R68" s="3">
        <f t="shared" si="1"/>
        <v>163.13</v>
      </c>
    </row>
    <row r="69" ht="22.5" customHeight="1">
      <c r="B69" s="7" t="s">
        <v>145</v>
      </c>
      <c r="C69" s="7">
        <v>335424.0</v>
      </c>
      <c r="D69" s="7">
        <v>950345.0</v>
      </c>
      <c r="E69" s="7">
        <v>42614.0</v>
      </c>
      <c r="F69" s="7">
        <v>41939.0</v>
      </c>
      <c r="G69" s="7">
        <v>210763.0</v>
      </c>
      <c r="H69" s="7">
        <v>4.7559299E8</v>
      </c>
      <c r="I69" s="7">
        <v>2090.0</v>
      </c>
      <c r="J69" s="7">
        <v>1793.0</v>
      </c>
      <c r="K69" s="7">
        <v>297.0</v>
      </c>
      <c r="L69" s="7">
        <v>56.06</v>
      </c>
      <c r="M69" s="7">
        <v>-0.09</v>
      </c>
      <c r="N69" s="7">
        <v>357.0</v>
      </c>
      <c r="O69" s="7">
        <v>23663.0</v>
      </c>
      <c r="P69" s="7" t="s">
        <v>409</v>
      </c>
      <c r="Q69" s="7">
        <v>166.62</v>
      </c>
      <c r="R69" s="3">
        <f t="shared" si="1"/>
        <v>166.62</v>
      </c>
    </row>
    <row r="70" ht="22.5" customHeight="1">
      <c r="B70" s="7" t="s">
        <v>75</v>
      </c>
      <c r="C70" s="7">
        <v>679.0</v>
      </c>
      <c r="D70" s="7">
        <v>18292.0</v>
      </c>
      <c r="E70" s="7">
        <v>872529.0</v>
      </c>
      <c r="F70" s="7">
        <v>866566.0</v>
      </c>
      <c r="G70" s="7">
        <v>1306361.0</v>
      </c>
      <c r="H70" s="7">
        <v>8.5033473E7</v>
      </c>
      <c r="I70" s="7">
        <v>41984.0</v>
      </c>
      <c r="J70" s="7">
        <v>34145.0</v>
      </c>
      <c r="K70" s="7">
        <v>7839.0</v>
      </c>
      <c r="L70" s="7">
        <v>22.12</v>
      </c>
      <c r="M70" s="7">
        <v>-0.05</v>
      </c>
      <c r="N70" s="7">
        <v>9266.0</v>
      </c>
      <c r="O70" s="7">
        <v>262706.0</v>
      </c>
      <c r="P70" s="7" t="s">
        <v>409</v>
      </c>
      <c r="Q70" s="7">
        <v>168.98</v>
      </c>
      <c r="R70" s="3">
        <f t="shared" si="1"/>
        <v>168.98</v>
      </c>
    </row>
    <row r="71" ht="22.5" customHeight="1">
      <c r="B71" s="7" t="s">
        <v>70</v>
      </c>
      <c r="C71" s="7">
        <v>679.0</v>
      </c>
      <c r="D71" s="7">
        <v>18422.0</v>
      </c>
      <c r="E71" s="7">
        <v>876678.0</v>
      </c>
      <c r="F71" s="7">
        <v>870759.0</v>
      </c>
      <c r="G71" s="7">
        <v>1326162.0</v>
      </c>
      <c r="H71" s="7">
        <v>8.1556906E7</v>
      </c>
      <c r="I71" s="7">
        <v>42705.0</v>
      </c>
      <c r="J71" s="7">
        <v>34983.0</v>
      </c>
      <c r="K71" s="7">
        <v>7722.0</v>
      </c>
      <c r="L71" s="7">
        <v>22.68</v>
      </c>
      <c r="M71" s="7">
        <v>-0.05</v>
      </c>
      <c r="N71" s="7">
        <v>9170.0</v>
      </c>
      <c r="O71" s="7">
        <v>259303.0</v>
      </c>
      <c r="P71" s="7" t="s">
        <v>409</v>
      </c>
      <c r="Q71" s="7">
        <v>172.25</v>
      </c>
      <c r="R71" s="3">
        <f t="shared" si="1"/>
        <v>172.25</v>
      </c>
    </row>
    <row r="72" ht="22.5" customHeight="1">
      <c r="B72" s="7" t="s">
        <v>76</v>
      </c>
      <c r="C72" s="7">
        <v>687.0</v>
      </c>
      <c r="D72" s="7">
        <v>19681.0</v>
      </c>
      <c r="E72" s="7">
        <v>861844.0</v>
      </c>
      <c r="F72" s="7">
        <v>855798.0</v>
      </c>
      <c r="G72" s="7">
        <v>1354364.0</v>
      </c>
      <c r="H72" s="7">
        <v>8.7019691E7</v>
      </c>
      <c r="I72" s="7">
        <v>42102.0</v>
      </c>
      <c r="J72" s="7">
        <v>34339.0</v>
      </c>
      <c r="K72" s="7">
        <v>7763.0</v>
      </c>
      <c r="L72" s="7">
        <v>22.74</v>
      </c>
      <c r="M72" s="7">
        <v>-0.06</v>
      </c>
      <c r="N72" s="7">
        <v>9160.0</v>
      </c>
      <c r="O72" s="7">
        <v>263033.0</v>
      </c>
      <c r="P72" s="7" t="s">
        <v>409</v>
      </c>
      <c r="Q72" s="7">
        <v>175.12</v>
      </c>
      <c r="R72" s="3">
        <f t="shared" si="1"/>
        <v>175.12</v>
      </c>
    </row>
    <row r="73" ht="22.5" customHeight="1">
      <c r="B73" s="7" t="s">
        <v>94</v>
      </c>
      <c r="C73" s="7">
        <v>3593.0</v>
      </c>
      <c r="D73" s="7">
        <v>14282.0</v>
      </c>
      <c r="E73" s="7">
        <v>1433455.0</v>
      </c>
      <c r="F73" s="7">
        <v>1411522.0</v>
      </c>
      <c r="G73" s="7">
        <v>2823928.0</v>
      </c>
      <c r="H73" s="7">
        <v>1.54944757E8</v>
      </c>
      <c r="I73" s="7">
        <v>76679.0</v>
      </c>
      <c r="J73" s="7">
        <v>67799.0</v>
      </c>
      <c r="K73" s="7">
        <v>8880.0</v>
      </c>
      <c r="L73" s="7">
        <v>33.61</v>
      </c>
      <c r="M73" s="7">
        <v>-0.08</v>
      </c>
      <c r="N73" s="7">
        <v>10764.0</v>
      </c>
      <c r="O73" s="7">
        <v>608518.0</v>
      </c>
      <c r="P73" s="7" t="s">
        <v>409</v>
      </c>
      <c r="Q73" s="7">
        <v>181.45</v>
      </c>
      <c r="R73" s="3">
        <f t="shared" si="1"/>
        <v>181.45</v>
      </c>
    </row>
    <row r="74" ht="22.5" customHeight="1">
      <c r="B74" s="7" t="s">
        <v>96</v>
      </c>
      <c r="C74" s="7">
        <v>686.0</v>
      </c>
      <c r="D74" s="7">
        <v>19096.0</v>
      </c>
      <c r="E74" s="7">
        <v>895919.0</v>
      </c>
      <c r="F74" s="7">
        <v>889112.0</v>
      </c>
      <c r="G74" s="7">
        <v>1397303.0</v>
      </c>
      <c r="H74" s="7">
        <v>8.7967714E7</v>
      </c>
      <c r="I74" s="7">
        <v>43191.0</v>
      </c>
      <c r="J74" s="7">
        <v>35005.0</v>
      </c>
      <c r="K74" s="7">
        <v>8186.0</v>
      </c>
      <c r="L74" s="7">
        <v>21.6</v>
      </c>
      <c r="M74" s="7">
        <v>-0.06</v>
      </c>
      <c r="N74" s="7">
        <v>9677.0</v>
      </c>
      <c r="O74" s="7">
        <v>261455.0</v>
      </c>
      <c r="P74" s="7" t="s">
        <v>409</v>
      </c>
      <c r="Q74" s="7">
        <v>183.18</v>
      </c>
      <c r="R74" s="3">
        <f t="shared" si="1"/>
        <v>183.18</v>
      </c>
    </row>
    <row r="75" ht="22.5" customHeight="1">
      <c r="B75" s="7" t="s">
        <v>65</v>
      </c>
      <c r="C75" s="7">
        <v>1140.0</v>
      </c>
      <c r="D75" s="7">
        <v>4253.0</v>
      </c>
      <c r="E75" s="7">
        <v>1979362.0</v>
      </c>
      <c r="F75" s="7">
        <v>1954544.0</v>
      </c>
      <c r="G75" s="7">
        <v>3435006.0</v>
      </c>
      <c r="H75" s="7">
        <v>8.4397866E7</v>
      </c>
      <c r="I75" s="7">
        <v>108582.0</v>
      </c>
      <c r="J75" s="7">
        <v>100085.0</v>
      </c>
      <c r="K75" s="7">
        <v>8497.0</v>
      </c>
      <c r="L75" s="7">
        <v>18.99</v>
      </c>
      <c r="M75" s="7">
        <v>-0.08</v>
      </c>
      <c r="N75" s="7">
        <v>10393.0</v>
      </c>
      <c r="O75" s="7">
        <v>1065826.0</v>
      </c>
      <c r="P75" s="7" t="s">
        <v>410</v>
      </c>
      <c r="Q75" s="7">
        <v>187.79</v>
      </c>
      <c r="R75" s="3">
        <f t="shared" si="1"/>
        <v>187.79</v>
      </c>
    </row>
    <row r="76" ht="22.5" customHeight="1">
      <c r="B76" s="7" t="s">
        <v>110</v>
      </c>
      <c r="C76" s="7">
        <v>14912.0</v>
      </c>
      <c r="D76" s="7">
        <v>381544.0</v>
      </c>
      <c r="E76" s="7">
        <v>680559.0</v>
      </c>
      <c r="F76" s="7">
        <v>661882.0</v>
      </c>
      <c r="G76" s="7">
        <v>2628496.0</v>
      </c>
      <c r="H76" s="7">
        <v>2.38071006E8</v>
      </c>
      <c r="I76" s="7">
        <v>37159.0</v>
      </c>
      <c r="J76" s="7">
        <v>34690.0</v>
      </c>
      <c r="K76" s="7">
        <v>2469.0</v>
      </c>
      <c r="L76" s="7">
        <v>36.44</v>
      </c>
      <c r="M76" s="7">
        <v>-0.14</v>
      </c>
      <c r="N76" s="7">
        <v>3487.0</v>
      </c>
      <c r="O76" s="7">
        <v>425030.0</v>
      </c>
      <c r="P76" s="7" t="s">
        <v>409</v>
      </c>
      <c r="Q76" s="7">
        <v>192.44</v>
      </c>
      <c r="R76" s="3">
        <f t="shared" si="1"/>
        <v>192.44</v>
      </c>
    </row>
    <row r="77" ht="22.5" customHeight="1">
      <c r="B77" s="7" t="s">
        <v>204</v>
      </c>
      <c r="C77" s="7">
        <v>3220.0</v>
      </c>
      <c r="D77" s="7">
        <v>12314.0</v>
      </c>
      <c r="E77" s="7">
        <v>2164889.0</v>
      </c>
      <c r="F77" s="7">
        <v>2130083.0</v>
      </c>
      <c r="G77" s="7">
        <v>6978746.0</v>
      </c>
      <c r="H77" s="7">
        <v>1.52989623E8</v>
      </c>
      <c r="I77" s="7">
        <v>127287.0</v>
      </c>
      <c r="J77" s="7">
        <v>118709.0</v>
      </c>
      <c r="K77" s="7">
        <v>8578.0</v>
      </c>
      <c r="L77" s="7">
        <v>29.74</v>
      </c>
      <c r="M77" s="7">
        <v>-0.11</v>
      </c>
      <c r="N77" s="7">
        <v>10860.0</v>
      </c>
      <c r="O77" s="7">
        <v>1180611.0</v>
      </c>
      <c r="P77" s="7" t="s">
        <v>409</v>
      </c>
      <c r="Q77" s="7">
        <v>199.17</v>
      </c>
      <c r="R77" s="3">
        <f t="shared" si="1"/>
        <v>199.17</v>
      </c>
    </row>
    <row r="78" ht="22.5" customHeight="1">
      <c r="B78" s="7" t="s">
        <v>157</v>
      </c>
      <c r="C78" s="7">
        <v>72078.0</v>
      </c>
      <c r="D78" s="7">
        <v>517702.0</v>
      </c>
      <c r="E78" s="7">
        <v>866113.0</v>
      </c>
      <c r="F78" s="7">
        <v>853075.0</v>
      </c>
      <c r="G78" s="7">
        <v>4091100.0</v>
      </c>
      <c r="H78" s="7">
        <v>3.94912145E8</v>
      </c>
      <c r="I78" s="7">
        <v>38388.0</v>
      </c>
      <c r="J78" s="7">
        <v>31642.0</v>
      </c>
      <c r="K78" s="7">
        <v>6746.0</v>
      </c>
      <c r="L78" s="7">
        <v>30.82</v>
      </c>
      <c r="M78" s="7">
        <v>-0.11</v>
      </c>
      <c r="N78" s="7">
        <v>8200.0</v>
      </c>
      <c r="O78" s="7">
        <v>705273.0</v>
      </c>
      <c r="P78" s="7" t="s">
        <v>409</v>
      </c>
      <c r="Q78" s="7">
        <v>201.5</v>
      </c>
      <c r="R78" s="3">
        <f t="shared" si="1"/>
        <v>201.5</v>
      </c>
    </row>
    <row r="79" ht="22.5" customHeight="1">
      <c r="B79" s="7" t="s">
        <v>74</v>
      </c>
      <c r="C79" s="7">
        <v>1140.0</v>
      </c>
      <c r="D79" s="7">
        <v>4253.0</v>
      </c>
      <c r="E79" s="7">
        <v>2363611.0</v>
      </c>
      <c r="F79" s="7">
        <v>2334456.0</v>
      </c>
      <c r="G79" s="7">
        <v>3902331.0</v>
      </c>
      <c r="H79" s="7">
        <v>9.9552977E7</v>
      </c>
      <c r="I79" s="7">
        <v>120985.0</v>
      </c>
      <c r="J79" s="7">
        <v>108230.0</v>
      </c>
      <c r="K79" s="7">
        <v>12755.0</v>
      </c>
      <c r="L79" s="7">
        <v>18.69</v>
      </c>
      <c r="M79" s="7">
        <v>-0.07</v>
      </c>
      <c r="N79" s="7">
        <v>15517.0</v>
      </c>
      <c r="O79" s="7">
        <v>1117774.0</v>
      </c>
      <c r="P79" s="7" t="s">
        <v>410</v>
      </c>
      <c r="Q79" s="7">
        <v>204.29</v>
      </c>
      <c r="R79" s="3">
        <f t="shared" si="1"/>
        <v>204.29</v>
      </c>
    </row>
    <row r="80" ht="22.5" customHeight="1">
      <c r="B80" s="7" t="s">
        <v>113</v>
      </c>
      <c r="C80" s="7">
        <v>1140.0</v>
      </c>
      <c r="D80" s="7">
        <v>4253.0</v>
      </c>
      <c r="E80" s="7">
        <v>2226615.0</v>
      </c>
      <c r="F80" s="7">
        <v>2198042.0</v>
      </c>
      <c r="G80" s="7">
        <v>3875301.0</v>
      </c>
      <c r="H80" s="7">
        <v>9.6882044E7</v>
      </c>
      <c r="I80" s="7">
        <v>118225.0</v>
      </c>
      <c r="J80" s="7">
        <v>107295.0</v>
      </c>
      <c r="K80" s="7">
        <v>10930.0</v>
      </c>
      <c r="L80" s="7">
        <v>19.13</v>
      </c>
      <c r="M80" s="7">
        <v>-0.08</v>
      </c>
      <c r="N80" s="7">
        <v>13318.0</v>
      </c>
      <c r="O80" s="7">
        <v>1115620.0</v>
      </c>
      <c r="P80" s="7" t="s">
        <v>410</v>
      </c>
      <c r="Q80" s="7">
        <v>219.4</v>
      </c>
      <c r="R80" s="3">
        <f t="shared" si="1"/>
        <v>219.4</v>
      </c>
    </row>
    <row r="81" ht="22.5" customHeight="1">
      <c r="B81" s="7" t="s">
        <v>142</v>
      </c>
      <c r="C81" s="7">
        <v>290693.0</v>
      </c>
      <c r="D81" s="7">
        <v>1262210.0</v>
      </c>
      <c r="E81" s="7">
        <v>150894.0</v>
      </c>
      <c r="F81" s="7">
        <v>143439.0</v>
      </c>
      <c r="G81" s="7">
        <v>1324090.0</v>
      </c>
      <c r="H81" s="7">
        <v>4.05814196E8</v>
      </c>
      <c r="I81" s="7">
        <v>9502.0</v>
      </c>
      <c r="J81" s="7">
        <v>9290.0</v>
      </c>
      <c r="K81" s="7">
        <v>212.0</v>
      </c>
      <c r="L81" s="7">
        <v>31.91</v>
      </c>
      <c r="M81" s="7">
        <v>-0.24</v>
      </c>
      <c r="N81" s="7">
        <v>423.0</v>
      </c>
      <c r="O81" s="7">
        <v>245420.0</v>
      </c>
      <c r="P81" s="7" t="s">
        <v>409</v>
      </c>
      <c r="Q81" s="7">
        <v>220.23</v>
      </c>
      <c r="R81" s="3">
        <f t="shared" si="1"/>
        <v>220.23</v>
      </c>
    </row>
    <row r="82" ht="22.5" customHeight="1">
      <c r="B82" s="7" t="s">
        <v>91</v>
      </c>
      <c r="C82" s="7">
        <v>110108.0</v>
      </c>
      <c r="D82" s="7">
        <v>506714.0</v>
      </c>
      <c r="E82" s="7">
        <v>216263.0</v>
      </c>
      <c r="F82" s="7">
        <v>207567.0</v>
      </c>
      <c r="G82" s="7">
        <v>537999.0</v>
      </c>
      <c r="H82" s="7">
        <v>6.62072476E8</v>
      </c>
      <c r="I82" s="7">
        <v>4613.0</v>
      </c>
      <c r="J82" s="7">
        <v>3736.0</v>
      </c>
      <c r="K82" s="7">
        <v>877.0</v>
      </c>
      <c r="L82" s="7">
        <v>88.59</v>
      </c>
      <c r="M82" s="7">
        <v>-0.1</v>
      </c>
      <c r="N82" s="7">
        <v>1274.0</v>
      </c>
      <c r="O82" s="7">
        <v>123463.0</v>
      </c>
      <c r="P82" s="7" t="s">
        <v>410</v>
      </c>
      <c r="Q82" s="7">
        <v>234.94</v>
      </c>
      <c r="R82" s="3">
        <f t="shared" si="1"/>
        <v>234.94</v>
      </c>
    </row>
    <row r="83" ht="22.5" customHeight="1">
      <c r="B83" s="7" t="s">
        <v>222</v>
      </c>
      <c r="C83" s="7">
        <v>3220.0</v>
      </c>
      <c r="D83" s="7">
        <v>12314.0</v>
      </c>
      <c r="E83" s="7">
        <v>2577250.0</v>
      </c>
      <c r="F83" s="7">
        <v>2536318.0</v>
      </c>
      <c r="G83" s="7">
        <v>7712599.0</v>
      </c>
      <c r="H83" s="7">
        <v>1.74331321E8</v>
      </c>
      <c r="I83" s="7">
        <v>138090.0</v>
      </c>
      <c r="J83" s="7">
        <v>125512.0</v>
      </c>
      <c r="K83" s="7">
        <v>12578.0</v>
      </c>
      <c r="L83" s="7">
        <v>32.9</v>
      </c>
      <c r="M83" s="7">
        <v>-0.1</v>
      </c>
      <c r="N83" s="7">
        <v>16053.0</v>
      </c>
      <c r="O83" s="7">
        <v>1208267.0</v>
      </c>
      <c r="P83" s="7" t="s">
        <v>409</v>
      </c>
      <c r="Q83" s="7">
        <v>236.18</v>
      </c>
      <c r="R83" s="3">
        <f t="shared" si="1"/>
        <v>236.18</v>
      </c>
    </row>
    <row r="84" ht="22.5" customHeight="1">
      <c r="B84" s="7" t="s">
        <v>104</v>
      </c>
      <c r="C84" s="7">
        <v>1140.0</v>
      </c>
      <c r="D84" s="7">
        <v>4253.0</v>
      </c>
      <c r="E84" s="7">
        <v>2418972.0</v>
      </c>
      <c r="F84" s="7">
        <v>2388702.0</v>
      </c>
      <c r="G84" s="7">
        <v>4099186.0</v>
      </c>
      <c r="H84" s="7">
        <v>1.09660699E8</v>
      </c>
      <c r="I84" s="7">
        <v>121179.0</v>
      </c>
      <c r="J84" s="7">
        <v>107815.0</v>
      </c>
      <c r="K84" s="7">
        <v>13364.0</v>
      </c>
      <c r="L84" s="7">
        <v>19.81</v>
      </c>
      <c r="M84" s="7">
        <v>-0.07</v>
      </c>
      <c r="N84" s="7">
        <v>16284.0</v>
      </c>
      <c r="O84" s="7">
        <v>1114864.0</v>
      </c>
      <c r="P84" s="7" t="s">
        <v>410</v>
      </c>
      <c r="Q84" s="7">
        <v>241.28</v>
      </c>
      <c r="R84" s="3">
        <f t="shared" si="1"/>
        <v>241.28</v>
      </c>
    </row>
    <row r="85" ht="22.5" customHeight="1">
      <c r="B85" s="7" t="s">
        <v>106</v>
      </c>
      <c r="C85" s="7">
        <v>22022.0</v>
      </c>
      <c r="D85" s="7">
        <v>172772.0</v>
      </c>
      <c r="E85" s="7">
        <v>2414534.0</v>
      </c>
      <c r="F85" s="7">
        <v>2324854.0</v>
      </c>
      <c r="G85" s="7">
        <v>2.9474157E7</v>
      </c>
      <c r="H85" s="7">
        <v>2.82699964E8</v>
      </c>
      <c r="I85" s="7">
        <v>137661.0</v>
      </c>
      <c r="J85" s="7">
        <v>134194.0</v>
      </c>
      <c r="K85" s="7">
        <v>3467.0</v>
      </c>
      <c r="L85" s="7">
        <v>17.84</v>
      </c>
      <c r="M85" s="7">
        <v>-0.22</v>
      </c>
      <c r="N85" s="7">
        <v>6786.0</v>
      </c>
      <c r="O85" s="7">
        <v>5624497.0</v>
      </c>
      <c r="P85" s="7" t="s">
        <v>409</v>
      </c>
      <c r="Q85" s="7">
        <v>242.71</v>
      </c>
      <c r="R85" s="3">
        <f t="shared" si="1"/>
        <v>242.71</v>
      </c>
    </row>
    <row r="86" ht="22.5" customHeight="1">
      <c r="B86" s="7" t="s">
        <v>122</v>
      </c>
      <c r="C86" s="7">
        <v>687.0</v>
      </c>
      <c r="D86" s="7">
        <v>19618.0</v>
      </c>
      <c r="E86" s="7">
        <v>1082437.0</v>
      </c>
      <c r="F86" s="7">
        <v>1075168.0</v>
      </c>
      <c r="G86" s="7">
        <v>1663877.0</v>
      </c>
      <c r="H86" s="7">
        <v>1.07090193E8</v>
      </c>
      <c r="I86" s="7">
        <v>53174.0</v>
      </c>
      <c r="J86" s="7">
        <v>43017.0</v>
      </c>
      <c r="K86" s="7">
        <v>10157.0</v>
      </c>
      <c r="L86" s="7">
        <v>22.87</v>
      </c>
      <c r="M86" s="7">
        <v>-0.05</v>
      </c>
      <c r="N86" s="7">
        <v>11986.0</v>
      </c>
      <c r="O86" s="7">
        <v>303528.0</v>
      </c>
      <c r="P86" s="7" t="s">
        <v>409</v>
      </c>
      <c r="Q86" s="7">
        <v>248.85</v>
      </c>
      <c r="R86" s="3">
        <f t="shared" si="1"/>
        <v>248.85</v>
      </c>
    </row>
    <row r="87" ht="22.5" customHeight="1">
      <c r="B87" s="7" t="s">
        <v>130</v>
      </c>
      <c r="C87" s="7">
        <v>5241.0</v>
      </c>
      <c r="D87" s="7">
        <v>15431.0</v>
      </c>
      <c r="E87" s="7">
        <v>3515514.0</v>
      </c>
      <c r="F87" s="7">
        <v>3440769.0</v>
      </c>
      <c r="G87" s="7">
        <v>6792584.0</v>
      </c>
      <c r="H87" s="7">
        <v>2.52257715E8</v>
      </c>
      <c r="I87" s="7">
        <v>125132.0</v>
      </c>
      <c r="J87" s="7">
        <v>101602.0</v>
      </c>
      <c r="K87" s="7">
        <v>23530.0</v>
      </c>
      <c r="L87" s="7">
        <v>22.74</v>
      </c>
      <c r="M87" s="7">
        <v>-0.07</v>
      </c>
      <c r="N87" s="7">
        <v>29642.0</v>
      </c>
      <c r="O87" s="7">
        <v>1365322.0</v>
      </c>
      <c r="P87" s="7" t="s">
        <v>410</v>
      </c>
      <c r="Q87" s="7">
        <v>252.61</v>
      </c>
      <c r="R87" s="3">
        <f t="shared" si="1"/>
        <v>252.61</v>
      </c>
    </row>
    <row r="88" ht="22.5" customHeight="1">
      <c r="B88" s="7" t="s">
        <v>177</v>
      </c>
      <c r="C88" s="7">
        <v>49112.0</v>
      </c>
      <c r="D88" s="7">
        <v>2317836.0</v>
      </c>
      <c r="E88" s="7">
        <v>333893.0</v>
      </c>
      <c r="F88" s="7">
        <v>323415.0</v>
      </c>
      <c r="G88" s="7">
        <v>2544684.0</v>
      </c>
      <c r="H88" s="7">
        <v>3.42154327E8</v>
      </c>
      <c r="I88" s="7">
        <v>8529.0</v>
      </c>
      <c r="J88" s="7">
        <v>7000.0</v>
      </c>
      <c r="K88" s="7">
        <v>1529.0</v>
      </c>
      <c r="L88" s="7">
        <v>183.93</v>
      </c>
      <c r="M88" s="7">
        <v>-0.09</v>
      </c>
      <c r="N88" s="7">
        <v>2026.0</v>
      </c>
      <c r="O88" s="7">
        <v>829348.0</v>
      </c>
      <c r="P88" s="7" t="s">
        <v>410</v>
      </c>
      <c r="Q88" s="7">
        <v>253.24</v>
      </c>
      <c r="R88" s="3">
        <f t="shared" si="1"/>
        <v>253.24</v>
      </c>
    </row>
    <row r="89" ht="22.5" customHeight="1">
      <c r="B89" s="7" t="s">
        <v>55</v>
      </c>
      <c r="C89" s="7">
        <v>1672.0</v>
      </c>
      <c r="D89" s="7">
        <v>5262.0</v>
      </c>
      <c r="E89" s="7">
        <v>2739949.0</v>
      </c>
      <c r="F89" s="7">
        <v>2690549.0</v>
      </c>
      <c r="G89" s="7">
        <v>5896510.0</v>
      </c>
      <c r="H89" s="7">
        <v>1.7694243E8</v>
      </c>
      <c r="I89" s="7">
        <v>140297.0</v>
      </c>
      <c r="J89" s="7">
        <v>124751.0</v>
      </c>
      <c r="K89" s="7">
        <v>15546.0</v>
      </c>
      <c r="L89" s="7">
        <v>23.56</v>
      </c>
      <c r="M89" s="7">
        <v>-0.09</v>
      </c>
      <c r="N89" s="7">
        <v>19426.0</v>
      </c>
      <c r="O89" s="7">
        <v>1091966.0</v>
      </c>
      <c r="P89" s="7" t="s">
        <v>409</v>
      </c>
      <c r="Q89" s="7">
        <v>258.15</v>
      </c>
      <c r="R89" s="3">
        <f t="shared" si="1"/>
        <v>258.15</v>
      </c>
    </row>
    <row r="90" ht="22.5" customHeight="1">
      <c r="B90" s="7" t="s">
        <v>19</v>
      </c>
      <c r="C90" s="7">
        <v>48258.0</v>
      </c>
      <c r="D90" s="7">
        <v>140967.0</v>
      </c>
      <c r="E90" s="7">
        <v>2012131.0</v>
      </c>
      <c r="F90" s="7">
        <v>1982847.0</v>
      </c>
      <c r="G90" s="7">
        <v>1.0898229E7</v>
      </c>
      <c r="H90" s="7">
        <v>3.7474979E8</v>
      </c>
      <c r="I90" s="7">
        <v>141768.0</v>
      </c>
      <c r="J90" s="7">
        <v>136016.0</v>
      </c>
      <c r="K90" s="7">
        <v>5752.0</v>
      </c>
      <c r="L90" s="7">
        <v>21.66</v>
      </c>
      <c r="M90" s="7">
        <v>-0.13</v>
      </c>
      <c r="N90" s="7">
        <v>7763.0</v>
      </c>
      <c r="O90" s="7">
        <v>1840026.0</v>
      </c>
      <c r="P90" s="7" t="s">
        <v>410</v>
      </c>
      <c r="Q90" s="7">
        <v>272.74</v>
      </c>
      <c r="R90" s="3">
        <f t="shared" si="1"/>
        <v>272.74</v>
      </c>
    </row>
    <row r="91" ht="22.5" customHeight="1">
      <c r="B91" s="7" t="s">
        <v>141</v>
      </c>
      <c r="C91" s="7">
        <v>827.0</v>
      </c>
      <c r="D91" s="7">
        <v>20662.0</v>
      </c>
      <c r="E91" s="7">
        <v>1246567.0</v>
      </c>
      <c r="F91" s="7">
        <v>1236589.0</v>
      </c>
      <c r="G91" s="7">
        <v>2137047.0</v>
      </c>
      <c r="H91" s="7">
        <v>1.33122109E8</v>
      </c>
      <c r="I91" s="7">
        <v>70628.0</v>
      </c>
      <c r="J91" s="7">
        <v>60807.0</v>
      </c>
      <c r="K91" s="7">
        <v>9821.0</v>
      </c>
      <c r="L91" s="7">
        <v>24.54</v>
      </c>
      <c r="M91" s="7">
        <v>-0.07</v>
      </c>
      <c r="N91" s="7">
        <v>11663.0</v>
      </c>
      <c r="O91" s="7">
        <v>419450.0</v>
      </c>
      <c r="P91" s="7" t="s">
        <v>409</v>
      </c>
      <c r="Q91" s="7">
        <v>273.83</v>
      </c>
      <c r="R91" s="3">
        <f t="shared" si="1"/>
        <v>273.83</v>
      </c>
    </row>
    <row r="92" ht="22.5" customHeight="1">
      <c r="B92" s="7" t="s">
        <v>195</v>
      </c>
      <c r="C92" s="7">
        <v>6658.0</v>
      </c>
      <c r="D92" s="7">
        <v>31909.0</v>
      </c>
      <c r="E92" s="7">
        <v>904438.0</v>
      </c>
      <c r="F92" s="7">
        <v>904060.0</v>
      </c>
      <c r="G92" s="7">
        <v>915239.0</v>
      </c>
      <c r="H92" s="7">
        <v>8.0090885E8</v>
      </c>
      <c r="I92" s="7">
        <v>31821.0</v>
      </c>
      <c r="J92" s="7">
        <v>22761.0</v>
      </c>
      <c r="K92" s="7">
        <v>9060.0</v>
      </c>
      <c r="L92" s="7">
        <v>20.66</v>
      </c>
      <c r="M92" s="7">
        <v>0.0</v>
      </c>
      <c r="N92" s="7">
        <v>10563.0</v>
      </c>
      <c r="O92" s="7">
        <v>275982.0</v>
      </c>
      <c r="P92" s="7" t="s">
        <v>409</v>
      </c>
      <c r="Q92" s="7">
        <v>274.75</v>
      </c>
      <c r="R92" s="3">
        <f t="shared" si="1"/>
        <v>274.75</v>
      </c>
    </row>
    <row r="93" ht="22.5" customHeight="1">
      <c r="B93" s="7" t="s">
        <v>105</v>
      </c>
      <c r="C93" s="7">
        <v>3220.0</v>
      </c>
      <c r="D93" s="7">
        <v>12314.0</v>
      </c>
      <c r="E93" s="7">
        <v>2779354.0</v>
      </c>
      <c r="F93" s="7">
        <v>2734524.0</v>
      </c>
      <c r="G93" s="7">
        <v>9024672.0</v>
      </c>
      <c r="H93" s="7">
        <v>2.02525725E8</v>
      </c>
      <c r="I93" s="7">
        <v>151759.0</v>
      </c>
      <c r="J93" s="7">
        <v>137524.0</v>
      </c>
      <c r="K93" s="7">
        <v>14235.0</v>
      </c>
      <c r="L93" s="7">
        <v>33.31</v>
      </c>
      <c r="M93" s="7">
        <v>-0.11</v>
      </c>
      <c r="N93" s="7">
        <v>18307.0</v>
      </c>
      <c r="O93" s="7">
        <v>1160747.0</v>
      </c>
      <c r="P93" s="7" t="s">
        <v>409</v>
      </c>
      <c r="Q93" s="7">
        <v>280.03</v>
      </c>
      <c r="R93" s="3">
        <f t="shared" si="1"/>
        <v>280.03</v>
      </c>
    </row>
    <row r="94" ht="22.5" customHeight="1">
      <c r="B94" s="7" t="s">
        <v>190</v>
      </c>
      <c r="C94" s="7">
        <v>13408.0</v>
      </c>
      <c r="D94" s="7">
        <v>309438.0</v>
      </c>
      <c r="E94" s="7">
        <v>2918952.0</v>
      </c>
      <c r="F94" s="7">
        <v>2843308.0</v>
      </c>
      <c r="G94" s="7">
        <v>5.8459844E7</v>
      </c>
      <c r="H94" s="7">
        <v>4.03458403E8</v>
      </c>
      <c r="I94" s="7">
        <v>132349.0</v>
      </c>
      <c r="J94" s="7">
        <v>126299.0</v>
      </c>
      <c r="K94" s="7">
        <v>6050.0</v>
      </c>
      <c r="L94" s="7">
        <v>43.53</v>
      </c>
      <c r="M94" s="7">
        <v>-0.22</v>
      </c>
      <c r="N94" s="7">
        <v>10929.0</v>
      </c>
      <c r="O94" s="7">
        <v>9368671.0</v>
      </c>
      <c r="P94" s="7" t="s">
        <v>409</v>
      </c>
      <c r="Q94" s="7">
        <v>297.37</v>
      </c>
      <c r="R94" s="3">
        <f t="shared" si="1"/>
        <v>297.37</v>
      </c>
    </row>
    <row r="95" ht="22.5" customHeight="1">
      <c r="B95" s="7" t="s">
        <v>134</v>
      </c>
      <c r="C95" s="7">
        <v>1043.0</v>
      </c>
      <c r="D95" s="7">
        <v>2829.0</v>
      </c>
      <c r="E95" s="7">
        <v>4815072.0</v>
      </c>
      <c r="F95" s="7">
        <v>4763815.0</v>
      </c>
      <c r="G95" s="7">
        <v>5549498.0</v>
      </c>
      <c r="H95" s="7">
        <v>7.4670185E7</v>
      </c>
      <c r="I95" s="7">
        <v>161212.0</v>
      </c>
      <c r="J95" s="7">
        <v>125216.0</v>
      </c>
      <c r="K95" s="7">
        <v>35996.0</v>
      </c>
      <c r="L95" s="7">
        <v>22.54</v>
      </c>
      <c r="M95" s="7">
        <v>-0.03</v>
      </c>
      <c r="N95" s="7">
        <v>43475.0</v>
      </c>
      <c r="O95" s="7">
        <v>1766708.0</v>
      </c>
      <c r="P95" s="7" t="s">
        <v>410</v>
      </c>
      <c r="Q95" s="7">
        <v>300.68</v>
      </c>
      <c r="R95" s="3">
        <f t="shared" si="1"/>
        <v>300.68</v>
      </c>
    </row>
    <row r="96" ht="22.5" customHeight="1">
      <c r="B96" s="7" t="s">
        <v>183</v>
      </c>
      <c r="C96" s="7">
        <v>13408.0</v>
      </c>
      <c r="D96" s="7">
        <v>309439.0</v>
      </c>
      <c r="E96" s="7">
        <v>2405351.0</v>
      </c>
      <c r="F96" s="7">
        <v>2340960.0</v>
      </c>
      <c r="G96" s="7">
        <v>5.5499901E7</v>
      </c>
      <c r="H96" s="7">
        <v>3.05531749E8</v>
      </c>
      <c r="I96" s="7">
        <v>129326.0</v>
      </c>
      <c r="J96" s="7">
        <v>125945.0</v>
      </c>
      <c r="K96" s="7">
        <v>3381.0</v>
      </c>
      <c r="L96" s="7">
        <v>28.96</v>
      </c>
      <c r="M96" s="7">
        <v>-0.25</v>
      </c>
      <c r="N96" s="7">
        <v>6677.0</v>
      </c>
      <c r="O96" s="7">
        <v>9757246.0</v>
      </c>
      <c r="P96" s="7" t="s">
        <v>409</v>
      </c>
      <c r="Q96" s="7">
        <v>302.38</v>
      </c>
      <c r="R96" s="3">
        <f t="shared" si="1"/>
        <v>302.38</v>
      </c>
    </row>
    <row r="97" ht="22.5" customHeight="1">
      <c r="B97" s="7" t="s">
        <v>80</v>
      </c>
      <c r="C97" s="7">
        <v>2703.0</v>
      </c>
      <c r="D97" s="7">
        <v>17985.0</v>
      </c>
      <c r="E97" s="7">
        <v>1430653.0</v>
      </c>
      <c r="F97" s="7">
        <v>1410076.0</v>
      </c>
      <c r="G97" s="7">
        <v>2197143.0</v>
      </c>
      <c r="H97" s="7">
        <v>1.03725727E8</v>
      </c>
      <c r="I97" s="7">
        <v>51945.0</v>
      </c>
      <c r="J97" s="7">
        <v>44060.0</v>
      </c>
      <c r="K97" s="7">
        <v>7885.0</v>
      </c>
      <c r="L97" s="7">
        <v>29.03</v>
      </c>
      <c r="M97" s="7">
        <v>-0.06</v>
      </c>
      <c r="N97" s="7">
        <v>9801.0</v>
      </c>
      <c r="O97" s="7">
        <v>683218.0</v>
      </c>
      <c r="P97" s="7" t="s">
        <v>410</v>
      </c>
      <c r="Q97" s="7">
        <v>303.11</v>
      </c>
      <c r="R97" s="3">
        <f t="shared" si="1"/>
        <v>303.11</v>
      </c>
    </row>
    <row r="98" ht="22.5" customHeight="1">
      <c r="B98" s="7" t="s">
        <v>25</v>
      </c>
      <c r="C98" s="7">
        <v>2205.0</v>
      </c>
      <c r="D98" s="7">
        <v>6555.0</v>
      </c>
      <c r="E98" s="7">
        <v>2406973.0</v>
      </c>
      <c r="F98" s="7">
        <v>2386452.0</v>
      </c>
      <c r="G98" s="7">
        <v>3263025.0</v>
      </c>
      <c r="H98" s="7">
        <v>2.09259459E8</v>
      </c>
      <c r="I98" s="7">
        <v>130019.0</v>
      </c>
      <c r="J98" s="7">
        <v>114370.0</v>
      </c>
      <c r="K98" s="7">
        <v>15649.0</v>
      </c>
      <c r="L98" s="7">
        <v>27.23</v>
      </c>
      <c r="M98" s="7">
        <v>-0.04</v>
      </c>
      <c r="N98" s="7">
        <v>18435.0</v>
      </c>
      <c r="O98" s="7">
        <v>1084965.0</v>
      </c>
      <c r="P98" s="7" t="s">
        <v>410</v>
      </c>
      <c r="Q98" s="7">
        <v>305.87</v>
      </c>
      <c r="R98" s="3">
        <f t="shared" si="1"/>
        <v>305.87</v>
      </c>
    </row>
    <row r="99" ht="22.5" customHeight="1">
      <c r="B99" s="7" t="s">
        <v>92</v>
      </c>
      <c r="C99" s="7">
        <v>349350.0</v>
      </c>
      <c r="D99" s="7">
        <v>1419267.0</v>
      </c>
      <c r="E99" s="7">
        <v>1062045.0</v>
      </c>
      <c r="F99" s="7">
        <v>1035231.0</v>
      </c>
      <c r="G99" s="7">
        <v>3492025.0</v>
      </c>
      <c r="H99" s="7">
        <v>6.28916582E8</v>
      </c>
      <c r="I99" s="7">
        <v>47920.0</v>
      </c>
      <c r="J99" s="7">
        <v>43633.0</v>
      </c>
      <c r="K99" s="7">
        <v>4287.0</v>
      </c>
      <c r="L99" s="7">
        <v>30.82</v>
      </c>
      <c r="M99" s="7">
        <v>-0.14</v>
      </c>
      <c r="N99" s="7">
        <v>6357.0</v>
      </c>
      <c r="O99" s="7">
        <v>556962.0</v>
      </c>
      <c r="P99" s="7" t="s">
        <v>410</v>
      </c>
      <c r="Q99" s="7">
        <v>307.9</v>
      </c>
      <c r="R99" s="3">
        <f t="shared" si="1"/>
        <v>307.9</v>
      </c>
    </row>
    <row r="100" ht="22.5" customHeight="1">
      <c r="B100" s="7" t="s">
        <v>66</v>
      </c>
      <c r="C100" s="7">
        <v>3426.0</v>
      </c>
      <c r="D100" s="7">
        <v>20302.0</v>
      </c>
      <c r="E100" s="7">
        <v>1533191.0</v>
      </c>
      <c r="F100" s="7">
        <v>1533167.0</v>
      </c>
      <c r="G100" s="7">
        <v>1536422.0</v>
      </c>
      <c r="H100" s="7">
        <v>1.32852268E9</v>
      </c>
      <c r="I100" s="7">
        <v>36661.0</v>
      </c>
      <c r="J100" s="7">
        <v>23360.0</v>
      </c>
      <c r="K100" s="7">
        <v>13301.0</v>
      </c>
      <c r="L100" s="7">
        <v>18.11</v>
      </c>
      <c r="M100" s="7">
        <v>0.0</v>
      </c>
      <c r="N100" s="7">
        <v>15033.0</v>
      </c>
      <c r="O100" s="7">
        <v>784352.0</v>
      </c>
      <c r="P100" s="7" t="s">
        <v>409</v>
      </c>
      <c r="Q100" s="7">
        <v>310.7</v>
      </c>
      <c r="R100" s="3">
        <f t="shared" si="1"/>
        <v>310.7</v>
      </c>
    </row>
    <row r="101" ht="22.5" customHeight="1">
      <c r="B101" s="7" t="s">
        <v>151</v>
      </c>
      <c r="C101" s="7">
        <v>47040.0</v>
      </c>
      <c r="D101" s="7">
        <v>178880.0</v>
      </c>
      <c r="E101" s="7">
        <v>846150.0</v>
      </c>
      <c r="F101" s="7">
        <v>824177.0</v>
      </c>
      <c r="G101" s="7">
        <v>9001788.0</v>
      </c>
      <c r="H101" s="7">
        <v>2.058798732E9</v>
      </c>
      <c r="I101" s="7">
        <v>31629.0</v>
      </c>
      <c r="J101" s="7">
        <v>28215.0</v>
      </c>
      <c r="K101" s="7">
        <v>3414.0</v>
      </c>
      <c r="L101" s="7">
        <v>94.02</v>
      </c>
      <c r="M101" s="7">
        <v>-0.11</v>
      </c>
      <c r="N101" s="7">
        <v>4937.0</v>
      </c>
      <c r="O101" s="7">
        <v>626424.0</v>
      </c>
      <c r="P101" s="7" t="s">
        <v>409</v>
      </c>
      <c r="Q101" s="7">
        <v>313.06</v>
      </c>
      <c r="R101" s="3">
        <f t="shared" si="1"/>
        <v>313.06</v>
      </c>
    </row>
    <row r="102" ht="22.5" customHeight="1">
      <c r="B102" s="7" t="s">
        <v>152</v>
      </c>
      <c r="C102" s="7">
        <v>501284.0</v>
      </c>
      <c r="D102" s="7">
        <v>2745938.0</v>
      </c>
      <c r="E102" s="7">
        <v>2038933.0</v>
      </c>
      <c r="F102" s="7">
        <v>2029197.0</v>
      </c>
      <c r="G102" s="7">
        <v>1.6256989E7</v>
      </c>
      <c r="H102" s="7">
        <v>1.44525026E8</v>
      </c>
      <c r="I102" s="7">
        <v>122368.0</v>
      </c>
      <c r="J102" s="7">
        <v>114442.0</v>
      </c>
      <c r="K102" s="7">
        <v>7926.0</v>
      </c>
      <c r="L102" s="7">
        <v>16.0</v>
      </c>
      <c r="M102" s="7">
        <v>-0.07</v>
      </c>
      <c r="N102" s="7">
        <v>9849.0</v>
      </c>
      <c r="O102" s="7">
        <v>2062890.0</v>
      </c>
      <c r="P102" s="7" t="s">
        <v>410</v>
      </c>
      <c r="Q102" s="7">
        <v>319.31</v>
      </c>
      <c r="R102" s="3">
        <f t="shared" si="1"/>
        <v>319.31</v>
      </c>
    </row>
    <row r="103" ht="22.5" customHeight="1">
      <c r="B103" s="7" t="s">
        <v>102</v>
      </c>
      <c r="C103" s="7">
        <v>110108.0</v>
      </c>
      <c r="D103" s="7">
        <v>506718.0</v>
      </c>
      <c r="E103" s="7">
        <v>234918.0</v>
      </c>
      <c r="F103" s="7">
        <v>226819.0</v>
      </c>
      <c r="G103" s="7">
        <v>500091.0</v>
      </c>
      <c r="H103" s="7">
        <v>1.017099499E9</v>
      </c>
      <c r="I103" s="7">
        <v>8146.0</v>
      </c>
      <c r="J103" s="7">
        <v>7086.0</v>
      </c>
      <c r="K103" s="7">
        <v>1060.0</v>
      </c>
      <c r="L103" s="7">
        <v>135.02</v>
      </c>
      <c r="M103" s="7">
        <v>-0.07</v>
      </c>
      <c r="N103" s="7">
        <v>1511.0</v>
      </c>
      <c r="O103" s="7">
        <v>100942.0</v>
      </c>
      <c r="P103" s="7" t="s">
        <v>410</v>
      </c>
      <c r="Q103" s="7">
        <v>322.67</v>
      </c>
      <c r="R103" s="3">
        <f t="shared" si="1"/>
        <v>322.67</v>
      </c>
    </row>
    <row r="104" ht="22.5" customHeight="1">
      <c r="B104" s="7" t="s">
        <v>63</v>
      </c>
      <c r="C104" s="7">
        <v>26275.0</v>
      </c>
      <c r="D104" s="7">
        <v>121056.0</v>
      </c>
      <c r="E104" s="7">
        <v>289448.0</v>
      </c>
      <c r="F104" s="7">
        <v>288004.0</v>
      </c>
      <c r="G104" s="7">
        <v>315357.0</v>
      </c>
      <c r="H104" s="7">
        <v>1.411753997E9</v>
      </c>
      <c r="I104" s="7">
        <v>7370.0</v>
      </c>
      <c r="J104" s="7">
        <v>4628.0</v>
      </c>
      <c r="K104" s="7">
        <v>2742.0</v>
      </c>
      <c r="L104" s="7">
        <v>18.68</v>
      </c>
      <c r="M104" s="7">
        <v>-0.01</v>
      </c>
      <c r="N104" s="7">
        <v>3195.0</v>
      </c>
      <c r="O104" s="7">
        <v>110060.0</v>
      </c>
      <c r="P104" s="7" t="s">
        <v>410</v>
      </c>
      <c r="Q104" s="7">
        <v>323.53</v>
      </c>
      <c r="R104" s="3">
        <f t="shared" si="1"/>
        <v>323.53</v>
      </c>
    </row>
    <row r="105" ht="22.5" customHeight="1">
      <c r="B105" s="7" t="s">
        <v>90</v>
      </c>
      <c r="C105" s="7">
        <v>224962.0</v>
      </c>
      <c r="D105" s="7">
        <v>1192377.0</v>
      </c>
      <c r="E105" s="7">
        <v>600511.0</v>
      </c>
      <c r="F105" s="7">
        <v>505571.0</v>
      </c>
      <c r="G105" s="7">
        <v>5382682.0</v>
      </c>
      <c r="H105" s="7">
        <v>1.496076023E9</v>
      </c>
      <c r="I105" s="7">
        <v>24585.0</v>
      </c>
      <c r="J105" s="7">
        <v>22743.0</v>
      </c>
      <c r="K105" s="7">
        <v>1842.0</v>
      </c>
      <c r="L105" s="7">
        <v>207.61</v>
      </c>
      <c r="M105" s="7">
        <v>-0.13</v>
      </c>
      <c r="N105" s="7">
        <v>2604.0</v>
      </c>
      <c r="O105" s="7">
        <v>607931.0</v>
      </c>
      <c r="P105" s="7" t="s">
        <v>409</v>
      </c>
      <c r="Q105" s="7">
        <v>324.69</v>
      </c>
      <c r="R105" s="3">
        <f t="shared" si="1"/>
        <v>324.69</v>
      </c>
    </row>
    <row r="106" ht="22.5" customHeight="1">
      <c r="B106" s="7" t="s">
        <v>24</v>
      </c>
      <c r="C106" s="7">
        <v>4020.0</v>
      </c>
      <c r="D106" s="7">
        <v>466486.0</v>
      </c>
      <c r="E106" s="7">
        <v>2284779.0</v>
      </c>
      <c r="F106" s="7">
        <v>2247910.0</v>
      </c>
      <c r="G106" s="7">
        <v>3166448.0</v>
      </c>
      <c r="H106" s="7">
        <v>2.72457348E8</v>
      </c>
      <c r="I106" s="7">
        <v>89176.0</v>
      </c>
      <c r="J106" s="7">
        <v>75703.0</v>
      </c>
      <c r="K106" s="7">
        <v>13473.0</v>
      </c>
      <c r="L106" s="7">
        <v>88.45</v>
      </c>
      <c r="M106" s="7">
        <v>-0.04</v>
      </c>
      <c r="N106" s="7">
        <v>15915.0</v>
      </c>
      <c r="O106" s="7">
        <v>1244846.0</v>
      </c>
      <c r="P106" s="7" t="s">
        <v>409</v>
      </c>
      <c r="Q106" s="7">
        <v>328.65</v>
      </c>
      <c r="R106" s="3">
        <f t="shared" si="1"/>
        <v>328.65</v>
      </c>
    </row>
    <row r="107" ht="22.5" customHeight="1">
      <c r="B107" s="7" t="s">
        <v>120</v>
      </c>
      <c r="C107" s="7">
        <v>1140.0</v>
      </c>
      <c r="D107" s="7">
        <v>4253.0</v>
      </c>
      <c r="E107" s="7">
        <v>3381078.0</v>
      </c>
      <c r="F107" s="7">
        <v>3342174.0</v>
      </c>
      <c r="G107" s="7">
        <v>5159473.0</v>
      </c>
      <c r="H107" s="7">
        <v>1.45509703E8</v>
      </c>
      <c r="I107" s="7">
        <v>136132.0</v>
      </c>
      <c r="J107" s="7">
        <v>109589.0</v>
      </c>
      <c r="K107" s="7">
        <v>26543.0</v>
      </c>
      <c r="L107" s="7">
        <v>19.61</v>
      </c>
      <c r="M107" s="7">
        <v>-0.06</v>
      </c>
      <c r="N107" s="7">
        <v>32086.0</v>
      </c>
      <c r="O107" s="7">
        <v>1112549.0</v>
      </c>
      <c r="P107" s="7" t="s">
        <v>410</v>
      </c>
      <c r="Q107" s="7">
        <v>331.12</v>
      </c>
      <c r="R107" s="3">
        <f t="shared" si="1"/>
        <v>331.12</v>
      </c>
    </row>
    <row r="108" ht="22.5" customHeight="1">
      <c r="B108" s="7" t="s">
        <v>235</v>
      </c>
      <c r="C108" s="7">
        <v>1728.0</v>
      </c>
      <c r="D108" s="7">
        <v>19526.0</v>
      </c>
      <c r="E108" s="7">
        <v>5038832.0</v>
      </c>
      <c r="F108" s="7">
        <v>5014591.0</v>
      </c>
      <c r="G108" s="7">
        <v>6210854.0</v>
      </c>
      <c r="H108" s="7">
        <v>6.4828748E7</v>
      </c>
      <c r="I108" s="7">
        <v>192243.0</v>
      </c>
      <c r="J108" s="7">
        <v>138994.0</v>
      </c>
      <c r="K108" s="7">
        <v>53249.0</v>
      </c>
      <c r="L108" s="7">
        <v>43.31</v>
      </c>
      <c r="M108" s="7">
        <v>-0.02</v>
      </c>
      <c r="N108" s="7">
        <v>59975.0</v>
      </c>
      <c r="O108" s="7">
        <v>1966920.0</v>
      </c>
      <c r="P108" s="7" t="s">
        <v>410</v>
      </c>
      <c r="Q108" s="7">
        <v>332.39</v>
      </c>
      <c r="R108" s="3">
        <f t="shared" si="1"/>
        <v>332.39</v>
      </c>
    </row>
    <row r="109" ht="22.5" customHeight="1">
      <c r="B109" s="7" t="s">
        <v>57</v>
      </c>
      <c r="C109" s="7">
        <v>36208.0</v>
      </c>
      <c r="D109" s="7">
        <v>7010872.0</v>
      </c>
      <c r="E109" s="7">
        <v>328328.0</v>
      </c>
      <c r="F109" s="7">
        <v>320151.0</v>
      </c>
      <c r="G109" s="7">
        <v>794580.0</v>
      </c>
      <c r="H109" s="7">
        <v>2.22670165E8</v>
      </c>
      <c r="I109" s="7">
        <v>4766.0</v>
      </c>
      <c r="J109" s="7">
        <v>2115.0</v>
      </c>
      <c r="K109" s="7">
        <v>2651.0</v>
      </c>
      <c r="L109" s="7">
        <v>288.44</v>
      </c>
      <c r="M109" s="7">
        <v>-0.05</v>
      </c>
      <c r="N109" s="7">
        <v>3099.0</v>
      </c>
      <c r="O109" s="7">
        <v>247738.0</v>
      </c>
      <c r="P109" s="7" t="s">
        <v>410</v>
      </c>
      <c r="Q109" s="7">
        <v>333.87</v>
      </c>
      <c r="R109" s="3">
        <f t="shared" si="1"/>
        <v>333.87</v>
      </c>
    </row>
    <row r="110" ht="22.5" customHeight="1">
      <c r="B110" s="7" t="s">
        <v>129</v>
      </c>
      <c r="C110" s="7">
        <v>2470.0</v>
      </c>
      <c r="D110" s="7">
        <v>10585.0</v>
      </c>
      <c r="E110" s="7">
        <v>2342214.0</v>
      </c>
      <c r="F110" s="7">
        <v>2304355.0</v>
      </c>
      <c r="G110" s="7">
        <v>4941989.0</v>
      </c>
      <c r="H110" s="7">
        <v>2.21021333E8</v>
      </c>
      <c r="I110" s="7">
        <v>136895.0</v>
      </c>
      <c r="J110" s="7">
        <v>124956.0</v>
      </c>
      <c r="K110" s="7">
        <v>11939.0</v>
      </c>
      <c r="L110" s="7">
        <v>34.63</v>
      </c>
      <c r="M110" s="7">
        <v>-0.09</v>
      </c>
      <c r="N110" s="7">
        <v>14668.0</v>
      </c>
      <c r="O110" s="7">
        <v>1075646.0</v>
      </c>
      <c r="P110" s="7" t="s">
        <v>409</v>
      </c>
      <c r="Q110" s="7">
        <v>337.68</v>
      </c>
      <c r="R110" s="3">
        <f t="shared" si="1"/>
        <v>337.68</v>
      </c>
    </row>
    <row r="111" ht="22.5" customHeight="1">
      <c r="B111" s="7" t="s">
        <v>50</v>
      </c>
      <c r="C111" s="7">
        <v>1458.0</v>
      </c>
      <c r="D111" s="7">
        <v>30499.0</v>
      </c>
      <c r="E111" s="7">
        <v>2343845.0</v>
      </c>
      <c r="F111" s="7">
        <v>2300683.0</v>
      </c>
      <c r="G111" s="7">
        <v>5672506.0</v>
      </c>
      <c r="H111" s="7">
        <v>1.44822092E8</v>
      </c>
      <c r="I111" s="7">
        <v>116367.0</v>
      </c>
      <c r="J111" s="7">
        <v>106921.0</v>
      </c>
      <c r="K111" s="7">
        <v>9446.0</v>
      </c>
      <c r="L111" s="7">
        <v>42.69</v>
      </c>
      <c r="M111" s="7">
        <v>-0.09</v>
      </c>
      <c r="N111" s="7">
        <v>12277.0</v>
      </c>
      <c r="O111" s="7">
        <v>1181315.0</v>
      </c>
      <c r="P111" s="7" t="s">
        <v>409</v>
      </c>
      <c r="Q111" s="7">
        <v>340.28</v>
      </c>
      <c r="R111" s="3">
        <f t="shared" si="1"/>
        <v>340.28</v>
      </c>
    </row>
    <row r="112" ht="22.5" customHeight="1">
      <c r="B112" s="7" t="s">
        <v>69</v>
      </c>
      <c r="C112" s="7">
        <v>827.0</v>
      </c>
      <c r="D112" s="7">
        <v>20629.0</v>
      </c>
      <c r="E112" s="7">
        <v>1402954.0</v>
      </c>
      <c r="F112" s="7">
        <v>1391882.0</v>
      </c>
      <c r="G112" s="7">
        <v>2482999.0</v>
      </c>
      <c r="H112" s="7">
        <v>1.44424263E8</v>
      </c>
      <c r="I112" s="7">
        <v>88254.0</v>
      </c>
      <c r="J112" s="7">
        <v>78315.0</v>
      </c>
      <c r="K112" s="7">
        <v>9939.0</v>
      </c>
      <c r="L112" s="7">
        <v>25.61</v>
      </c>
      <c r="M112" s="7">
        <v>-0.07</v>
      </c>
      <c r="N112" s="7">
        <v>11778.0</v>
      </c>
      <c r="O112" s="7">
        <v>531196.0</v>
      </c>
      <c r="P112" s="7" t="s">
        <v>409</v>
      </c>
      <c r="Q112" s="7">
        <v>341.14</v>
      </c>
      <c r="R112" s="3">
        <f t="shared" si="1"/>
        <v>341.14</v>
      </c>
    </row>
    <row r="113" ht="22.5" customHeight="1">
      <c r="B113" s="7" t="s">
        <v>23</v>
      </c>
      <c r="C113" s="7">
        <v>53919.0</v>
      </c>
      <c r="D113" s="7">
        <v>307816.0</v>
      </c>
      <c r="E113" s="7">
        <v>915107.0</v>
      </c>
      <c r="F113" s="7">
        <v>889986.0</v>
      </c>
      <c r="G113" s="7">
        <v>3010235.0</v>
      </c>
      <c r="H113" s="7">
        <v>8.91467671E8</v>
      </c>
      <c r="I113" s="7">
        <v>30019.0</v>
      </c>
      <c r="J113" s="7">
        <v>25182.0</v>
      </c>
      <c r="K113" s="7">
        <v>4837.0</v>
      </c>
      <c r="L113" s="7">
        <v>98.98</v>
      </c>
      <c r="M113" s="7">
        <v>-0.08</v>
      </c>
      <c r="N113" s="7">
        <v>6524.0</v>
      </c>
      <c r="O113" s="7">
        <v>332489.0</v>
      </c>
      <c r="P113" s="7" t="s">
        <v>409</v>
      </c>
      <c r="Q113" s="7">
        <v>350.18</v>
      </c>
      <c r="R113" s="3">
        <f t="shared" si="1"/>
        <v>350.18</v>
      </c>
    </row>
    <row r="114" ht="22.5" customHeight="1">
      <c r="B114" s="7" t="s">
        <v>121</v>
      </c>
      <c r="C114" s="7">
        <v>1140.0</v>
      </c>
      <c r="D114" s="7">
        <v>4253.0</v>
      </c>
      <c r="E114" s="7">
        <v>3075469.0</v>
      </c>
      <c r="F114" s="7">
        <v>3041144.0</v>
      </c>
      <c r="G114" s="7">
        <v>4813899.0</v>
      </c>
      <c r="H114" s="7">
        <v>1.41571151E8</v>
      </c>
      <c r="I114" s="7">
        <v>132079.0</v>
      </c>
      <c r="J114" s="7">
        <v>110486.0</v>
      </c>
      <c r="K114" s="7">
        <v>21593.0</v>
      </c>
      <c r="L114" s="7">
        <v>20.76</v>
      </c>
      <c r="M114" s="7">
        <v>-0.06</v>
      </c>
      <c r="N114" s="7">
        <v>26334.0</v>
      </c>
      <c r="O114" s="7">
        <v>1103797.0</v>
      </c>
      <c r="P114" s="7" t="s">
        <v>410</v>
      </c>
      <c r="Q114" s="7">
        <v>353.91</v>
      </c>
      <c r="R114" s="3">
        <f t="shared" si="1"/>
        <v>353.91</v>
      </c>
    </row>
    <row r="115" ht="22.5" customHeight="1">
      <c r="B115" s="7" t="s">
        <v>48</v>
      </c>
      <c r="C115" s="7">
        <v>3559.0</v>
      </c>
      <c r="D115" s="7">
        <v>14096.0</v>
      </c>
      <c r="E115" s="7">
        <v>2606091.0</v>
      </c>
      <c r="F115" s="7">
        <v>2571223.0</v>
      </c>
      <c r="G115" s="7">
        <v>5031939.0</v>
      </c>
      <c r="H115" s="7">
        <v>2.76646319E8</v>
      </c>
      <c r="I115" s="7">
        <v>141831.0</v>
      </c>
      <c r="J115" s="7">
        <v>124382.0</v>
      </c>
      <c r="K115" s="7">
        <v>17449.0</v>
      </c>
      <c r="L115" s="7">
        <v>33.46</v>
      </c>
      <c r="M115" s="7">
        <v>-0.08</v>
      </c>
      <c r="N115" s="7">
        <v>20820.0</v>
      </c>
      <c r="O115" s="7">
        <v>1082549.0</v>
      </c>
      <c r="P115" s="7" t="s">
        <v>409</v>
      </c>
      <c r="Q115" s="7">
        <v>366.42</v>
      </c>
      <c r="R115" s="3">
        <f t="shared" si="1"/>
        <v>366.42</v>
      </c>
    </row>
    <row r="116" ht="22.5" customHeight="1">
      <c r="B116" s="7" t="s">
        <v>109</v>
      </c>
      <c r="C116" s="7">
        <v>2275.0</v>
      </c>
      <c r="D116" s="7">
        <v>6764.0</v>
      </c>
      <c r="E116" s="7">
        <v>2445474.0</v>
      </c>
      <c r="F116" s="7">
        <v>2417094.0</v>
      </c>
      <c r="G116" s="7">
        <v>3332178.0</v>
      </c>
      <c r="H116" s="7">
        <v>2.50307273E8</v>
      </c>
      <c r="I116" s="7">
        <v>125242.0</v>
      </c>
      <c r="J116" s="7">
        <v>108629.0</v>
      </c>
      <c r="K116" s="7">
        <v>16613.0</v>
      </c>
      <c r="L116" s="7">
        <v>27.64</v>
      </c>
      <c r="M116" s="7">
        <v>-0.04</v>
      </c>
      <c r="N116" s="7">
        <v>19485.0</v>
      </c>
      <c r="O116" s="7">
        <v>1113076.0</v>
      </c>
      <c r="P116" s="7" t="s">
        <v>410</v>
      </c>
      <c r="Q116" s="7">
        <v>367.77</v>
      </c>
      <c r="R116" s="3">
        <f t="shared" si="1"/>
        <v>367.77</v>
      </c>
    </row>
    <row r="117" ht="22.5" customHeight="1">
      <c r="B117" s="7" t="s">
        <v>100</v>
      </c>
      <c r="C117" s="7">
        <v>2692.0</v>
      </c>
      <c r="D117" s="7">
        <v>79064.0</v>
      </c>
      <c r="E117" s="7">
        <v>2137081.0</v>
      </c>
      <c r="F117" s="7">
        <v>2088963.0</v>
      </c>
      <c r="G117" s="7">
        <v>5920892.0</v>
      </c>
      <c r="H117" s="7">
        <v>2.79300564E8</v>
      </c>
      <c r="I117" s="7">
        <v>94103.0</v>
      </c>
      <c r="J117" s="7">
        <v>86683.0</v>
      </c>
      <c r="K117" s="7">
        <v>7420.0</v>
      </c>
      <c r="L117" s="7">
        <v>64.06</v>
      </c>
      <c r="M117" s="7">
        <v>-0.11</v>
      </c>
      <c r="N117" s="7">
        <v>9648.0</v>
      </c>
      <c r="O117" s="7">
        <v>1648822.0</v>
      </c>
      <c r="P117" s="7" t="s">
        <v>409</v>
      </c>
      <c r="Q117" s="7">
        <v>368.83</v>
      </c>
      <c r="R117" s="3">
        <f t="shared" si="1"/>
        <v>368.83</v>
      </c>
    </row>
    <row r="118" ht="22.5" customHeight="1">
      <c r="B118" s="7" t="s">
        <v>118</v>
      </c>
      <c r="C118" s="7">
        <v>1140.0</v>
      </c>
      <c r="D118" s="7">
        <v>4253.0</v>
      </c>
      <c r="E118" s="7">
        <v>3410042.0</v>
      </c>
      <c r="F118" s="7">
        <v>3371443.0</v>
      </c>
      <c r="G118" s="7">
        <v>5239689.0</v>
      </c>
      <c r="H118" s="7">
        <v>1.46406219E8</v>
      </c>
      <c r="I118" s="7">
        <v>138780.0</v>
      </c>
      <c r="J118" s="7">
        <v>112669.0</v>
      </c>
      <c r="K118" s="7">
        <v>26111.0</v>
      </c>
      <c r="L118" s="7">
        <v>19.53</v>
      </c>
      <c r="M118" s="7">
        <v>-0.06</v>
      </c>
      <c r="N118" s="7">
        <v>31766.0</v>
      </c>
      <c r="O118" s="7">
        <v>1101881.0</v>
      </c>
      <c r="P118" s="7" t="s">
        <v>410</v>
      </c>
      <c r="Q118" s="7">
        <v>369.98</v>
      </c>
      <c r="R118" s="3">
        <f t="shared" si="1"/>
        <v>369.98</v>
      </c>
    </row>
    <row r="119" ht="22.5" customHeight="1">
      <c r="B119" s="7" t="s">
        <v>380</v>
      </c>
      <c r="C119" s="7">
        <v>3220.0</v>
      </c>
      <c r="D119" s="7">
        <v>12314.0</v>
      </c>
      <c r="E119" s="7">
        <v>3807844.0</v>
      </c>
      <c r="F119" s="7">
        <v>3753339.0</v>
      </c>
      <c r="G119" s="7">
        <v>9341419.0</v>
      </c>
      <c r="H119" s="7">
        <v>2.63337299E8</v>
      </c>
      <c r="I119" s="7">
        <v>156032.0</v>
      </c>
      <c r="J119" s="7">
        <v>130350.0</v>
      </c>
      <c r="K119" s="7">
        <v>25682.0</v>
      </c>
      <c r="L119" s="7">
        <v>35.07</v>
      </c>
      <c r="M119" s="7">
        <v>-0.08</v>
      </c>
      <c r="N119" s="7">
        <v>32668.0</v>
      </c>
      <c r="O119" s="7">
        <v>1195169.0</v>
      </c>
      <c r="P119" s="7" t="s">
        <v>409</v>
      </c>
      <c r="Q119" s="7">
        <v>375.09</v>
      </c>
      <c r="R119" s="3">
        <f t="shared" si="1"/>
        <v>375.09</v>
      </c>
    </row>
    <row r="120" ht="22.5" customHeight="1">
      <c r="B120" s="7" t="s">
        <v>126</v>
      </c>
      <c r="C120" s="7">
        <v>2089.0</v>
      </c>
      <c r="D120" s="7">
        <v>6206.0</v>
      </c>
      <c r="E120" s="7">
        <v>2401733.0</v>
      </c>
      <c r="F120" s="7">
        <v>2381306.0</v>
      </c>
      <c r="G120" s="7">
        <v>2953695.0</v>
      </c>
      <c r="H120" s="7">
        <v>2.53362545E8</v>
      </c>
      <c r="I120" s="7">
        <v>123322.0</v>
      </c>
      <c r="J120" s="7">
        <v>107363.0</v>
      </c>
      <c r="K120" s="7">
        <v>15959.0</v>
      </c>
      <c r="L120" s="7">
        <v>27.86</v>
      </c>
      <c r="M120" s="7">
        <v>-0.03</v>
      </c>
      <c r="N120" s="7">
        <v>18717.0</v>
      </c>
      <c r="O120" s="7">
        <v>1090168.0</v>
      </c>
      <c r="P120" s="7" t="s">
        <v>410</v>
      </c>
      <c r="Q120" s="7">
        <v>387.56</v>
      </c>
      <c r="R120" s="3">
        <f t="shared" si="1"/>
        <v>387.56</v>
      </c>
    </row>
    <row r="121" ht="22.5" customHeight="1">
      <c r="B121" s="7" t="s">
        <v>27</v>
      </c>
      <c r="C121" s="7">
        <v>320.0</v>
      </c>
      <c r="D121" s="7">
        <v>1120.0</v>
      </c>
      <c r="E121" s="7">
        <v>2850152.0</v>
      </c>
      <c r="F121" s="7">
        <v>2784259.0</v>
      </c>
      <c r="G121" s="7">
        <v>5408777.0</v>
      </c>
      <c r="H121" s="7">
        <v>1.22772611E8</v>
      </c>
      <c r="I121" s="7">
        <v>95023.0</v>
      </c>
      <c r="J121" s="7">
        <v>78235.0</v>
      </c>
      <c r="K121" s="7">
        <v>16788.0</v>
      </c>
      <c r="L121" s="7">
        <v>24.36</v>
      </c>
      <c r="M121" s="7">
        <v>-0.06</v>
      </c>
      <c r="N121" s="7">
        <v>20982.0</v>
      </c>
      <c r="O121" s="7">
        <v>1184950.0</v>
      </c>
      <c r="P121" s="7" t="s">
        <v>409</v>
      </c>
      <c r="Q121" s="7">
        <v>390.71</v>
      </c>
      <c r="R121" s="3">
        <f t="shared" si="1"/>
        <v>390.71</v>
      </c>
    </row>
    <row r="122" ht="22.5" customHeight="1">
      <c r="B122" s="7" t="s">
        <v>58</v>
      </c>
      <c r="C122" s="7">
        <v>55333.0</v>
      </c>
      <c r="D122" s="7">
        <v>219128.0</v>
      </c>
      <c r="E122" s="7">
        <v>2080453.0</v>
      </c>
      <c r="F122" s="7">
        <v>2032577.0</v>
      </c>
      <c r="G122" s="7">
        <v>6.3909957E7</v>
      </c>
      <c r="H122" s="7">
        <v>6.18596347E8</v>
      </c>
      <c r="I122" s="7">
        <v>143591.0</v>
      </c>
      <c r="J122" s="7">
        <v>139459.0</v>
      </c>
      <c r="K122" s="7">
        <v>4132.0</v>
      </c>
      <c r="L122" s="7">
        <v>71.48</v>
      </c>
      <c r="M122" s="7">
        <v>-0.18</v>
      </c>
      <c r="N122" s="7">
        <v>6325.0</v>
      </c>
      <c r="O122" s="7">
        <v>3869567.0</v>
      </c>
      <c r="P122" s="7" t="s">
        <v>409</v>
      </c>
      <c r="Q122" s="7">
        <v>391.47</v>
      </c>
      <c r="R122" s="3">
        <f t="shared" si="1"/>
        <v>391.47</v>
      </c>
    </row>
    <row r="123" ht="22.5" customHeight="1">
      <c r="B123" s="7" t="s">
        <v>98</v>
      </c>
      <c r="C123" s="7">
        <v>1579557.0</v>
      </c>
      <c r="D123" s="7">
        <v>5889425.0</v>
      </c>
      <c r="E123" s="7">
        <v>143510.0</v>
      </c>
      <c r="F123" s="7">
        <v>139510.0</v>
      </c>
      <c r="G123" s="7">
        <v>4.1286738E7</v>
      </c>
      <c r="H123" s="7">
        <v>5.90374161E8</v>
      </c>
      <c r="I123" s="7">
        <v>10114.0</v>
      </c>
      <c r="J123" s="7">
        <v>9942.0</v>
      </c>
      <c r="K123" s="7">
        <v>172.0</v>
      </c>
      <c r="L123" s="7">
        <v>11.15</v>
      </c>
      <c r="M123" s="7">
        <v>-0.24</v>
      </c>
      <c r="N123" s="7">
        <v>360.0</v>
      </c>
      <c r="O123" s="7">
        <v>1.2089764E7</v>
      </c>
      <c r="P123" s="7" t="s">
        <v>409</v>
      </c>
      <c r="Q123" s="7">
        <v>403.03</v>
      </c>
      <c r="R123" s="3">
        <f t="shared" si="1"/>
        <v>403.03</v>
      </c>
    </row>
    <row r="124" ht="22.5" customHeight="1">
      <c r="B124" s="7" t="s">
        <v>187</v>
      </c>
      <c r="C124" s="7">
        <v>39547.0</v>
      </c>
      <c r="D124" s="7">
        <v>130954.0</v>
      </c>
      <c r="E124" s="7">
        <v>3289697.0</v>
      </c>
      <c r="F124" s="7">
        <v>3219565.0</v>
      </c>
      <c r="G124" s="7">
        <v>5.6897891E7</v>
      </c>
      <c r="H124" s="7">
        <v>4.72007192E8</v>
      </c>
      <c r="I124" s="7">
        <v>150801.0</v>
      </c>
      <c r="J124" s="7">
        <v>142322.0</v>
      </c>
      <c r="K124" s="7">
        <v>8479.0</v>
      </c>
      <c r="L124" s="7">
        <v>24.14</v>
      </c>
      <c r="M124" s="7">
        <v>-0.18</v>
      </c>
      <c r="N124" s="7">
        <v>14481.0</v>
      </c>
      <c r="O124" s="7">
        <v>6193111.0</v>
      </c>
      <c r="P124" s="7" t="s">
        <v>409</v>
      </c>
      <c r="Q124" s="7">
        <v>405.28</v>
      </c>
      <c r="R124" s="3">
        <f t="shared" si="1"/>
        <v>405.28</v>
      </c>
    </row>
    <row r="125" ht="22.5" customHeight="1">
      <c r="B125" s="7" t="s">
        <v>132</v>
      </c>
      <c r="C125" s="7">
        <v>9643.0</v>
      </c>
      <c r="D125" s="7">
        <v>145203.0</v>
      </c>
      <c r="E125" s="7">
        <v>2139262.0</v>
      </c>
      <c r="F125" s="7">
        <v>2104384.0</v>
      </c>
      <c r="G125" s="7">
        <v>4394737.0</v>
      </c>
      <c r="H125" s="7">
        <v>3.56060852E8</v>
      </c>
      <c r="I125" s="7">
        <v>127660.0</v>
      </c>
      <c r="J125" s="7">
        <v>120512.0</v>
      </c>
      <c r="K125" s="7">
        <v>7148.0</v>
      </c>
      <c r="L125" s="7">
        <v>21.65</v>
      </c>
      <c r="M125" s="7">
        <v>-0.09</v>
      </c>
      <c r="N125" s="7">
        <v>9400.0</v>
      </c>
      <c r="O125" s="7">
        <v>1106817.0</v>
      </c>
      <c r="P125" s="7" t="s">
        <v>409</v>
      </c>
      <c r="Q125" s="7">
        <v>408.3</v>
      </c>
      <c r="R125" s="3">
        <f t="shared" si="1"/>
        <v>408.3</v>
      </c>
    </row>
    <row r="126" ht="22.5" customHeight="1">
      <c r="B126" s="7" t="s">
        <v>114</v>
      </c>
      <c r="C126" s="7">
        <v>259258.0</v>
      </c>
      <c r="D126" s="7">
        <v>1374203.0</v>
      </c>
      <c r="E126" s="7">
        <v>540407.0</v>
      </c>
      <c r="F126" s="7">
        <v>441915.0</v>
      </c>
      <c r="G126" s="7">
        <v>3890663.0</v>
      </c>
      <c r="H126" s="7">
        <v>2.114277316E9</v>
      </c>
      <c r="I126" s="7">
        <v>17358.0</v>
      </c>
      <c r="J126" s="7">
        <v>15600.0</v>
      </c>
      <c r="K126" s="7">
        <v>1758.0</v>
      </c>
      <c r="L126" s="7">
        <v>187.18</v>
      </c>
      <c r="M126" s="7">
        <v>-0.1</v>
      </c>
      <c r="N126" s="7">
        <v>2319.0</v>
      </c>
      <c r="O126" s="7">
        <v>616820.0</v>
      </c>
      <c r="P126" s="7" t="s">
        <v>409</v>
      </c>
      <c r="Q126" s="7">
        <v>412.7</v>
      </c>
      <c r="R126" s="3">
        <f t="shared" si="1"/>
        <v>412.7</v>
      </c>
    </row>
    <row r="127" ht="22.5" customHeight="1">
      <c r="B127" s="7" t="s">
        <v>148</v>
      </c>
      <c r="C127" s="7">
        <v>824210.0</v>
      </c>
      <c r="D127" s="7">
        <v>2459565.0</v>
      </c>
      <c r="E127" s="7">
        <v>1219444.0</v>
      </c>
      <c r="F127" s="7">
        <v>1182124.0</v>
      </c>
      <c r="G127" s="7">
        <v>1.1530728E7</v>
      </c>
      <c r="H127" s="7">
        <v>7.432328E8</v>
      </c>
      <c r="I127" s="7">
        <v>51556.0</v>
      </c>
      <c r="J127" s="7">
        <v>46919.0</v>
      </c>
      <c r="K127" s="7">
        <v>4637.0</v>
      </c>
      <c r="L127" s="7">
        <v>36.24</v>
      </c>
      <c r="M127" s="7">
        <v>-0.14</v>
      </c>
      <c r="N127" s="7">
        <v>6666.0</v>
      </c>
      <c r="O127" s="7">
        <v>2515188.0</v>
      </c>
      <c r="P127" s="7" t="s">
        <v>410</v>
      </c>
      <c r="Q127" s="7">
        <v>424.82</v>
      </c>
      <c r="R127" s="3">
        <f t="shared" si="1"/>
        <v>424.82</v>
      </c>
    </row>
    <row r="128" ht="22.5" customHeight="1">
      <c r="B128" s="7" t="s">
        <v>89</v>
      </c>
      <c r="C128" s="7">
        <v>3191.0</v>
      </c>
      <c r="D128" s="7">
        <v>73950.0</v>
      </c>
      <c r="E128" s="7">
        <v>2992559.0</v>
      </c>
      <c r="F128" s="7">
        <v>2894810.0</v>
      </c>
      <c r="G128" s="7">
        <v>5724283.0</v>
      </c>
      <c r="H128" s="7">
        <v>4.32518119E8</v>
      </c>
      <c r="I128" s="7">
        <v>85612.0</v>
      </c>
      <c r="J128" s="7">
        <v>65878.0</v>
      </c>
      <c r="K128" s="7">
        <v>19734.0</v>
      </c>
      <c r="L128" s="7">
        <v>130.96</v>
      </c>
      <c r="M128" s="7">
        <v>-0.05</v>
      </c>
      <c r="N128" s="7">
        <v>24223.0</v>
      </c>
      <c r="O128" s="7">
        <v>1733801.0</v>
      </c>
      <c r="P128" s="7" t="s">
        <v>409</v>
      </c>
      <c r="Q128" s="7">
        <v>429.11</v>
      </c>
      <c r="R128" s="3">
        <f t="shared" si="1"/>
        <v>429.11</v>
      </c>
    </row>
    <row r="129" ht="22.5" customHeight="1">
      <c r="B129" s="7" t="s">
        <v>136</v>
      </c>
      <c r="C129" s="7">
        <v>2616.0</v>
      </c>
      <c r="D129" s="7">
        <v>7788.0</v>
      </c>
      <c r="E129" s="7">
        <v>3080682.0</v>
      </c>
      <c r="F129" s="7">
        <v>3056810.0</v>
      </c>
      <c r="G129" s="7">
        <v>3955414.0</v>
      </c>
      <c r="H129" s="7">
        <v>3.36479773E8</v>
      </c>
      <c r="I129" s="7">
        <v>148299.0</v>
      </c>
      <c r="J129" s="7">
        <v>120401.0</v>
      </c>
      <c r="K129" s="7">
        <v>27898.0</v>
      </c>
      <c r="L129" s="7">
        <v>27.54</v>
      </c>
      <c r="M129" s="7">
        <v>-0.03</v>
      </c>
      <c r="N129" s="7">
        <v>32400.0</v>
      </c>
      <c r="O129" s="7">
        <v>1072672.0</v>
      </c>
      <c r="P129" s="7" t="s">
        <v>410</v>
      </c>
      <c r="Q129" s="7">
        <v>430.69</v>
      </c>
      <c r="R129" s="3">
        <f t="shared" si="1"/>
        <v>430.69</v>
      </c>
    </row>
    <row r="130" ht="22.5" customHeight="1">
      <c r="B130" s="7" t="s">
        <v>128</v>
      </c>
      <c r="C130" s="7">
        <v>259616.0</v>
      </c>
      <c r="D130" s="7">
        <v>1360766.0</v>
      </c>
      <c r="E130" s="7">
        <v>946859.0</v>
      </c>
      <c r="F130" s="7">
        <v>853309.0</v>
      </c>
      <c r="G130" s="7">
        <v>6390211.0</v>
      </c>
      <c r="H130" s="7">
        <v>1.745502881E9</v>
      </c>
      <c r="I130" s="7">
        <v>28780.0</v>
      </c>
      <c r="J130" s="7">
        <v>23928.0</v>
      </c>
      <c r="K130" s="7">
        <v>4852.0</v>
      </c>
      <c r="L130" s="7">
        <v>204.96</v>
      </c>
      <c r="M130" s="7">
        <v>-0.1</v>
      </c>
      <c r="N130" s="7">
        <v>6609.0</v>
      </c>
      <c r="O130" s="7">
        <v>549668.0</v>
      </c>
      <c r="P130" s="7" t="s">
        <v>410</v>
      </c>
      <c r="Q130" s="7">
        <v>437.24</v>
      </c>
      <c r="R130" s="3">
        <f t="shared" si="1"/>
        <v>437.24</v>
      </c>
    </row>
    <row r="131" ht="22.5" customHeight="1">
      <c r="B131" s="7" t="s">
        <v>165</v>
      </c>
      <c r="C131" s="7">
        <v>5244.0</v>
      </c>
      <c r="D131" s="7">
        <v>118126.0</v>
      </c>
      <c r="E131" s="7">
        <v>1383998.0</v>
      </c>
      <c r="F131" s="7">
        <v>1350861.0</v>
      </c>
      <c r="G131" s="7">
        <v>6282173.0</v>
      </c>
      <c r="H131" s="7">
        <v>5.82633109E8</v>
      </c>
      <c r="I131" s="7">
        <v>88558.0</v>
      </c>
      <c r="J131" s="7">
        <v>80809.0</v>
      </c>
      <c r="K131" s="7">
        <v>7749.0</v>
      </c>
      <c r="L131" s="7">
        <v>76.94</v>
      </c>
      <c r="M131" s="7">
        <v>-0.13</v>
      </c>
      <c r="N131" s="7">
        <v>9674.0</v>
      </c>
      <c r="O131" s="7">
        <v>685236.0</v>
      </c>
      <c r="P131" s="7" t="s">
        <v>409</v>
      </c>
      <c r="Q131" s="7">
        <v>437.52</v>
      </c>
      <c r="R131" s="3">
        <f t="shared" si="1"/>
        <v>437.52</v>
      </c>
    </row>
    <row r="132" ht="22.5" customHeight="1">
      <c r="B132" s="7" t="s">
        <v>107</v>
      </c>
      <c r="C132" s="7">
        <v>827.0</v>
      </c>
      <c r="D132" s="7">
        <v>20730.0</v>
      </c>
      <c r="E132" s="7">
        <v>1630981.0</v>
      </c>
      <c r="F132" s="7">
        <v>1615460.0</v>
      </c>
      <c r="G132" s="7">
        <v>3063811.0</v>
      </c>
      <c r="H132" s="7">
        <v>1.6563051E8</v>
      </c>
      <c r="I132" s="7">
        <v>112457.0</v>
      </c>
      <c r="J132" s="7">
        <v>102515.0</v>
      </c>
      <c r="K132" s="7">
        <v>9942.0</v>
      </c>
      <c r="L132" s="7">
        <v>23.59</v>
      </c>
      <c r="M132" s="7">
        <v>-0.08</v>
      </c>
      <c r="N132" s="7">
        <v>11781.0</v>
      </c>
      <c r="O132" s="7">
        <v>699750.0</v>
      </c>
      <c r="P132" s="7" t="s">
        <v>409</v>
      </c>
      <c r="Q132" s="7">
        <v>453.25</v>
      </c>
      <c r="R132" s="3">
        <f t="shared" si="1"/>
        <v>453.25</v>
      </c>
    </row>
    <row r="133" ht="22.5" customHeight="1">
      <c r="B133" s="7" t="s">
        <v>125</v>
      </c>
      <c r="C133" s="7">
        <v>164915.0</v>
      </c>
      <c r="D133" s="7">
        <v>759314.0</v>
      </c>
      <c r="E133" s="7">
        <v>312127.0</v>
      </c>
      <c r="F133" s="7">
        <v>299616.0</v>
      </c>
      <c r="G133" s="7">
        <v>792517.0</v>
      </c>
      <c r="H133" s="7">
        <v>1.305535816E9</v>
      </c>
      <c r="I133" s="7">
        <v>9448.0</v>
      </c>
      <c r="J133" s="7">
        <v>8130.0</v>
      </c>
      <c r="K133" s="7">
        <v>1318.0</v>
      </c>
      <c r="L133" s="7">
        <v>128.67</v>
      </c>
      <c r="M133" s="7">
        <v>-0.08</v>
      </c>
      <c r="N133" s="7">
        <v>1824.0</v>
      </c>
      <c r="O133" s="7">
        <v>201295.0</v>
      </c>
      <c r="P133" s="7" t="s">
        <v>409</v>
      </c>
      <c r="Q133" s="7">
        <v>461.94</v>
      </c>
      <c r="R133" s="3">
        <f t="shared" si="1"/>
        <v>461.94</v>
      </c>
    </row>
    <row r="134" ht="22.5" customHeight="1">
      <c r="B134" s="7" t="s">
        <v>22</v>
      </c>
      <c r="C134" s="7">
        <v>3566.0</v>
      </c>
      <c r="D134" s="7">
        <v>14138.0</v>
      </c>
      <c r="E134" s="7">
        <v>2714606.0</v>
      </c>
      <c r="F134" s="7">
        <v>2676410.0</v>
      </c>
      <c r="G134" s="7">
        <v>5237831.0</v>
      </c>
      <c r="H134" s="7">
        <v>2.78316745E8</v>
      </c>
      <c r="I134" s="7">
        <v>138798.0</v>
      </c>
      <c r="J134" s="7">
        <v>121119.0</v>
      </c>
      <c r="K134" s="7">
        <v>17679.0</v>
      </c>
      <c r="L134" s="7">
        <v>34.56</v>
      </c>
      <c r="M134" s="7">
        <v>-0.07</v>
      </c>
      <c r="N134" s="7">
        <v>21398.0</v>
      </c>
      <c r="O134" s="7">
        <v>1087645.0</v>
      </c>
      <c r="P134" s="7" t="s">
        <v>409</v>
      </c>
      <c r="Q134" s="7">
        <v>469.84</v>
      </c>
      <c r="R134" s="3">
        <f t="shared" si="1"/>
        <v>469.84</v>
      </c>
    </row>
    <row r="135" ht="22.5" customHeight="1">
      <c r="B135" s="7" t="s">
        <v>154</v>
      </c>
      <c r="C135" s="7">
        <v>99736.0</v>
      </c>
      <c r="D135" s="7">
        <v>783852.0</v>
      </c>
      <c r="E135" s="7">
        <v>525667.0</v>
      </c>
      <c r="F135" s="7">
        <v>497943.0</v>
      </c>
      <c r="G135" s="7">
        <v>1615572.0</v>
      </c>
      <c r="H135" s="7">
        <v>1.868481809E9</v>
      </c>
      <c r="I135" s="7">
        <v>19289.0</v>
      </c>
      <c r="J135" s="7">
        <v>17762.0</v>
      </c>
      <c r="K135" s="7">
        <v>1527.0</v>
      </c>
      <c r="L135" s="7">
        <v>87.08</v>
      </c>
      <c r="M135" s="7">
        <v>-0.08</v>
      </c>
      <c r="N135" s="7">
        <v>2070.0</v>
      </c>
      <c r="O135" s="7">
        <v>402597.0</v>
      </c>
      <c r="P135" s="7" t="s">
        <v>410</v>
      </c>
      <c r="Q135" s="7">
        <v>480.01</v>
      </c>
      <c r="R135" s="3">
        <f t="shared" si="1"/>
        <v>480.01</v>
      </c>
    </row>
    <row r="136" ht="22.5" customHeight="1">
      <c r="B136" s="7" t="s">
        <v>144</v>
      </c>
      <c r="C136" s="7">
        <v>2504.0</v>
      </c>
      <c r="D136" s="7">
        <v>10705.0</v>
      </c>
      <c r="E136" s="7">
        <v>2510508.0</v>
      </c>
      <c r="F136" s="7">
        <v>2478137.0</v>
      </c>
      <c r="G136" s="7">
        <v>4714521.0</v>
      </c>
      <c r="H136" s="7">
        <v>2.54615835E8</v>
      </c>
      <c r="I136" s="7">
        <v>137060.0</v>
      </c>
      <c r="J136" s="7">
        <v>120951.0</v>
      </c>
      <c r="K136" s="7">
        <v>16109.0</v>
      </c>
      <c r="L136" s="7">
        <v>33.7</v>
      </c>
      <c r="M136" s="7">
        <v>-0.07</v>
      </c>
      <c r="N136" s="7">
        <v>19220.0</v>
      </c>
      <c r="O136" s="7">
        <v>1086827.0</v>
      </c>
      <c r="P136" s="7" t="s">
        <v>409</v>
      </c>
      <c r="Q136" s="7">
        <v>483.67</v>
      </c>
      <c r="R136" s="3">
        <f t="shared" si="1"/>
        <v>483.67</v>
      </c>
    </row>
    <row r="137" ht="22.5" customHeight="1">
      <c r="B137" s="7" t="s">
        <v>127</v>
      </c>
      <c r="C137" s="7">
        <v>2425.0</v>
      </c>
      <c r="D137" s="7">
        <v>23034.0</v>
      </c>
      <c r="E137" s="7">
        <v>5338878.0</v>
      </c>
      <c r="F137" s="7">
        <v>5327193.0</v>
      </c>
      <c r="G137" s="7">
        <v>5862179.0</v>
      </c>
      <c r="H137" s="7">
        <v>5.0418608E8</v>
      </c>
      <c r="I137" s="7">
        <v>218564.0</v>
      </c>
      <c r="J137" s="7">
        <v>168210.0</v>
      </c>
      <c r="K137" s="7">
        <v>50354.0</v>
      </c>
      <c r="L137" s="7">
        <v>16.74</v>
      </c>
      <c r="M137" s="7">
        <v>-0.01</v>
      </c>
      <c r="N137" s="7">
        <v>57276.0</v>
      </c>
      <c r="O137" s="7">
        <v>2172111.0</v>
      </c>
      <c r="P137" s="7" t="s">
        <v>410</v>
      </c>
      <c r="Q137" s="7">
        <v>485.35</v>
      </c>
      <c r="R137" s="3">
        <f t="shared" si="1"/>
        <v>485.35</v>
      </c>
    </row>
    <row r="138" ht="22.5" customHeight="1">
      <c r="B138" s="7" t="s">
        <v>123</v>
      </c>
      <c r="C138" s="7">
        <v>895.0</v>
      </c>
      <c r="D138" s="7">
        <v>20818.0</v>
      </c>
      <c r="E138" s="7">
        <v>1797186.0</v>
      </c>
      <c r="F138" s="7">
        <v>1780540.0</v>
      </c>
      <c r="G138" s="7">
        <v>3281742.0</v>
      </c>
      <c r="H138" s="7">
        <v>1.93558129E8</v>
      </c>
      <c r="I138" s="7">
        <v>119537.0</v>
      </c>
      <c r="J138" s="7">
        <v>109649.0</v>
      </c>
      <c r="K138" s="7">
        <v>9888.0</v>
      </c>
      <c r="L138" s="7">
        <v>24.34</v>
      </c>
      <c r="M138" s="7">
        <v>-0.08</v>
      </c>
      <c r="N138" s="7">
        <v>11729.0</v>
      </c>
      <c r="O138" s="7">
        <v>853292.0</v>
      </c>
      <c r="P138" s="7" t="s">
        <v>409</v>
      </c>
      <c r="Q138" s="7">
        <v>488.21</v>
      </c>
      <c r="R138" s="3">
        <f t="shared" si="1"/>
        <v>488.21</v>
      </c>
    </row>
    <row r="139" ht="22.5" customHeight="1">
      <c r="B139" s="7" t="s">
        <v>255</v>
      </c>
      <c r="C139" s="7">
        <v>13408.0</v>
      </c>
      <c r="D139" s="7">
        <v>309430.0</v>
      </c>
      <c r="E139" s="7">
        <v>3436184.0</v>
      </c>
      <c r="F139" s="7">
        <v>3361256.0</v>
      </c>
      <c r="G139" s="7">
        <v>5.09037E7</v>
      </c>
      <c r="H139" s="7">
        <v>5.51076178E8</v>
      </c>
      <c r="I139" s="7">
        <v>132493.0</v>
      </c>
      <c r="J139" s="7">
        <v>123238.0</v>
      </c>
      <c r="K139" s="7">
        <v>9255.0</v>
      </c>
      <c r="L139" s="7">
        <v>65.9</v>
      </c>
      <c r="M139" s="7">
        <v>-0.16</v>
      </c>
      <c r="N139" s="7">
        <v>15701.0</v>
      </c>
      <c r="O139" s="7">
        <v>7442779.0</v>
      </c>
      <c r="P139" s="7" t="s">
        <v>409</v>
      </c>
      <c r="Q139" s="7">
        <v>514.83</v>
      </c>
      <c r="R139" s="3">
        <f t="shared" si="1"/>
        <v>514.83</v>
      </c>
    </row>
    <row r="140" ht="22.5" customHeight="1">
      <c r="B140" s="7" t="s">
        <v>97</v>
      </c>
      <c r="C140" s="7">
        <v>506.0</v>
      </c>
      <c r="D140" s="7">
        <v>1406.0</v>
      </c>
      <c r="E140" s="7">
        <v>4444227.0</v>
      </c>
      <c r="F140" s="7">
        <v>4421328.0</v>
      </c>
      <c r="G140" s="7">
        <v>5886723.0</v>
      </c>
      <c r="H140" s="7">
        <v>1.07738869E8</v>
      </c>
      <c r="I140" s="7">
        <v>157087.0</v>
      </c>
      <c r="J140" s="7">
        <v>119169.0</v>
      </c>
      <c r="K140" s="7">
        <v>37918.0</v>
      </c>
      <c r="L140" s="7">
        <v>19.11</v>
      </c>
      <c r="M140" s="7">
        <v>-0.04</v>
      </c>
      <c r="N140" s="7">
        <v>45343.0</v>
      </c>
      <c r="O140" s="7">
        <v>1470523.0</v>
      </c>
      <c r="P140" s="7" t="s">
        <v>410</v>
      </c>
      <c r="Q140" s="7">
        <v>516.0</v>
      </c>
      <c r="R140" s="3">
        <f t="shared" si="1"/>
        <v>516</v>
      </c>
    </row>
    <row r="141" ht="22.5" customHeight="1">
      <c r="B141" s="7" t="s">
        <v>111</v>
      </c>
      <c r="C141" s="7">
        <v>72078.0</v>
      </c>
      <c r="D141" s="7">
        <v>517728.0</v>
      </c>
      <c r="E141" s="7">
        <v>2080165.0</v>
      </c>
      <c r="F141" s="7">
        <v>2042550.0</v>
      </c>
      <c r="G141" s="7">
        <v>1.4346697E7</v>
      </c>
      <c r="H141" s="7">
        <v>7.25324856E8</v>
      </c>
      <c r="I141" s="7">
        <v>131258.0</v>
      </c>
      <c r="J141" s="7">
        <v>120962.0</v>
      </c>
      <c r="K141" s="7">
        <v>10296.0</v>
      </c>
      <c r="L141" s="7">
        <v>26.63</v>
      </c>
      <c r="M141" s="7">
        <v>-0.15</v>
      </c>
      <c r="N141" s="7">
        <v>12231.0</v>
      </c>
      <c r="O141" s="7">
        <v>2480172.0</v>
      </c>
      <c r="P141" s="7" t="s">
        <v>409</v>
      </c>
      <c r="Q141" s="7">
        <v>521.51</v>
      </c>
      <c r="R141" s="3">
        <f t="shared" si="1"/>
        <v>521.51</v>
      </c>
    </row>
    <row r="142" ht="22.5" customHeight="1">
      <c r="B142" s="7" t="s">
        <v>163</v>
      </c>
      <c r="C142" s="7">
        <v>72078.0</v>
      </c>
      <c r="D142" s="7">
        <v>517728.0</v>
      </c>
      <c r="E142" s="7">
        <v>2109883.0</v>
      </c>
      <c r="F142" s="7">
        <v>2071321.0</v>
      </c>
      <c r="G142" s="7">
        <v>1.4238847E7</v>
      </c>
      <c r="H142" s="7">
        <v>7.68718265E8</v>
      </c>
      <c r="I142" s="7">
        <v>128685.0</v>
      </c>
      <c r="J142" s="7">
        <v>118362.0</v>
      </c>
      <c r="K142" s="7">
        <v>10323.0</v>
      </c>
      <c r="L142" s="7">
        <v>26.18</v>
      </c>
      <c r="M142" s="7">
        <v>-0.15</v>
      </c>
      <c r="N142" s="7">
        <v>12355.0</v>
      </c>
      <c r="O142" s="7">
        <v>2539819.0</v>
      </c>
      <c r="P142" s="7" t="s">
        <v>410</v>
      </c>
      <c r="Q142" s="7">
        <v>540.13</v>
      </c>
      <c r="R142" s="3">
        <f t="shared" si="1"/>
        <v>540.13</v>
      </c>
    </row>
    <row r="143" ht="22.5" customHeight="1">
      <c r="B143" s="7" t="s">
        <v>161</v>
      </c>
      <c r="C143" s="7">
        <v>69644.0</v>
      </c>
      <c r="D143" s="7">
        <v>306029.0</v>
      </c>
      <c r="E143" s="7">
        <v>2039206.0</v>
      </c>
      <c r="F143" s="7">
        <v>1985225.0</v>
      </c>
      <c r="G143" s="7">
        <v>5182534.0</v>
      </c>
      <c r="H143" s="7">
        <v>1.004134562E9</v>
      </c>
      <c r="I143" s="7">
        <v>105741.0</v>
      </c>
      <c r="J143" s="7">
        <v>99942.0</v>
      </c>
      <c r="K143" s="7">
        <v>5799.0</v>
      </c>
      <c r="L143" s="7">
        <v>51.53</v>
      </c>
      <c r="M143" s="7">
        <v>-0.11</v>
      </c>
      <c r="N143" s="7">
        <v>7798.0</v>
      </c>
      <c r="O143" s="7">
        <v>1338204.0</v>
      </c>
      <c r="P143" s="7" t="s">
        <v>410</v>
      </c>
      <c r="Q143" s="7">
        <v>541.03</v>
      </c>
      <c r="R143" s="3">
        <f t="shared" si="1"/>
        <v>541.03</v>
      </c>
    </row>
    <row r="144" ht="22.5" customHeight="1">
      <c r="B144" s="7" t="s">
        <v>191</v>
      </c>
      <c r="C144" s="7">
        <v>137472.0</v>
      </c>
      <c r="D144" s="7">
        <v>810768.0</v>
      </c>
      <c r="E144" s="7">
        <v>2798648.0</v>
      </c>
      <c r="F144" s="7">
        <v>2781445.0</v>
      </c>
      <c r="G144" s="7">
        <v>4425755.0</v>
      </c>
      <c r="H144" s="7">
        <v>2.28516761E8</v>
      </c>
      <c r="I144" s="7">
        <v>79863.0</v>
      </c>
      <c r="J144" s="7">
        <v>65971.0</v>
      </c>
      <c r="K144" s="7">
        <v>13892.0</v>
      </c>
      <c r="L144" s="7">
        <v>22.04</v>
      </c>
      <c r="M144" s="7">
        <v>-0.06</v>
      </c>
      <c r="N144" s="7">
        <v>18041.0</v>
      </c>
      <c r="O144" s="7">
        <v>1472824.0</v>
      </c>
      <c r="P144" s="7" t="s">
        <v>409</v>
      </c>
      <c r="Q144" s="7">
        <v>542.37</v>
      </c>
      <c r="R144" s="3">
        <f t="shared" si="1"/>
        <v>542.37</v>
      </c>
    </row>
    <row r="145" ht="22.5" customHeight="1">
      <c r="B145" s="7" t="s">
        <v>239</v>
      </c>
      <c r="C145" s="7">
        <v>2715.0</v>
      </c>
      <c r="D145" s="7">
        <v>11371.0</v>
      </c>
      <c r="E145" s="7">
        <v>2416436.0</v>
      </c>
      <c r="F145" s="7">
        <v>2376494.0</v>
      </c>
      <c r="G145" s="7">
        <v>5407660.0</v>
      </c>
      <c r="H145" s="7">
        <v>2.81208928E8</v>
      </c>
      <c r="I145" s="7">
        <v>143590.0</v>
      </c>
      <c r="J145" s="7">
        <v>132461.0</v>
      </c>
      <c r="K145" s="7">
        <v>11129.0</v>
      </c>
      <c r="L145" s="7">
        <v>37.69</v>
      </c>
      <c r="M145" s="7">
        <v>-0.1</v>
      </c>
      <c r="N145" s="7">
        <v>14134.0</v>
      </c>
      <c r="O145" s="7">
        <v>1074230.0</v>
      </c>
      <c r="P145" s="7" t="s">
        <v>409</v>
      </c>
      <c r="Q145" s="7">
        <v>550.11</v>
      </c>
      <c r="R145" s="3">
        <f t="shared" si="1"/>
        <v>550.11</v>
      </c>
    </row>
    <row r="146" ht="22.5" customHeight="1">
      <c r="B146" s="7" t="s">
        <v>172</v>
      </c>
      <c r="C146" s="7">
        <v>42271.0</v>
      </c>
      <c r="D146" s="7">
        <v>247381.0</v>
      </c>
      <c r="E146" s="7">
        <v>3599597.0</v>
      </c>
      <c r="F146" s="7">
        <v>3523313.0</v>
      </c>
      <c r="G146" s="7">
        <v>8126269.0</v>
      </c>
      <c r="H146" s="7">
        <v>3.70337278E8</v>
      </c>
      <c r="I146" s="7">
        <v>138064.0</v>
      </c>
      <c r="J146" s="7">
        <v>123187.0</v>
      </c>
      <c r="K146" s="7">
        <v>14877.0</v>
      </c>
      <c r="L146" s="7">
        <v>22.26</v>
      </c>
      <c r="M146" s="7">
        <v>-0.12</v>
      </c>
      <c r="N146" s="7">
        <v>21629.0</v>
      </c>
      <c r="O146" s="7">
        <v>1772189.0</v>
      </c>
      <c r="P146" s="7" t="s">
        <v>409</v>
      </c>
      <c r="Q146" s="7">
        <v>550.74</v>
      </c>
      <c r="R146" s="3">
        <f t="shared" si="1"/>
        <v>550.74</v>
      </c>
    </row>
    <row r="147" ht="22.5" customHeight="1">
      <c r="B147" s="7" t="s">
        <v>73</v>
      </c>
      <c r="C147" s="7">
        <v>2514.0</v>
      </c>
      <c r="D147" s="7">
        <v>10733.0</v>
      </c>
      <c r="E147" s="7">
        <v>2803672.0</v>
      </c>
      <c r="F147" s="7">
        <v>2769809.0</v>
      </c>
      <c r="G147" s="7">
        <v>5092025.0</v>
      </c>
      <c r="H147" s="7">
        <v>2.81790935E8</v>
      </c>
      <c r="I147" s="7">
        <v>143271.0</v>
      </c>
      <c r="J147" s="7">
        <v>122938.0</v>
      </c>
      <c r="K147" s="7">
        <v>20333.0</v>
      </c>
      <c r="L147" s="7">
        <v>34.62</v>
      </c>
      <c r="M147" s="7">
        <v>-0.07</v>
      </c>
      <c r="N147" s="7">
        <v>24236.0</v>
      </c>
      <c r="O147" s="7">
        <v>1085595.0</v>
      </c>
      <c r="P147" s="7" t="s">
        <v>409</v>
      </c>
      <c r="Q147" s="7">
        <v>571.22</v>
      </c>
      <c r="R147" s="3">
        <f t="shared" si="1"/>
        <v>571.22</v>
      </c>
    </row>
    <row r="148" ht="22.5" customHeight="1">
      <c r="B148" s="7" t="s">
        <v>72</v>
      </c>
      <c r="C148" s="7">
        <v>4660.0</v>
      </c>
      <c r="D148" s="7">
        <v>243504.0</v>
      </c>
      <c r="E148" s="7">
        <v>2227252.0</v>
      </c>
      <c r="F148" s="7">
        <v>2151527.0</v>
      </c>
      <c r="G148" s="7">
        <v>5392159.0</v>
      </c>
      <c r="H148" s="7">
        <v>3.91668933E8</v>
      </c>
      <c r="I148" s="7">
        <v>80897.0</v>
      </c>
      <c r="J148" s="7">
        <v>73343.0</v>
      </c>
      <c r="K148" s="7">
        <v>7554.0</v>
      </c>
      <c r="L148" s="7">
        <v>118.45</v>
      </c>
      <c r="M148" s="7">
        <v>-0.08</v>
      </c>
      <c r="N148" s="7">
        <v>10066.0</v>
      </c>
      <c r="O148" s="7">
        <v>1576727.0</v>
      </c>
      <c r="P148" s="7" t="s">
        <v>409</v>
      </c>
      <c r="Q148" s="7">
        <v>571.34</v>
      </c>
      <c r="R148" s="3">
        <f t="shared" si="1"/>
        <v>571.34</v>
      </c>
    </row>
    <row r="149" ht="22.5" customHeight="1">
      <c r="B149" s="7" t="s">
        <v>131</v>
      </c>
      <c r="C149" s="7">
        <v>1140.0</v>
      </c>
      <c r="D149" s="7">
        <v>4253.0</v>
      </c>
      <c r="E149" s="7">
        <v>4936936.0</v>
      </c>
      <c r="F149" s="7">
        <v>4883882.0</v>
      </c>
      <c r="G149" s="7">
        <v>7334518.0</v>
      </c>
      <c r="H149" s="7">
        <v>2.07287645E8</v>
      </c>
      <c r="I149" s="7">
        <v>202063.0</v>
      </c>
      <c r="J149" s="7">
        <v>166359.0</v>
      </c>
      <c r="K149" s="7">
        <v>35704.0</v>
      </c>
      <c r="L149" s="7">
        <v>19.78</v>
      </c>
      <c r="M149" s="7">
        <v>-0.06</v>
      </c>
      <c r="N149" s="7">
        <v>43218.0</v>
      </c>
      <c r="O149" s="7">
        <v>1814372.0</v>
      </c>
      <c r="P149" s="7" t="s">
        <v>410</v>
      </c>
      <c r="Q149" s="7">
        <v>585.41</v>
      </c>
      <c r="R149" s="3">
        <f t="shared" si="1"/>
        <v>585.41</v>
      </c>
    </row>
    <row r="150" ht="22.5" customHeight="1">
      <c r="B150" s="7" t="s">
        <v>124</v>
      </c>
      <c r="C150" s="7">
        <v>895.0</v>
      </c>
      <c r="D150" s="7">
        <v>20756.0</v>
      </c>
      <c r="E150" s="7">
        <v>2130876.0</v>
      </c>
      <c r="F150" s="7">
        <v>2113515.0</v>
      </c>
      <c r="G150" s="7">
        <v>3676446.0</v>
      </c>
      <c r="H150" s="7">
        <v>2.26303628E8</v>
      </c>
      <c r="I150" s="7">
        <v>145078.0</v>
      </c>
      <c r="J150" s="7">
        <v>134887.0</v>
      </c>
      <c r="K150" s="7">
        <v>10191.0</v>
      </c>
      <c r="L150" s="7">
        <v>25.67</v>
      </c>
      <c r="M150" s="7">
        <v>-0.07</v>
      </c>
      <c r="N150" s="7">
        <v>12297.0</v>
      </c>
      <c r="O150" s="7">
        <v>1040400.0</v>
      </c>
      <c r="P150" s="7" t="s">
        <v>409</v>
      </c>
      <c r="Q150" s="7">
        <v>589.78</v>
      </c>
      <c r="R150" s="3">
        <f t="shared" si="1"/>
        <v>589.78</v>
      </c>
    </row>
    <row r="151" ht="22.5" customHeight="1">
      <c r="B151" s="7" t="s">
        <v>135</v>
      </c>
      <c r="C151" s="7">
        <v>225296.0</v>
      </c>
      <c r="D151" s="7">
        <v>1180795.0</v>
      </c>
      <c r="E151" s="7">
        <v>1692823.0</v>
      </c>
      <c r="F151" s="7">
        <v>1555692.0</v>
      </c>
      <c r="G151" s="7">
        <v>9431199.0</v>
      </c>
      <c r="H151" s="7">
        <v>2.156760991E9</v>
      </c>
      <c r="I151" s="7">
        <v>68064.0</v>
      </c>
      <c r="J151" s="7">
        <v>63348.0</v>
      </c>
      <c r="K151" s="7">
        <v>4716.0</v>
      </c>
      <c r="L151" s="7">
        <v>136.57</v>
      </c>
      <c r="M151" s="7">
        <v>-0.11</v>
      </c>
      <c r="N151" s="7">
        <v>6738.0</v>
      </c>
      <c r="O151" s="7">
        <v>1343482.0</v>
      </c>
      <c r="P151" s="7" t="s">
        <v>410</v>
      </c>
      <c r="Q151" s="7">
        <v>591.55</v>
      </c>
      <c r="R151" s="3">
        <f t="shared" si="1"/>
        <v>591.55</v>
      </c>
    </row>
    <row r="152" ht="22.5" customHeight="1">
      <c r="B152" s="7" t="s">
        <v>20</v>
      </c>
      <c r="C152" s="7">
        <v>13408.0</v>
      </c>
      <c r="D152" s="7">
        <v>309437.0</v>
      </c>
      <c r="E152" s="7">
        <v>3516200.0</v>
      </c>
      <c r="F152" s="7">
        <v>3429138.0</v>
      </c>
      <c r="G152" s="7">
        <v>6.052741E7</v>
      </c>
      <c r="H152" s="7">
        <v>5.8692104E8</v>
      </c>
      <c r="I152" s="7">
        <v>135180.0</v>
      </c>
      <c r="J152" s="7">
        <v>126381.0</v>
      </c>
      <c r="K152" s="7">
        <v>8799.0</v>
      </c>
      <c r="L152" s="7">
        <v>57.84</v>
      </c>
      <c r="M152" s="7">
        <v>-0.19</v>
      </c>
      <c r="N152" s="7">
        <v>15533.0</v>
      </c>
      <c r="O152" s="7">
        <v>1.0011406E7</v>
      </c>
      <c r="P152" s="7" t="s">
        <v>409</v>
      </c>
      <c r="Q152" s="7">
        <v>610.74</v>
      </c>
      <c r="R152" s="3">
        <f t="shared" si="1"/>
        <v>610.74</v>
      </c>
    </row>
    <row r="153" ht="22.5" customHeight="1">
      <c r="B153" s="7" t="s">
        <v>167</v>
      </c>
      <c r="C153" s="7">
        <v>6658.0</v>
      </c>
      <c r="D153" s="7">
        <v>31909.0</v>
      </c>
      <c r="E153" s="7">
        <v>2030581.0</v>
      </c>
      <c r="F153" s="7">
        <v>2030017.0</v>
      </c>
      <c r="G153" s="7">
        <v>2042039.0</v>
      </c>
      <c r="H153" s="7">
        <v>1.870449057E9</v>
      </c>
      <c r="I153" s="7">
        <v>93459.0</v>
      </c>
      <c r="J153" s="7">
        <v>80047.0</v>
      </c>
      <c r="K153" s="7">
        <v>13412.0</v>
      </c>
      <c r="L153" s="7">
        <v>17.76</v>
      </c>
      <c r="M153" s="7">
        <v>0.0</v>
      </c>
      <c r="N153" s="7">
        <v>15131.0</v>
      </c>
      <c r="O153" s="7">
        <v>1128169.0</v>
      </c>
      <c r="P153" s="7" t="s">
        <v>410</v>
      </c>
      <c r="Q153" s="7">
        <v>612.36</v>
      </c>
      <c r="R153" s="3">
        <f t="shared" si="1"/>
        <v>612.36</v>
      </c>
    </row>
    <row r="154" ht="22.5" customHeight="1">
      <c r="B154" s="7" t="s">
        <v>166</v>
      </c>
      <c r="C154" s="7">
        <v>58614.0</v>
      </c>
      <c r="D154" s="7">
        <v>175092.0</v>
      </c>
      <c r="E154" s="7">
        <v>2634963.0</v>
      </c>
      <c r="F154" s="7">
        <v>2577489.0</v>
      </c>
      <c r="G154" s="7">
        <v>7512966.0</v>
      </c>
      <c r="H154" s="7">
        <v>1.536618996E9</v>
      </c>
      <c r="I154" s="7">
        <v>134365.0</v>
      </c>
      <c r="J154" s="7">
        <v>121805.0</v>
      </c>
      <c r="K154" s="7">
        <v>12560.0</v>
      </c>
      <c r="L154" s="7">
        <v>32.72</v>
      </c>
      <c r="M154" s="7">
        <v>-0.11</v>
      </c>
      <c r="N154" s="7">
        <v>16216.0</v>
      </c>
      <c r="O154" s="7">
        <v>1468894.0</v>
      </c>
      <c r="P154" s="7" t="s">
        <v>410</v>
      </c>
      <c r="Q154" s="7">
        <v>635.08</v>
      </c>
      <c r="R154" s="3">
        <f t="shared" si="1"/>
        <v>635.08</v>
      </c>
    </row>
    <row r="155" ht="22.5" customHeight="1">
      <c r="B155" s="7" t="s">
        <v>101</v>
      </c>
      <c r="C155" s="7">
        <v>2935.0</v>
      </c>
      <c r="D155" s="7">
        <v>18371.0</v>
      </c>
      <c r="E155" s="7">
        <v>2196367.0</v>
      </c>
      <c r="F155" s="7">
        <v>2177601.0</v>
      </c>
      <c r="G155" s="7">
        <v>3208623.0</v>
      </c>
      <c r="H155" s="7">
        <v>1.5313611E8</v>
      </c>
      <c r="I155" s="7">
        <v>94496.0</v>
      </c>
      <c r="J155" s="7">
        <v>83543.0</v>
      </c>
      <c r="K155" s="7">
        <v>10953.0</v>
      </c>
      <c r="L155" s="7">
        <v>37.07</v>
      </c>
      <c r="M155" s="7">
        <v>-0.05</v>
      </c>
      <c r="N155" s="7">
        <v>13235.0</v>
      </c>
      <c r="O155" s="7">
        <v>1182979.0</v>
      </c>
      <c r="P155" s="7" t="s">
        <v>410</v>
      </c>
      <c r="Q155" s="7">
        <v>660.5</v>
      </c>
      <c r="R155" s="3">
        <f t="shared" si="1"/>
        <v>660.5</v>
      </c>
    </row>
    <row r="156" ht="22.5" customHeight="1">
      <c r="B156" s="7" t="s">
        <v>78</v>
      </c>
      <c r="C156" s="7">
        <v>2477.0</v>
      </c>
      <c r="D156" s="7">
        <v>10608.0</v>
      </c>
      <c r="E156" s="7">
        <v>3077446.0</v>
      </c>
      <c r="F156" s="7">
        <v>3043298.0</v>
      </c>
      <c r="G156" s="7">
        <v>5309916.0</v>
      </c>
      <c r="H156" s="7">
        <v>3.09858148E8</v>
      </c>
      <c r="I156" s="7">
        <v>146726.0</v>
      </c>
      <c r="J156" s="7">
        <v>122275.0</v>
      </c>
      <c r="K156" s="7">
        <v>24451.0</v>
      </c>
      <c r="L156" s="7">
        <v>34.23</v>
      </c>
      <c r="M156" s="7">
        <v>-0.06</v>
      </c>
      <c r="N156" s="7">
        <v>29086.0</v>
      </c>
      <c r="O156" s="7">
        <v>1078563.0</v>
      </c>
      <c r="P156" s="7" t="s">
        <v>409</v>
      </c>
      <c r="Q156" s="7">
        <v>675.4</v>
      </c>
      <c r="R156" s="3">
        <f t="shared" si="1"/>
        <v>675.4</v>
      </c>
    </row>
    <row r="157" ht="22.5" customHeight="1">
      <c r="B157" s="7" t="s">
        <v>170</v>
      </c>
      <c r="C157" s="7">
        <v>2425.0</v>
      </c>
      <c r="D157" s="7">
        <v>23032.0</v>
      </c>
      <c r="E157" s="7">
        <v>6363697.0</v>
      </c>
      <c r="F157" s="7">
        <v>6353853.0</v>
      </c>
      <c r="G157" s="7">
        <v>7171832.0</v>
      </c>
      <c r="H157" s="7">
        <v>5.88483869E8</v>
      </c>
      <c r="I157" s="7">
        <v>303765.0</v>
      </c>
      <c r="J157" s="7">
        <v>250808.0</v>
      </c>
      <c r="K157" s="7">
        <v>52957.0</v>
      </c>
      <c r="L157" s="7">
        <v>20.74</v>
      </c>
      <c r="M157" s="7">
        <v>-0.02</v>
      </c>
      <c r="N157" s="7">
        <v>59784.0</v>
      </c>
      <c r="O157" s="7">
        <v>2972149.0</v>
      </c>
      <c r="P157" s="7" t="s">
        <v>409</v>
      </c>
      <c r="Q157" s="7">
        <v>679.95</v>
      </c>
      <c r="R157" s="3">
        <f t="shared" si="1"/>
        <v>679.95</v>
      </c>
    </row>
    <row r="158" ht="22.5" customHeight="1">
      <c r="B158" s="7" t="s">
        <v>196</v>
      </c>
      <c r="C158" s="7">
        <v>511.0</v>
      </c>
      <c r="D158" s="7">
        <v>1418.0</v>
      </c>
      <c r="E158" s="7">
        <v>7425844.0</v>
      </c>
      <c r="F158" s="7">
        <v>7375748.0</v>
      </c>
      <c r="G158" s="7">
        <v>1.0501938E7</v>
      </c>
      <c r="H158" s="7">
        <v>1.63737043E8</v>
      </c>
      <c r="I158" s="7">
        <v>383944.0</v>
      </c>
      <c r="J158" s="7">
        <v>349546.0</v>
      </c>
      <c r="K158" s="7">
        <v>34398.0</v>
      </c>
      <c r="L158" s="7">
        <v>18.67</v>
      </c>
      <c r="M158" s="7">
        <v>-0.06</v>
      </c>
      <c r="N158" s="7">
        <v>41964.0</v>
      </c>
      <c r="O158" s="7">
        <v>4019514.0</v>
      </c>
      <c r="P158" s="7" t="s">
        <v>410</v>
      </c>
      <c r="Q158" s="7">
        <v>691.99</v>
      </c>
      <c r="R158" s="3">
        <f t="shared" si="1"/>
        <v>691.99</v>
      </c>
    </row>
    <row r="159" ht="22.5" customHeight="1">
      <c r="B159" s="7" t="s">
        <v>140</v>
      </c>
      <c r="C159" s="7">
        <v>2484.0</v>
      </c>
      <c r="D159" s="7">
        <v>10627.0</v>
      </c>
      <c r="E159" s="7">
        <v>3300435.0</v>
      </c>
      <c r="F159" s="7">
        <v>3264992.0</v>
      </c>
      <c r="G159" s="7">
        <v>5531337.0</v>
      </c>
      <c r="H159" s="7">
        <v>3.42135985E8</v>
      </c>
      <c r="I159" s="7">
        <v>149494.0</v>
      </c>
      <c r="J159" s="7">
        <v>121452.0</v>
      </c>
      <c r="K159" s="7">
        <v>28042.0</v>
      </c>
      <c r="L159" s="7">
        <v>34.16</v>
      </c>
      <c r="M159" s="7">
        <v>-0.06</v>
      </c>
      <c r="N159" s="7">
        <v>33264.0</v>
      </c>
      <c r="O159" s="7">
        <v>1085913.0</v>
      </c>
      <c r="P159" s="7" t="s">
        <v>409</v>
      </c>
      <c r="Q159" s="7">
        <v>722.01</v>
      </c>
      <c r="R159" s="3">
        <f t="shared" si="1"/>
        <v>722.01</v>
      </c>
    </row>
    <row r="160" ht="22.5" customHeight="1">
      <c r="B160" s="7" t="s">
        <v>99</v>
      </c>
      <c r="C160" s="7">
        <v>140.0</v>
      </c>
      <c r="D160" s="7">
        <v>560.0</v>
      </c>
      <c r="E160" s="7">
        <v>2.0231558E7</v>
      </c>
      <c r="F160" s="7">
        <v>2.0224055E7</v>
      </c>
      <c r="G160" s="7">
        <v>2.7540753E7</v>
      </c>
      <c r="H160" s="7">
        <v>1.5306665E8</v>
      </c>
      <c r="I160" s="7">
        <v>723304.0</v>
      </c>
      <c r="J160" s="7">
        <v>519193.0</v>
      </c>
      <c r="K160" s="7">
        <v>204111.0</v>
      </c>
      <c r="L160" s="7">
        <v>16.97</v>
      </c>
      <c r="M160" s="7">
        <v>-0.03</v>
      </c>
      <c r="N160" s="7">
        <v>231969.0</v>
      </c>
      <c r="O160" s="7">
        <v>1.0417212E7</v>
      </c>
      <c r="P160" s="7" t="s">
        <v>410</v>
      </c>
      <c r="Q160" s="7">
        <v>741.91</v>
      </c>
      <c r="R160" s="3">
        <f t="shared" si="1"/>
        <v>741.91</v>
      </c>
    </row>
    <row r="161" ht="22.5" customHeight="1">
      <c r="B161" s="7" t="s">
        <v>160</v>
      </c>
      <c r="C161" s="7">
        <v>2960.0</v>
      </c>
      <c r="D161" s="7">
        <v>5555.0</v>
      </c>
      <c r="E161" s="7">
        <v>2.1190322E7</v>
      </c>
      <c r="F161" s="7">
        <v>1.6838457E7</v>
      </c>
      <c r="G161" s="7">
        <v>8.7591275E7</v>
      </c>
      <c r="H161" s="7">
        <v>6.27346373E8</v>
      </c>
      <c r="I161" s="7">
        <v>456098.0</v>
      </c>
      <c r="J161" s="7">
        <v>310176.0</v>
      </c>
      <c r="K161" s="7">
        <v>145922.0</v>
      </c>
      <c r="L161" s="7">
        <v>23.38</v>
      </c>
      <c r="M161" s="7">
        <v>-0.07</v>
      </c>
      <c r="N161" s="7">
        <v>175182.0</v>
      </c>
      <c r="O161" s="7">
        <v>3.0127348E7</v>
      </c>
      <c r="P161" s="7" t="s">
        <v>410</v>
      </c>
      <c r="Q161" s="7">
        <v>806.26</v>
      </c>
      <c r="R161" s="3">
        <f t="shared" si="1"/>
        <v>806.26</v>
      </c>
    </row>
    <row r="162" ht="22.5" customHeight="1">
      <c r="B162" s="7" t="s">
        <v>158</v>
      </c>
      <c r="C162" s="7">
        <v>51996.0</v>
      </c>
      <c r="D162" s="7">
        <v>147555.0</v>
      </c>
      <c r="E162" s="7">
        <v>1.0786805E7</v>
      </c>
      <c r="F162" s="7">
        <v>1.0731259E7</v>
      </c>
      <c r="G162" s="7">
        <v>1.23214312E8</v>
      </c>
      <c r="H162" s="7">
        <v>1.327422856E9</v>
      </c>
      <c r="I162" s="7">
        <v>377021.0</v>
      </c>
      <c r="J162" s="7">
        <v>299344.0</v>
      </c>
      <c r="K162" s="7">
        <v>77677.0</v>
      </c>
      <c r="L162" s="7">
        <v>49.79</v>
      </c>
      <c r="M162" s="7">
        <v>-0.03</v>
      </c>
      <c r="N162" s="7">
        <v>91752.0</v>
      </c>
      <c r="O162" s="7">
        <v>4.8198632E7</v>
      </c>
      <c r="P162" s="7" t="s">
        <v>410</v>
      </c>
      <c r="Q162" s="7">
        <v>806.44</v>
      </c>
      <c r="R162" s="3">
        <f t="shared" si="1"/>
        <v>806.44</v>
      </c>
    </row>
    <row r="163" ht="22.5" customHeight="1">
      <c r="B163" s="7" t="s">
        <v>88</v>
      </c>
      <c r="C163" s="7">
        <v>260342.0</v>
      </c>
      <c r="D163" s="7">
        <v>1377484.0</v>
      </c>
      <c r="E163" s="7">
        <v>1831504.0</v>
      </c>
      <c r="F163" s="7">
        <v>1652934.0</v>
      </c>
      <c r="G163" s="7">
        <v>1.1747247E7</v>
      </c>
      <c r="H163" s="7">
        <v>3.064606818E9</v>
      </c>
      <c r="I163" s="7">
        <v>69689.0</v>
      </c>
      <c r="J163" s="7">
        <v>64647.0</v>
      </c>
      <c r="K163" s="7">
        <v>5042.0</v>
      </c>
      <c r="L163" s="7">
        <v>201.65</v>
      </c>
      <c r="M163" s="7">
        <v>-0.11</v>
      </c>
      <c r="N163" s="7">
        <v>7041.0</v>
      </c>
      <c r="O163" s="7">
        <v>1699798.0</v>
      </c>
      <c r="P163" s="7" t="s">
        <v>409</v>
      </c>
      <c r="Q163" s="7">
        <v>815.94</v>
      </c>
      <c r="R163" s="3">
        <f t="shared" si="1"/>
        <v>815.94</v>
      </c>
    </row>
    <row r="164" ht="22.5" customHeight="1">
      <c r="B164" s="7" t="s">
        <v>210</v>
      </c>
      <c r="C164" s="7">
        <v>8043699.0</v>
      </c>
      <c r="D164" s="7">
        <v>3.9376148E7</v>
      </c>
      <c r="E164" s="7">
        <v>13675.0</v>
      </c>
      <c r="F164" s="7">
        <v>12820.0</v>
      </c>
      <c r="G164" s="7">
        <v>1472090.0</v>
      </c>
      <c r="H164" s="7">
        <v>2.17646686E8</v>
      </c>
      <c r="I164" s="7">
        <v>254.0</v>
      </c>
      <c r="J164" s="7">
        <v>215.0</v>
      </c>
      <c r="K164" s="7">
        <v>39.0</v>
      </c>
      <c r="L164" s="7">
        <v>123.7</v>
      </c>
      <c r="M164" s="7">
        <v>-0.13</v>
      </c>
      <c r="N164" s="7">
        <v>67.0</v>
      </c>
      <c r="O164" s="7">
        <v>16698.0</v>
      </c>
      <c r="P164" s="7" t="s">
        <v>409</v>
      </c>
      <c r="Q164" s="7">
        <v>825.64</v>
      </c>
      <c r="R164" s="3">
        <f t="shared" si="1"/>
        <v>825.64</v>
      </c>
    </row>
    <row r="165" ht="22.5" customHeight="1">
      <c r="B165" s="7" t="s">
        <v>199</v>
      </c>
      <c r="C165" s="7">
        <v>72078.0</v>
      </c>
      <c r="D165" s="7">
        <v>517705.0</v>
      </c>
      <c r="E165" s="7">
        <v>2918952.0</v>
      </c>
      <c r="F165" s="7">
        <v>2876495.0</v>
      </c>
      <c r="G165" s="7">
        <v>1.5344971E7</v>
      </c>
      <c r="H165" s="7">
        <v>1.223787346E9</v>
      </c>
      <c r="I165" s="7">
        <v>141647.0</v>
      </c>
      <c r="J165" s="7">
        <v>119626.0</v>
      </c>
      <c r="K165" s="7">
        <v>22021.0</v>
      </c>
      <c r="L165" s="7">
        <v>27.66</v>
      </c>
      <c r="M165" s="7">
        <v>-0.12</v>
      </c>
      <c r="N165" s="7">
        <v>26241.0</v>
      </c>
      <c r="O165" s="7">
        <v>2524827.0</v>
      </c>
      <c r="P165" s="7" t="s">
        <v>410</v>
      </c>
      <c r="Q165" s="7">
        <v>852.61</v>
      </c>
      <c r="R165" s="3">
        <f t="shared" si="1"/>
        <v>852.61</v>
      </c>
    </row>
    <row r="166" ht="22.5" customHeight="1">
      <c r="B166" s="7" t="s">
        <v>21</v>
      </c>
      <c r="C166" s="7">
        <v>9540.0</v>
      </c>
      <c r="D166" s="7">
        <v>61421.0</v>
      </c>
      <c r="E166" s="7">
        <v>4742703.0</v>
      </c>
      <c r="F166" s="7">
        <v>4666622.0</v>
      </c>
      <c r="G166" s="7">
        <v>1.564623E7</v>
      </c>
      <c r="H166" s="7">
        <v>8.43903913E8</v>
      </c>
      <c r="I166" s="7">
        <v>220806.0</v>
      </c>
      <c r="J166" s="7">
        <v>189404.0</v>
      </c>
      <c r="K166" s="7">
        <v>31402.0</v>
      </c>
      <c r="L166" s="7">
        <v>38.42</v>
      </c>
      <c r="M166" s="7">
        <v>-0.1</v>
      </c>
      <c r="N166" s="7">
        <v>39090.0</v>
      </c>
      <c r="O166" s="7">
        <v>2067410.0</v>
      </c>
      <c r="P166" s="7" t="s">
        <v>410</v>
      </c>
      <c r="Q166" s="7">
        <v>856.76</v>
      </c>
      <c r="R166" s="3">
        <f t="shared" si="1"/>
        <v>856.76</v>
      </c>
    </row>
    <row r="167" ht="22.5" customHeight="1">
      <c r="B167" s="7" t="s">
        <v>194</v>
      </c>
      <c r="C167" s="7">
        <v>1094922.0</v>
      </c>
      <c r="D167" s="7">
        <v>5009021.0</v>
      </c>
      <c r="E167" s="7">
        <v>801236.0</v>
      </c>
      <c r="F167" s="7">
        <v>764974.0</v>
      </c>
      <c r="G167" s="7">
        <v>1.5596107E7</v>
      </c>
      <c r="H167" s="7">
        <v>2.151295444E9</v>
      </c>
      <c r="I167" s="7">
        <v>49599.0</v>
      </c>
      <c r="J167" s="7">
        <v>47218.0</v>
      </c>
      <c r="K167" s="7">
        <v>2381.0</v>
      </c>
      <c r="L167" s="7">
        <v>48.99</v>
      </c>
      <c r="M167" s="7">
        <v>-0.23</v>
      </c>
      <c r="N167" s="7">
        <v>3789.0</v>
      </c>
      <c r="O167" s="7">
        <v>1073846.0</v>
      </c>
      <c r="P167" s="7" t="s">
        <v>409</v>
      </c>
      <c r="Q167" s="7">
        <v>896.34</v>
      </c>
      <c r="R167" s="3">
        <f t="shared" si="1"/>
        <v>896.34</v>
      </c>
    </row>
    <row r="168" ht="22.5" customHeight="1">
      <c r="B168" s="7" t="s">
        <v>181</v>
      </c>
      <c r="C168" s="7">
        <v>2343808.0</v>
      </c>
      <c r="D168" s="7">
        <v>5010575.0</v>
      </c>
      <c r="E168" s="7">
        <v>1118712.0</v>
      </c>
      <c r="F168" s="7">
        <v>1009458.0</v>
      </c>
      <c r="G168" s="7">
        <v>9713748.0</v>
      </c>
      <c r="H168" s="7">
        <v>1.267345048E9</v>
      </c>
      <c r="I168" s="7">
        <v>22150.0</v>
      </c>
      <c r="J168" s="7">
        <v>16131.0</v>
      </c>
      <c r="K168" s="7">
        <v>6019.0</v>
      </c>
      <c r="L168" s="7">
        <v>353.61</v>
      </c>
      <c r="M168" s="7">
        <v>-0.07</v>
      </c>
      <c r="N168" s="7">
        <v>7963.0</v>
      </c>
      <c r="O168" s="7">
        <v>1266288.0</v>
      </c>
      <c r="P168" s="7" t="s">
        <v>410</v>
      </c>
      <c r="Q168" s="7">
        <v>898.78</v>
      </c>
      <c r="R168" s="3">
        <f t="shared" si="1"/>
        <v>898.78</v>
      </c>
    </row>
    <row r="169" ht="22.5" customHeight="1">
      <c r="B169" s="7" t="s">
        <v>139</v>
      </c>
      <c r="C169" s="7">
        <v>1314940.0</v>
      </c>
      <c r="D169" s="7">
        <v>2548425.0</v>
      </c>
      <c r="E169" s="7">
        <v>775496.0</v>
      </c>
      <c r="F169" s="7">
        <v>749451.0</v>
      </c>
      <c r="G169" s="7">
        <v>6691047.0</v>
      </c>
      <c r="H169" s="7">
        <v>2.348125667E9</v>
      </c>
      <c r="I169" s="7">
        <v>33833.0</v>
      </c>
      <c r="J169" s="7">
        <v>32073.0</v>
      </c>
      <c r="K169" s="7">
        <v>1760.0</v>
      </c>
      <c r="L169" s="7">
        <v>29.08</v>
      </c>
      <c r="M169" s="7">
        <v>-0.17</v>
      </c>
      <c r="N169" s="7">
        <v>3120.0</v>
      </c>
      <c r="O169" s="7">
        <v>670381.0</v>
      </c>
      <c r="P169" s="7" t="s">
        <v>409</v>
      </c>
      <c r="Q169" s="7">
        <v>899.83</v>
      </c>
      <c r="R169" s="3">
        <f t="shared" si="1"/>
        <v>899.83</v>
      </c>
    </row>
    <row r="170" ht="22.5" customHeight="1">
      <c r="B170" s="7" t="s">
        <v>68</v>
      </c>
      <c r="C170" s="7">
        <v>3837.0</v>
      </c>
      <c r="D170" s="7">
        <v>15085.0</v>
      </c>
      <c r="E170" s="7">
        <v>3321194.0</v>
      </c>
      <c r="F170" s="7">
        <v>3273790.0</v>
      </c>
      <c r="G170" s="7">
        <v>6275848.0</v>
      </c>
      <c r="H170" s="7">
        <v>3.80826323E8</v>
      </c>
      <c r="I170" s="7">
        <v>150129.0</v>
      </c>
      <c r="J170" s="7">
        <v>129267.0</v>
      </c>
      <c r="K170" s="7">
        <v>20862.0</v>
      </c>
      <c r="L170" s="7">
        <v>38.29</v>
      </c>
      <c r="M170" s="7">
        <v>-0.07</v>
      </c>
      <c r="N170" s="7">
        <v>26442.0</v>
      </c>
      <c r="O170" s="7">
        <v>1087134.0</v>
      </c>
      <c r="P170" s="7" t="s">
        <v>409</v>
      </c>
      <c r="Q170" s="7">
        <v>901.51</v>
      </c>
      <c r="R170" s="3">
        <f t="shared" si="1"/>
        <v>901.51</v>
      </c>
    </row>
    <row r="171" ht="22.5" customHeight="1">
      <c r="B171" s="7" t="s">
        <v>260</v>
      </c>
      <c r="C171" s="7">
        <v>123133.0</v>
      </c>
      <c r="D171" s="7">
        <v>796517.0</v>
      </c>
      <c r="E171" s="7">
        <v>859632.0</v>
      </c>
      <c r="F171" s="7">
        <v>827872.0</v>
      </c>
      <c r="G171" s="7">
        <v>3074760.0</v>
      </c>
      <c r="H171" s="7">
        <v>1.806287262E9</v>
      </c>
      <c r="I171" s="7">
        <v>28517.0</v>
      </c>
      <c r="J171" s="7">
        <v>25410.0</v>
      </c>
      <c r="K171" s="7">
        <v>3107.0</v>
      </c>
      <c r="L171" s="7">
        <v>76.93</v>
      </c>
      <c r="M171" s="7">
        <v>-0.12</v>
      </c>
      <c r="N171" s="7">
        <v>4687.0</v>
      </c>
      <c r="O171" s="7">
        <v>501584.0</v>
      </c>
      <c r="P171" s="7" t="s">
        <v>409</v>
      </c>
      <c r="Q171" s="7">
        <v>906.49</v>
      </c>
      <c r="R171" s="3">
        <f t="shared" si="1"/>
        <v>906.49</v>
      </c>
    </row>
    <row r="172" ht="22.5" customHeight="1">
      <c r="B172" s="7" t="s">
        <v>85</v>
      </c>
      <c r="C172" s="7">
        <v>708.0</v>
      </c>
      <c r="D172" s="7">
        <v>2539.0</v>
      </c>
      <c r="E172" s="7">
        <v>6069249.0</v>
      </c>
      <c r="F172" s="7">
        <v>6046897.0</v>
      </c>
      <c r="G172" s="7">
        <v>8929009.0</v>
      </c>
      <c r="H172" s="7">
        <v>2.76698704E8</v>
      </c>
      <c r="I172" s="7">
        <v>329601.0</v>
      </c>
      <c r="J172" s="7">
        <v>286920.0</v>
      </c>
      <c r="K172" s="7">
        <v>42681.0</v>
      </c>
      <c r="L172" s="7">
        <v>22.85</v>
      </c>
      <c r="M172" s="7">
        <v>-0.05</v>
      </c>
      <c r="N172" s="7">
        <v>49914.0</v>
      </c>
      <c r="O172" s="7">
        <v>2596335.0</v>
      </c>
      <c r="P172" s="7" t="s">
        <v>409</v>
      </c>
      <c r="Q172" s="7">
        <v>948.22</v>
      </c>
      <c r="R172" s="3">
        <f t="shared" si="1"/>
        <v>948.22</v>
      </c>
    </row>
    <row r="173" ht="22.5" customHeight="1">
      <c r="B173" s="7" t="s">
        <v>133</v>
      </c>
      <c r="C173" s="7">
        <v>578891.0</v>
      </c>
      <c r="D173" s="7">
        <v>1735495.0</v>
      </c>
      <c r="E173" s="7">
        <v>6860434.0</v>
      </c>
      <c r="F173" s="7">
        <v>6575361.0</v>
      </c>
      <c r="G173" s="7">
        <v>6.1463733E7</v>
      </c>
      <c r="H173" s="7">
        <v>2.156292074E9</v>
      </c>
      <c r="I173" s="7">
        <v>253937.0</v>
      </c>
      <c r="J173" s="7">
        <v>228772.0</v>
      </c>
      <c r="K173" s="7">
        <v>25165.0</v>
      </c>
      <c r="L173" s="7">
        <v>59.47</v>
      </c>
      <c r="M173" s="7">
        <v>-0.17</v>
      </c>
      <c r="N173" s="7">
        <v>33126.0</v>
      </c>
      <c r="O173" s="7">
        <v>1.7438464E7</v>
      </c>
      <c r="P173" s="7" t="s">
        <v>410</v>
      </c>
      <c r="Q173" s="7">
        <v>956.9</v>
      </c>
      <c r="R173" s="3">
        <f t="shared" si="1"/>
        <v>956.9</v>
      </c>
    </row>
    <row r="174" ht="22.5" customHeight="1">
      <c r="B174" s="7" t="s">
        <v>189</v>
      </c>
      <c r="C174" s="7">
        <v>153834.0</v>
      </c>
      <c r="D174" s="7">
        <v>459957.0</v>
      </c>
      <c r="E174" s="7">
        <v>5241521.0</v>
      </c>
      <c r="F174" s="7">
        <v>5040969.0</v>
      </c>
      <c r="G174" s="7">
        <v>4.3184927E7</v>
      </c>
      <c r="H174" s="7">
        <v>7.90857777E8</v>
      </c>
      <c r="I174" s="7">
        <v>171530.0</v>
      </c>
      <c r="J174" s="7">
        <v>141301.0</v>
      </c>
      <c r="K174" s="7">
        <v>30229.0</v>
      </c>
      <c r="L174" s="7">
        <v>107.22</v>
      </c>
      <c r="M174" s="7">
        <v>-0.07</v>
      </c>
      <c r="N174" s="7">
        <v>37822.0</v>
      </c>
      <c r="O174" s="7">
        <v>1.4279993E7</v>
      </c>
      <c r="P174" s="7" t="s">
        <v>410</v>
      </c>
      <c r="Q174" s="7">
        <v>979.75</v>
      </c>
      <c r="R174" s="3">
        <f t="shared" si="1"/>
        <v>979.75</v>
      </c>
    </row>
    <row r="175" ht="22.5" customHeight="1">
      <c r="B175" s="7" t="s">
        <v>117</v>
      </c>
      <c r="C175" s="7">
        <v>827.0</v>
      </c>
      <c r="D175" s="7">
        <v>20669.0</v>
      </c>
      <c r="E175" s="7">
        <v>2606255.0</v>
      </c>
      <c r="F175" s="7">
        <v>2584784.0</v>
      </c>
      <c r="G175" s="7">
        <v>4564394.0</v>
      </c>
      <c r="H175" s="7">
        <v>3.14083895E8</v>
      </c>
      <c r="I175" s="7">
        <v>159225.0</v>
      </c>
      <c r="J175" s="7">
        <v>140475.0</v>
      </c>
      <c r="K175" s="7">
        <v>18750.0</v>
      </c>
      <c r="L175" s="7">
        <v>22.53</v>
      </c>
      <c r="M175" s="7">
        <v>-0.07</v>
      </c>
      <c r="N175" s="7">
        <v>22066.0</v>
      </c>
      <c r="O175" s="7">
        <v>1024428.0</v>
      </c>
      <c r="P175" s="7" t="s">
        <v>409</v>
      </c>
      <c r="Q175" s="7">
        <v>985.11</v>
      </c>
      <c r="R175" s="3">
        <f t="shared" si="1"/>
        <v>985.11</v>
      </c>
    </row>
    <row r="176" ht="22.5" customHeight="1">
      <c r="B176" s="7" t="s">
        <v>185</v>
      </c>
      <c r="C176" s="7">
        <v>3426.0</v>
      </c>
      <c r="D176" s="7">
        <v>15230.0</v>
      </c>
      <c r="E176" s="7">
        <v>7394618.0</v>
      </c>
      <c r="F176" s="7">
        <v>7394404.0</v>
      </c>
      <c r="G176" s="7">
        <v>7417288.0</v>
      </c>
      <c r="H176" s="7">
        <v>2.646281083E9</v>
      </c>
      <c r="I176" s="7">
        <v>320259.0</v>
      </c>
      <c r="J176" s="7">
        <v>269773.0</v>
      </c>
      <c r="K176" s="7">
        <v>50486.0</v>
      </c>
      <c r="L176" s="7">
        <v>19.0</v>
      </c>
      <c r="M176" s="7">
        <v>0.0</v>
      </c>
      <c r="N176" s="7">
        <v>57449.0</v>
      </c>
      <c r="O176" s="7">
        <v>3942472.0</v>
      </c>
      <c r="P176" s="7" t="s">
        <v>409</v>
      </c>
      <c r="Q176" s="7">
        <v>1049.38</v>
      </c>
      <c r="R176" s="3">
        <f t="shared" si="1"/>
        <v>1049.38</v>
      </c>
    </row>
    <row r="177" ht="22.5" customHeight="1">
      <c r="B177" s="7" t="s">
        <v>386</v>
      </c>
      <c r="C177" s="7">
        <v>95810.0</v>
      </c>
      <c r="D177" s="7">
        <v>287043.0</v>
      </c>
      <c r="E177" s="7">
        <v>5640217.0</v>
      </c>
      <c r="F177" s="7">
        <v>5530832.0</v>
      </c>
      <c r="G177" s="7">
        <v>1.6243364E7</v>
      </c>
      <c r="H177" s="7">
        <v>2.302685065E9</v>
      </c>
      <c r="I177" s="7">
        <v>254161.0</v>
      </c>
      <c r="J177" s="7">
        <v>234653.0</v>
      </c>
      <c r="K177" s="7">
        <v>19508.0</v>
      </c>
      <c r="L177" s="7">
        <v>63.08</v>
      </c>
      <c r="M177" s="7">
        <v>-0.1</v>
      </c>
      <c r="N177" s="7">
        <v>27692.0</v>
      </c>
      <c r="O177" s="7">
        <v>2935158.0</v>
      </c>
      <c r="P177" s="7" t="s">
        <v>410</v>
      </c>
      <c r="Q177" s="7">
        <v>1108.36</v>
      </c>
      <c r="R177" s="3">
        <f t="shared" si="1"/>
        <v>1108.36</v>
      </c>
    </row>
    <row r="178" ht="22.5" customHeight="1">
      <c r="B178" s="7" t="s">
        <v>180</v>
      </c>
      <c r="C178" s="7">
        <v>5000.0</v>
      </c>
      <c r="D178" s="7">
        <v>21250.0</v>
      </c>
      <c r="E178" s="7">
        <v>1.0860941E7</v>
      </c>
      <c r="F178" s="7">
        <v>1.0630374E7</v>
      </c>
      <c r="G178" s="7">
        <v>1.8465449E7</v>
      </c>
      <c r="H178" s="7">
        <v>1.832843652E9</v>
      </c>
      <c r="I178" s="7">
        <v>467926.0</v>
      </c>
      <c r="J178" s="7">
        <v>402464.0</v>
      </c>
      <c r="K178" s="7">
        <v>65462.0</v>
      </c>
      <c r="L178" s="7">
        <v>20.13</v>
      </c>
      <c r="M178" s="7">
        <v>-0.06</v>
      </c>
      <c r="N178" s="7">
        <v>80514.0</v>
      </c>
      <c r="O178" s="7">
        <v>4624620.0</v>
      </c>
      <c r="P178" s="7" t="s">
        <v>410</v>
      </c>
      <c r="Q178" s="7">
        <v>1140.21</v>
      </c>
      <c r="R178" s="3">
        <f t="shared" si="1"/>
        <v>1140.21</v>
      </c>
    </row>
    <row r="179" ht="22.5" customHeight="1">
      <c r="B179" s="7" t="s">
        <v>193</v>
      </c>
      <c r="C179" s="7">
        <v>10675.0</v>
      </c>
      <c r="D179" s="7">
        <v>84849.0</v>
      </c>
      <c r="E179" s="7">
        <v>4027217.0</v>
      </c>
      <c r="F179" s="7">
        <v>3952446.0</v>
      </c>
      <c r="G179" s="7">
        <v>6180068.0</v>
      </c>
      <c r="H179" s="7">
        <v>9.98135596E8</v>
      </c>
      <c r="I179" s="7">
        <v>111182.0</v>
      </c>
      <c r="J179" s="7">
        <v>80468.0</v>
      </c>
      <c r="K179" s="7">
        <v>30714.0</v>
      </c>
      <c r="L179" s="7">
        <v>28.45</v>
      </c>
      <c r="M179" s="7">
        <v>-0.04</v>
      </c>
      <c r="N179" s="7">
        <v>38122.0</v>
      </c>
      <c r="O179" s="7">
        <v>1378618.0</v>
      </c>
      <c r="P179" s="7" t="s">
        <v>410</v>
      </c>
      <c r="Q179" s="7">
        <v>1155.42</v>
      </c>
      <c r="R179" s="3">
        <f t="shared" si="1"/>
        <v>1155.42</v>
      </c>
    </row>
    <row r="180" ht="22.5" customHeight="1">
      <c r="B180" s="7" t="s">
        <v>164</v>
      </c>
      <c r="C180" s="7">
        <v>851.0</v>
      </c>
      <c r="D180" s="7">
        <v>2702.0</v>
      </c>
      <c r="E180" s="7">
        <v>7885611.0</v>
      </c>
      <c r="F180" s="7">
        <v>7786538.0</v>
      </c>
      <c r="G180" s="7">
        <v>1.1337691E7</v>
      </c>
      <c r="H180" s="7">
        <v>2.64964925E8</v>
      </c>
      <c r="I180" s="7">
        <v>415625.0</v>
      </c>
      <c r="J180" s="7">
        <v>381443.0</v>
      </c>
      <c r="K180" s="7">
        <v>34182.0</v>
      </c>
      <c r="L180" s="7">
        <v>17.53</v>
      </c>
      <c r="M180" s="7">
        <v>-0.06</v>
      </c>
      <c r="N180" s="7">
        <v>41748.0</v>
      </c>
      <c r="O180" s="7">
        <v>4166041.0</v>
      </c>
      <c r="P180" s="7" t="s">
        <v>410</v>
      </c>
      <c r="Q180" s="7">
        <v>1196.8</v>
      </c>
      <c r="R180" s="3">
        <f t="shared" si="1"/>
        <v>1196.8</v>
      </c>
    </row>
    <row r="181" ht="22.5" customHeight="1">
      <c r="B181" s="7" t="s">
        <v>116</v>
      </c>
      <c r="C181" s="7">
        <v>2187.0</v>
      </c>
      <c r="D181" s="7">
        <v>21286.0</v>
      </c>
      <c r="E181" s="7">
        <v>7888713.0</v>
      </c>
      <c r="F181" s="7">
        <v>7860034.0</v>
      </c>
      <c r="G181" s="7">
        <v>1.0457965E7</v>
      </c>
      <c r="H181" s="7">
        <v>4.96771499E8</v>
      </c>
      <c r="I181" s="7">
        <v>461921.0</v>
      </c>
      <c r="J181" s="7">
        <v>411407.0</v>
      </c>
      <c r="K181" s="7">
        <v>50514.0</v>
      </c>
      <c r="L181" s="7">
        <v>22.87</v>
      </c>
      <c r="M181" s="7">
        <v>-0.04</v>
      </c>
      <c r="N181" s="7">
        <v>57430.0</v>
      </c>
      <c r="O181" s="7">
        <v>4075170.0</v>
      </c>
      <c r="P181" s="7" t="s">
        <v>409</v>
      </c>
      <c r="Q181" s="7">
        <v>1209.88</v>
      </c>
      <c r="R181" s="3">
        <f t="shared" si="1"/>
        <v>1209.88</v>
      </c>
    </row>
    <row r="182" ht="22.5" customHeight="1">
      <c r="B182" s="7" t="s">
        <v>248</v>
      </c>
      <c r="C182" s="7">
        <v>895721.0</v>
      </c>
      <c r="D182" s="7">
        <v>1.7648874E7</v>
      </c>
      <c r="E182" s="7">
        <v>617243.0</v>
      </c>
      <c r="F182" s="7">
        <v>599215.0</v>
      </c>
      <c r="G182" s="7">
        <v>2146223.0</v>
      </c>
      <c r="H182" s="7">
        <v>1.222943558E9</v>
      </c>
      <c r="I182" s="7">
        <v>30302.0</v>
      </c>
      <c r="J182" s="7">
        <v>28255.0</v>
      </c>
      <c r="K182" s="7">
        <v>2047.0</v>
      </c>
      <c r="L182" s="7">
        <v>17.47</v>
      </c>
      <c r="M182" s="7">
        <v>-0.13</v>
      </c>
      <c r="N182" s="7">
        <v>2875.0</v>
      </c>
      <c r="O182" s="7">
        <v>477425.0</v>
      </c>
      <c r="P182" s="7" t="s">
        <v>409</v>
      </c>
      <c r="Q182" s="7">
        <v>1211.74</v>
      </c>
      <c r="R182" s="3">
        <f t="shared" si="1"/>
        <v>1211.74</v>
      </c>
    </row>
    <row r="183" ht="22.5" customHeight="1">
      <c r="B183" s="7" t="s">
        <v>182</v>
      </c>
      <c r="C183" s="7">
        <v>113407.0</v>
      </c>
      <c r="D183" s="7">
        <v>1010625.0</v>
      </c>
      <c r="E183" s="7">
        <v>1331740.0</v>
      </c>
      <c r="F183" s="7">
        <v>1313590.0</v>
      </c>
      <c r="G183" s="7">
        <v>2178976.0</v>
      </c>
      <c r="H183" s="7">
        <v>2.583410306E9</v>
      </c>
      <c r="I183" s="7">
        <v>58254.0</v>
      </c>
      <c r="J183" s="7">
        <v>51213.0</v>
      </c>
      <c r="K183" s="7">
        <v>7041.0</v>
      </c>
      <c r="L183" s="7">
        <v>54.65</v>
      </c>
      <c r="M183" s="7">
        <v>-0.07</v>
      </c>
      <c r="N183" s="7">
        <v>8990.0</v>
      </c>
      <c r="O183" s="7">
        <v>532773.0</v>
      </c>
      <c r="P183" s="7" t="s">
        <v>410</v>
      </c>
      <c r="Q183" s="7">
        <v>1281.62</v>
      </c>
      <c r="R183" s="3">
        <f t="shared" si="1"/>
        <v>1281.62</v>
      </c>
    </row>
    <row r="184" ht="22.5" customHeight="1">
      <c r="B184" s="7" t="s">
        <v>381</v>
      </c>
      <c r="C184" s="7">
        <v>3220.0</v>
      </c>
      <c r="D184" s="7">
        <v>12314.0</v>
      </c>
      <c r="E184" s="7">
        <v>8274335.0</v>
      </c>
      <c r="F184" s="7">
        <v>8140157.0</v>
      </c>
      <c r="G184" s="7">
        <v>2.6094528E7</v>
      </c>
      <c r="H184" s="7">
        <v>5.58440536E8</v>
      </c>
      <c r="I184" s="7">
        <v>474772.0</v>
      </c>
      <c r="J184" s="7">
        <v>444217.0</v>
      </c>
      <c r="K184" s="7">
        <v>30555.0</v>
      </c>
      <c r="L184" s="7">
        <v>29.89</v>
      </c>
      <c r="M184" s="7">
        <v>-0.11</v>
      </c>
      <c r="N184" s="7">
        <v>38560.0</v>
      </c>
      <c r="O184" s="7">
        <v>4957497.0</v>
      </c>
      <c r="P184" s="7" t="s">
        <v>409</v>
      </c>
      <c r="Q184" s="7">
        <v>1286.65</v>
      </c>
      <c r="R184" s="3">
        <f t="shared" si="1"/>
        <v>1286.65</v>
      </c>
    </row>
    <row r="185" ht="22.5" customHeight="1">
      <c r="B185" s="7" t="s">
        <v>216</v>
      </c>
      <c r="C185" s="7">
        <v>3220.0</v>
      </c>
      <c r="D185" s="7">
        <v>12314.0</v>
      </c>
      <c r="E185" s="7">
        <v>8679326.0</v>
      </c>
      <c r="F185" s="7">
        <v>8542085.0</v>
      </c>
      <c r="G185" s="7">
        <v>2.867066E7</v>
      </c>
      <c r="H185" s="7">
        <v>5.68245142E8</v>
      </c>
      <c r="I185" s="7">
        <v>542868.0</v>
      </c>
      <c r="J185" s="7">
        <v>509017.0</v>
      </c>
      <c r="K185" s="7">
        <v>33851.0</v>
      </c>
      <c r="L185" s="7">
        <v>30.85</v>
      </c>
      <c r="M185" s="7">
        <v>-0.11</v>
      </c>
      <c r="N185" s="7">
        <v>43058.0</v>
      </c>
      <c r="O185" s="7">
        <v>4657550.0</v>
      </c>
      <c r="P185" s="7" t="s">
        <v>409</v>
      </c>
      <c r="Q185" s="7">
        <v>1350.92</v>
      </c>
      <c r="R185" s="3">
        <f t="shared" si="1"/>
        <v>1350.92</v>
      </c>
    </row>
    <row r="186" ht="22.5" customHeight="1">
      <c r="B186" s="7" t="s">
        <v>282</v>
      </c>
      <c r="C186" s="7">
        <v>98048.0</v>
      </c>
      <c r="D186" s="7">
        <v>293756.0</v>
      </c>
      <c r="E186" s="7">
        <v>5779678.0</v>
      </c>
      <c r="F186" s="7">
        <v>5663190.0</v>
      </c>
      <c r="G186" s="7">
        <v>1.6746887E7</v>
      </c>
      <c r="H186" s="7">
        <v>2.305221151E9</v>
      </c>
      <c r="I186" s="7">
        <v>261901.0</v>
      </c>
      <c r="J186" s="7">
        <v>243172.0</v>
      </c>
      <c r="K186" s="7">
        <v>18729.0</v>
      </c>
      <c r="L186" s="7">
        <v>83.15</v>
      </c>
      <c r="M186" s="7">
        <v>-0.11</v>
      </c>
      <c r="N186" s="7">
        <v>26944.0</v>
      </c>
      <c r="O186" s="7">
        <v>3092251.0</v>
      </c>
      <c r="P186" s="7" t="s">
        <v>410</v>
      </c>
      <c r="Q186" s="7">
        <v>1389.77</v>
      </c>
      <c r="R186" s="3">
        <f t="shared" si="1"/>
        <v>1389.77</v>
      </c>
    </row>
    <row r="187" ht="22.5" customHeight="1">
      <c r="B187" s="7" t="s">
        <v>232</v>
      </c>
      <c r="C187" s="7">
        <v>371419.0</v>
      </c>
      <c r="D187" s="7">
        <v>7170905.0</v>
      </c>
      <c r="E187" s="7">
        <v>1108331.0</v>
      </c>
      <c r="F187" s="7">
        <v>1075865.0</v>
      </c>
      <c r="G187" s="7">
        <v>2.737435E7</v>
      </c>
      <c r="H187" s="7">
        <v>2.484349564E9</v>
      </c>
      <c r="I187" s="7">
        <v>39969.0</v>
      </c>
      <c r="J187" s="7">
        <v>35019.0</v>
      </c>
      <c r="K187" s="7">
        <v>4950.0</v>
      </c>
      <c r="L187" s="7">
        <v>100.8</v>
      </c>
      <c r="M187" s="7">
        <v>-0.1</v>
      </c>
      <c r="N187" s="7">
        <v>6987.0</v>
      </c>
      <c r="O187" s="7">
        <v>4114583.0</v>
      </c>
      <c r="P187" s="7" t="s">
        <v>410</v>
      </c>
      <c r="Q187" s="7">
        <v>1404.54</v>
      </c>
      <c r="R187" s="3">
        <f t="shared" si="1"/>
        <v>1404.54</v>
      </c>
    </row>
    <row r="188" ht="22.5" customHeight="1">
      <c r="B188" s="7" t="s">
        <v>169</v>
      </c>
      <c r="C188" s="7">
        <v>2187.0</v>
      </c>
      <c r="D188" s="7">
        <v>21286.0</v>
      </c>
      <c r="E188" s="7">
        <v>9425535.0</v>
      </c>
      <c r="F188" s="7">
        <v>9394948.0</v>
      </c>
      <c r="G188" s="7">
        <v>1.1965481E7</v>
      </c>
      <c r="H188" s="7">
        <v>5.94364655E8</v>
      </c>
      <c r="I188" s="7">
        <v>509850.0</v>
      </c>
      <c r="J188" s="7">
        <v>436287.0</v>
      </c>
      <c r="K188" s="7">
        <v>73563.0</v>
      </c>
      <c r="L188" s="7">
        <v>22.02</v>
      </c>
      <c r="M188" s="7">
        <v>-0.03</v>
      </c>
      <c r="N188" s="7">
        <v>83599.0</v>
      </c>
      <c r="O188" s="7">
        <v>4311646.0</v>
      </c>
      <c r="P188" s="7" t="s">
        <v>410</v>
      </c>
      <c r="Q188" s="7">
        <v>1408.32</v>
      </c>
      <c r="R188" s="3">
        <f t="shared" si="1"/>
        <v>1408.32</v>
      </c>
    </row>
    <row r="189" ht="22.5" customHeight="1">
      <c r="B189" s="7" t="s">
        <v>209</v>
      </c>
      <c r="C189" s="7">
        <v>2750.0</v>
      </c>
      <c r="D189" s="7">
        <v>286160.0</v>
      </c>
      <c r="E189" s="7">
        <v>8135340.0</v>
      </c>
      <c r="F189" s="7">
        <v>7927195.0</v>
      </c>
      <c r="G189" s="7">
        <v>1.8510906E7</v>
      </c>
      <c r="H189" s="7">
        <v>3.57801521E8</v>
      </c>
      <c r="I189" s="7">
        <v>401129.0</v>
      </c>
      <c r="J189" s="7">
        <v>368175.0</v>
      </c>
      <c r="K189" s="7">
        <v>32954.0</v>
      </c>
      <c r="L189" s="7">
        <v>98.51</v>
      </c>
      <c r="M189" s="7">
        <v>-0.05</v>
      </c>
      <c r="N189" s="7">
        <v>40456.0</v>
      </c>
      <c r="O189" s="7">
        <v>6852179.0</v>
      </c>
      <c r="P189" s="7" t="s">
        <v>410</v>
      </c>
      <c r="Q189" s="7">
        <v>1433.65</v>
      </c>
      <c r="R189" s="3">
        <f t="shared" si="1"/>
        <v>1433.65</v>
      </c>
    </row>
    <row r="190" ht="22.5" customHeight="1">
      <c r="B190" s="7" t="s">
        <v>77</v>
      </c>
      <c r="C190" s="7">
        <v>4719.0</v>
      </c>
      <c r="D190" s="7">
        <v>14071.0</v>
      </c>
      <c r="E190" s="7">
        <v>5923606.0</v>
      </c>
      <c r="F190" s="7">
        <v>5853865.0</v>
      </c>
      <c r="G190" s="7">
        <v>9324860.0</v>
      </c>
      <c r="H190" s="7">
        <v>6.90333184E8</v>
      </c>
      <c r="I190" s="7">
        <v>299670.0</v>
      </c>
      <c r="J190" s="7">
        <v>262073.0</v>
      </c>
      <c r="K190" s="7">
        <v>37597.0</v>
      </c>
      <c r="L190" s="7">
        <v>36.73</v>
      </c>
      <c r="M190" s="7">
        <v>-0.05</v>
      </c>
      <c r="N190" s="7">
        <v>45028.0</v>
      </c>
      <c r="O190" s="7">
        <v>2546377.0</v>
      </c>
      <c r="P190" s="7" t="s">
        <v>410</v>
      </c>
      <c r="Q190" s="7">
        <v>1434.45</v>
      </c>
      <c r="R190" s="3">
        <f t="shared" si="1"/>
        <v>1434.45</v>
      </c>
    </row>
    <row r="191" ht="22.5" customHeight="1">
      <c r="B191" s="7" t="s">
        <v>214</v>
      </c>
      <c r="C191" s="7">
        <v>1236271.0</v>
      </c>
      <c r="D191" s="7">
        <v>4906536.0</v>
      </c>
      <c r="E191" s="7">
        <v>214418.0</v>
      </c>
      <c r="F191" s="7">
        <v>209445.0</v>
      </c>
      <c r="G191" s="7">
        <v>380066.0</v>
      </c>
      <c r="H191" s="7">
        <v>3.029838502E9</v>
      </c>
      <c r="I191" s="7">
        <v>5986.0</v>
      </c>
      <c r="J191" s="7">
        <v>4711.0</v>
      </c>
      <c r="K191" s="7">
        <v>1275.0</v>
      </c>
      <c r="L191" s="7">
        <v>21.04</v>
      </c>
      <c r="M191" s="7">
        <v>-0.07</v>
      </c>
      <c r="N191" s="7">
        <v>1650.0</v>
      </c>
      <c r="O191" s="7">
        <v>90036.0</v>
      </c>
      <c r="P191" s="7" t="s">
        <v>410</v>
      </c>
      <c r="Q191" s="7">
        <v>1439.66</v>
      </c>
      <c r="R191" s="3">
        <f t="shared" si="1"/>
        <v>1439.66</v>
      </c>
    </row>
    <row r="192" ht="22.5" customHeight="1">
      <c r="B192" s="7" t="s">
        <v>212</v>
      </c>
      <c r="C192" s="7">
        <v>482548.0</v>
      </c>
      <c r="D192" s="7">
        <v>1368963.0</v>
      </c>
      <c r="E192" s="7">
        <v>4389722.0</v>
      </c>
      <c r="F192" s="7">
        <v>4345077.0</v>
      </c>
      <c r="G192" s="7">
        <v>1.40949729E8</v>
      </c>
      <c r="H192" s="7">
        <v>3.776802154E9</v>
      </c>
      <c r="I192" s="7">
        <v>209918.0</v>
      </c>
      <c r="J192" s="7">
        <v>174692.0</v>
      </c>
      <c r="K192" s="7">
        <v>35226.0</v>
      </c>
      <c r="L192" s="7">
        <v>25.35</v>
      </c>
      <c r="M192" s="7">
        <v>-0.08</v>
      </c>
      <c r="N192" s="7">
        <v>42766.0</v>
      </c>
      <c r="O192" s="7">
        <v>4.9816045E7</v>
      </c>
      <c r="P192" s="7" t="s">
        <v>410</v>
      </c>
      <c r="Q192" s="7">
        <v>1457.14</v>
      </c>
      <c r="R192" s="3">
        <f t="shared" si="1"/>
        <v>1457.14</v>
      </c>
    </row>
    <row r="193" ht="22.5" customHeight="1">
      <c r="B193" s="7" t="s">
        <v>218</v>
      </c>
      <c r="C193" s="7">
        <v>9582411.0</v>
      </c>
      <c r="D193" s="7">
        <v>4.6593859E7</v>
      </c>
      <c r="E193" s="7">
        <v>41071.0</v>
      </c>
      <c r="F193" s="7">
        <v>38414.0</v>
      </c>
      <c r="G193" s="7">
        <v>5938833.0</v>
      </c>
      <c r="H193" s="7">
        <v>4.31250062E8</v>
      </c>
      <c r="I193" s="7">
        <v>1534.0</v>
      </c>
      <c r="J193" s="7">
        <v>1526.0</v>
      </c>
      <c r="K193" s="7">
        <v>8.0</v>
      </c>
      <c r="L193" s="7">
        <v>142.37</v>
      </c>
      <c r="M193" s="7">
        <v>-0.3</v>
      </c>
      <c r="N193" s="7">
        <v>70.0</v>
      </c>
      <c r="O193" s="7">
        <v>1489939.0</v>
      </c>
      <c r="P193" s="7" t="s">
        <v>409</v>
      </c>
      <c r="Q193" s="7">
        <v>1489.63</v>
      </c>
      <c r="R193" s="3">
        <f t="shared" si="1"/>
        <v>1489.63</v>
      </c>
    </row>
    <row r="194" ht="22.5" customHeight="1">
      <c r="B194" s="7" t="s">
        <v>201</v>
      </c>
      <c r="C194" s="7">
        <v>20446.0</v>
      </c>
      <c r="D194" s="7">
        <v>689272.0</v>
      </c>
      <c r="E194" s="7">
        <v>1850764.0</v>
      </c>
      <c r="F194" s="7">
        <v>1805965.0</v>
      </c>
      <c r="G194" s="7">
        <v>3235816.0</v>
      </c>
      <c r="H194" s="7">
        <v>3.596567424E9</v>
      </c>
      <c r="I194" s="7">
        <v>84228.0</v>
      </c>
      <c r="J194" s="7">
        <v>77111.0</v>
      </c>
      <c r="K194" s="7">
        <v>7117.0</v>
      </c>
      <c r="L194" s="7">
        <v>24.71</v>
      </c>
      <c r="M194" s="7">
        <v>-0.08</v>
      </c>
      <c r="N194" s="7">
        <v>9062.0</v>
      </c>
      <c r="O194" s="7">
        <v>1121455.0</v>
      </c>
      <c r="P194" s="7" t="s">
        <v>410</v>
      </c>
      <c r="Q194" s="7">
        <v>1510.03</v>
      </c>
      <c r="R194" s="3">
        <f t="shared" si="1"/>
        <v>1510.03</v>
      </c>
    </row>
    <row r="195" ht="22.5" customHeight="1">
      <c r="B195" s="7" t="s">
        <v>223</v>
      </c>
      <c r="C195" s="7">
        <v>3835.0</v>
      </c>
      <c r="D195" s="7">
        <v>15069.0</v>
      </c>
      <c r="E195" s="7">
        <v>4634820.0</v>
      </c>
      <c r="F195" s="7">
        <v>4571932.0</v>
      </c>
      <c r="G195" s="7">
        <v>8410270.0</v>
      </c>
      <c r="H195" s="7">
        <v>5.53496648E8</v>
      </c>
      <c r="I195" s="7">
        <v>204432.0</v>
      </c>
      <c r="J195" s="7">
        <v>173471.0</v>
      </c>
      <c r="K195" s="7">
        <v>30961.0</v>
      </c>
      <c r="L195" s="7">
        <v>37.99</v>
      </c>
      <c r="M195" s="7">
        <v>-0.07</v>
      </c>
      <c r="N195" s="7">
        <v>38673.0</v>
      </c>
      <c r="O195" s="7">
        <v>1524217.0</v>
      </c>
      <c r="P195" s="7" t="s">
        <v>409</v>
      </c>
      <c r="Q195" s="7">
        <v>1579.75</v>
      </c>
      <c r="R195" s="3">
        <f t="shared" si="1"/>
        <v>1579.75</v>
      </c>
    </row>
    <row r="196" ht="22.5" customHeight="1">
      <c r="B196" s="7" t="s">
        <v>243</v>
      </c>
      <c r="C196" s="7">
        <v>961.0</v>
      </c>
      <c r="D196" s="7">
        <v>146909.0</v>
      </c>
      <c r="E196" s="7">
        <v>7708441.0</v>
      </c>
      <c r="F196" s="7">
        <v>7425913.0</v>
      </c>
      <c r="G196" s="7">
        <v>1.7561726E7</v>
      </c>
      <c r="H196" s="7">
        <v>9.07581795E8</v>
      </c>
      <c r="I196" s="7">
        <v>302522.0</v>
      </c>
      <c r="J196" s="7">
        <v>269506.0</v>
      </c>
      <c r="K196" s="7">
        <v>33016.0</v>
      </c>
      <c r="L196" s="7">
        <v>47.27</v>
      </c>
      <c r="M196" s="7">
        <v>-0.07</v>
      </c>
      <c r="N196" s="7">
        <v>40500.0</v>
      </c>
      <c r="O196" s="7">
        <v>7420671.0</v>
      </c>
      <c r="P196" s="7" t="s">
        <v>409</v>
      </c>
      <c r="Q196" s="7">
        <v>1597.75</v>
      </c>
      <c r="R196" s="3">
        <f t="shared" si="1"/>
        <v>1597.75</v>
      </c>
    </row>
    <row r="197" ht="22.5" customHeight="1">
      <c r="B197" s="7" t="s">
        <v>112</v>
      </c>
      <c r="C197" s="7">
        <v>720.0</v>
      </c>
      <c r="D197" s="7">
        <v>58758.0</v>
      </c>
      <c r="E197" s="7">
        <v>4923644.0</v>
      </c>
      <c r="F197" s="7">
        <v>4833639.0</v>
      </c>
      <c r="G197" s="7">
        <v>6783911.0</v>
      </c>
      <c r="H197" s="7">
        <v>2.71127153E8</v>
      </c>
      <c r="I197" s="7">
        <v>190779.0</v>
      </c>
      <c r="J197" s="7">
        <v>150292.0</v>
      </c>
      <c r="K197" s="7">
        <v>40487.0</v>
      </c>
      <c r="L197" s="7">
        <v>103.32</v>
      </c>
      <c r="M197" s="7">
        <v>-0.03</v>
      </c>
      <c r="N197" s="7">
        <v>47680.0</v>
      </c>
      <c r="O197" s="7">
        <v>2042595.0</v>
      </c>
      <c r="P197" s="7" t="s">
        <v>410</v>
      </c>
      <c r="Q197" s="7">
        <v>1640.8</v>
      </c>
      <c r="R197" s="3">
        <f t="shared" si="1"/>
        <v>1640.8</v>
      </c>
    </row>
    <row r="198" ht="22.5" customHeight="1">
      <c r="B198" s="7" t="s">
        <v>179</v>
      </c>
      <c r="C198" s="7">
        <v>381708.0</v>
      </c>
      <c r="D198" s="7">
        <v>1619095.0</v>
      </c>
      <c r="E198" s="7">
        <v>557960.0</v>
      </c>
      <c r="F198" s="7">
        <v>455225.0</v>
      </c>
      <c r="G198" s="7">
        <v>5370781.0</v>
      </c>
      <c r="H198" s="7">
        <v>4.71071275E9</v>
      </c>
      <c r="I198" s="7">
        <v>21302.0</v>
      </c>
      <c r="J198" s="7">
        <v>19666.0</v>
      </c>
      <c r="K198" s="7">
        <v>1636.0</v>
      </c>
      <c r="L198" s="7">
        <v>277.29</v>
      </c>
      <c r="M198" s="7">
        <v>-0.12</v>
      </c>
      <c r="N198" s="7">
        <v>2261.0</v>
      </c>
      <c r="O198" s="7">
        <v>619028.0</v>
      </c>
      <c r="P198" s="7" t="s">
        <v>409</v>
      </c>
      <c r="Q198" s="7">
        <v>1650.84</v>
      </c>
      <c r="R198" s="3">
        <f t="shared" si="1"/>
        <v>1650.84</v>
      </c>
    </row>
    <row r="199" ht="22.5" customHeight="1">
      <c r="B199" s="7" t="s">
        <v>176</v>
      </c>
      <c r="C199" s="7">
        <v>3831.0</v>
      </c>
      <c r="D199" s="7">
        <v>15062.0</v>
      </c>
      <c r="E199" s="7">
        <v>5448295.0</v>
      </c>
      <c r="F199" s="7">
        <v>5371316.0</v>
      </c>
      <c r="G199" s="7">
        <v>1.0536846E7</v>
      </c>
      <c r="H199" s="7">
        <v>6.57077571E8</v>
      </c>
      <c r="I199" s="7">
        <v>277875.0</v>
      </c>
      <c r="J199" s="7">
        <v>247883.0</v>
      </c>
      <c r="K199" s="7">
        <v>29992.0</v>
      </c>
      <c r="L199" s="7">
        <v>38.51</v>
      </c>
      <c r="M199" s="7">
        <v>-0.08</v>
      </c>
      <c r="N199" s="7">
        <v>37745.0</v>
      </c>
      <c r="O199" s="7">
        <v>2149423.0</v>
      </c>
      <c r="P199" s="7" t="s">
        <v>409</v>
      </c>
      <c r="Q199" s="7">
        <v>1665.6</v>
      </c>
      <c r="R199" s="3">
        <f t="shared" si="1"/>
        <v>1665.6</v>
      </c>
    </row>
    <row r="200" ht="22.5" customHeight="1">
      <c r="B200" s="7" t="s">
        <v>83</v>
      </c>
      <c r="C200" s="7">
        <v>2425.0</v>
      </c>
      <c r="D200" s="7">
        <v>23118.0</v>
      </c>
      <c r="E200" s="7">
        <v>1.1999864E7</v>
      </c>
      <c r="F200" s="7">
        <v>1.1978621E7</v>
      </c>
      <c r="G200" s="7">
        <v>1.3464824E7</v>
      </c>
      <c r="H200" s="7">
        <v>1.108500826E9</v>
      </c>
      <c r="I200" s="7">
        <v>520731.0</v>
      </c>
      <c r="J200" s="7">
        <v>395616.0</v>
      </c>
      <c r="K200" s="7">
        <v>125115.0</v>
      </c>
      <c r="L200" s="7">
        <v>21.26</v>
      </c>
      <c r="M200" s="7">
        <v>-0.02</v>
      </c>
      <c r="N200" s="7">
        <v>141520.0</v>
      </c>
      <c r="O200" s="7">
        <v>4426762.0</v>
      </c>
      <c r="P200" s="7" t="s">
        <v>409</v>
      </c>
      <c r="Q200" s="7">
        <v>1681.01</v>
      </c>
      <c r="R200" s="3">
        <f t="shared" si="1"/>
        <v>1681.01</v>
      </c>
    </row>
    <row r="201" ht="22.5" customHeight="1">
      <c r="B201" s="7" t="s">
        <v>328</v>
      </c>
      <c r="C201" s="7">
        <v>152376.0</v>
      </c>
      <c r="D201" s="7">
        <v>308482.0</v>
      </c>
      <c r="E201" s="7">
        <v>2079203.0</v>
      </c>
      <c r="F201" s="7">
        <v>2046797.0</v>
      </c>
      <c r="G201" s="7">
        <v>8937927.0</v>
      </c>
      <c r="H201" s="7">
        <v>7.074927951E9</v>
      </c>
      <c r="I201" s="7">
        <v>127971.0</v>
      </c>
      <c r="J201" s="7">
        <v>117367.0</v>
      </c>
      <c r="K201" s="7">
        <v>10604.0</v>
      </c>
      <c r="L201" s="7">
        <v>40.59</v>
      </c>
      <c r="M201" s="7">
        <v>-0.1</v>
      </c>
      <c r="N201" s="7">
        <v>12515.0</v>
      </c>
      <c r="O201" s="7">
        <v>1217414.0</v>
      </c>
      <c r="P201" s="7" t="s">
        <v>409</v>
      </c>
      <c r="Q201" s="7">
        <v>1712.82</v>
      </c>
      <c r="R201" s="3">
        <f t="shared" si="1"/>
        <v>1712.82</v>
      </c>
    </row>
    <row r="202" ht="22.5" customHeight="1">
      <c r="B202" s="7" t="s">
        <v>159</v>
      </c>
      <c r="C202" s="7">
        <v>122472.0</v>
      </c>
      <c r="D202" s="7">
        <v>440385.0</v>
      </c>
      <c r="E202" s="7">
        <v>2252770.0</v>
      </c>
      <c r="F202" s="7">
        <v>2193264.0</v>
      </c>
      <c r="G202" s="7">
        <v>4.4009642E7</v>
      </c>
      <c r="H202" s="7">
        <v>9.869000877E9</v>
      </c>
      <c r="I202" s="7">
        <v>103641.0</v>
      </c>
      <c r="J202" s="7">
        <v>98548.0</v>
      </c>
      <c r="K202" s="7">
        <v>5093.0</v>
      </c>
      <c r="L202" s="7">
        <v>66.23</v>
      </c>
      <c r="M202" s="7">
        <v>-0.12</v>
      </c>
      <c r="N202" s="7">
        <v>7805.0</v>
      </c>
      <c r="O202" s="7">
        <v>3261991.0</v>
      </c>
      <c r="P202" s="7" t="s">
        <v>409</v>
      </c>
      <c r="Q202" s="7">
        <v>1737.99</v>
      </c>
      <c r="R202" s="3">
        <f t="shared" si="1"/>
        <v>1737.99</v>
      </c>
    </row>
    <row r="203" ht="22.5" customHeight="1">
      <c r="B203" s="7" t="s">
        <v>198</v>
      </c>
      <c r="C203" s="7">
        <v>2943830.0</v>
      </c>
      <c r="D203" s="7">
        <v>1.0335595E7</v>
      </c>
      <c r="E203" s="7">
        <v>507283.0</v>
      </c>
      <c r="F203" s="7">
        <v>482656.0</v>
      </c>
      <c r="G203" s="7">
        <v>8335132.0</v>
      </c>
      <c r="H203" s="7">
        <v>3.217646394E9</v>
      </c>
      <c r="I203" s="7">
        <v>27452.0</v>
      </c>
      <c r="J203" s="7">
        <v>26599.0</v>
      </c>
      <c r="K203" s="7">
        <v>853.0</v>
      </c>
      <c r="L203" s="7">
        <v>28.66</v>
      </c>
      <c r="M203" s="7">
        <v>-0.18</v>
      </c>
      <c r="N203" s="7">
        <v>1379.0</v>
      </c>
      <c r="O203" s="7">
        <v>1100025.0</v>
      </c>
      <c r="P203" s="7" t="s">
        <v>410</v>
      </c>
      <c r="Q203" s="7">
        <v>1755.83</v>
      </c>
      <c r="R203" s="3">
        <f t="shared" si="1"/>
        <v>1755.83</v>
      </c>
    </row>
    <row r="204" ht="22.5" customHeight="1">
      <c r="B204" s="7" t="s">
        <v>206</v>
      </c>
      <c r="C204" s="7">
        <v>3220.0</v>
      </c>
      <c r="D204" s="7">
        <v>12314.0</v>
      </c>
      <c r="E204" s="7">
        <v>1.020088E7</v>
      </c>
      <c r="F204" s="7">
        <v>1.0042511E7</v>
      </c>
      <c r="G204" s="7">
        <v>3.0267984E7</v>
      </c>
      <c r="H204" s="7">
        <v>7.32180644E8</v>
      </c>
      <c r="I204" s="7">
        <v>535584.0</v>
      </c>
      <c r="J204" s="7">
        <v>485441.0</v>
      </c>
      <c r="K204" s="7">
        <v>50143.0</v>
      </c>
      <c r="L204" s="7">
        <v>34.94</v>
      </c>
      <c r="M204" s="7">
        <v>-0.1</v>
      </c>
      <c r="N204" s="7">
        <v>63680.0</v>
      </c>
      <c r="O204" s="7">
        <v>4791501.0</v>
      </c>
      <c r="P204" s="7" t="s">
        <v>409</v>
      </c>
      <c r="Q204" s="7">
        <v>1760.14</v>
      </c>
      <c r="R204" s="3">
        <f t="shared" si="1"/>
        <v>1760.14</v>
      </c>
    </row>
    <row r="205" ht="22.5" customHeight="1">
      <c r="B205" s="7" t="s">
        <v>226</v>
      </c>
      <c r="C205" s="7">
        <v>508510.0</v>
      </c>
      <c r="D205" s="7">
        <v>1464738.0</v>
      </c>
      <c r="E205" s="7">
        <v>1591407.0</v>
      </c>
      <c r="F205" s="7">
        <v>1570773.0</v>
      </c>
      <c r="G205" s="7">
        <v>4.38845457E8</v>
      </c>
      <c r="H205" s="7">
        <v>4.310499009E9</v>
      </c>
      <c r="I205" s="7">
        <v>77283.0</v>
      </c>
      <c r="J205" s="7">
        <v>74546.0</v>
      </c>
      <c r="K205" s="7">
        <v>2737.0</v>
      </c>
      <c r="L205" s="7">
        <v>25.98</v>
      </c>
      <c r="M205" s="7">
        <v>-0.16</v>
      </c>
      <c r="N205" s="7">
        <v>4878.0</v>
      </c>
      <c r="O205" s="7">
        <v>2.17082155E8</v>
      </c>
      <c r="P205" s="7" t="s">
        <v>410</v>
      </c>
      <c r="Q205" s="7">
        <v>1760.93</v>
      </c>
      <c r="R205" s="3">
        <f t="shared" si="1"/>
        <v>1760.93</v>
      </c>
    </row>
    <row r="206" ht="22.5" customHeight="1">
      <c r="B206" s="7" t="s">
        <v>307</v>
      </c>
      <c r="C206" s="7">
        <v>51315.0</v>
      </c>
      <c r="D206" s="7">
        <v>485537.0</v>
      </c>
      <c r="E206" s="7">
        <v>6909207.0</v>
      </c>
      <c r="F206" s="7">
        <v>6706986.0</v>
      </c>
      <c r="G206" s="7">
        <v>1.7855718E7</v>
      </c>
      <c r="H206" s="7">
        <v>1.560198646E9</v>
      </c>
      <c r="I206" s="7">
        <v>327678.0</v>
      </c>
      <c r="J206" s="7">
        <v>306587.0</v>
      </c>
      <c r="K206" s="7">
        <v>21091.0</v>
      </c>
      <c r="L206" s="7">
        <v>23.72</v>
      </c>
      <c r="M206" s="7">
        <v>-0.12</v>
      </c>
      <c r="N206" s="7">
        <v>29207.0</v>
      </c>
      <c r="O206" s="7">
        <v>4876209.0</v>
      </c>
      <c r="P206" s="7" t="s">
        <v>410</v>
      </c>
      <c r="Q206" s="7">
        <v>1857.44</v>
      </c>
      <c r="R206" s="3">
        <f t="shared" si="1"/>
        <v>1857.44</v>
      </c>
    </row>
    <row r="207" ht="22.5" customHeight="1">
      <c r="B207" s="7" t="s">
        <v>174</v>
      </c>
      <c r="C207" s="7">
        <v>140.0</v>
      </c>
      <c r="D207" s="7">
        <v>560.0</v>
      </c>
      <c r="E207" s="7">
        <v>4.7957928E7</v>
      </c>
      <c r="F207" s="7">
        <v>4.7948339E7</v>
      </c>
      <c r="G207" s="7">
        <v>6.0944951E7</v>
      </c>
      <c r="H207" s="7">
        <v>2.53403773E8</v>
      </c>
      <c r="I207" s="7">
        <v>1644117.0</v>
      </c>
      <c r="J207" s="7">
        <v>1170014.0</v>
      </c>
      <c r="K207" s="7">
        <v>474103.0</v>
      </c>
      <c r="L207" s="7">
        <v>17.78</v>
      </c>
      <c r="M207" s="7">
        <v>-0.03</v>
      </c>
      <c r="N207" s="7">
        <v>541219.0</v>
      </c>
      <c r="O207" s="7">
        <v>2.1258348E7</v>
      </c>
      <c r="P207" s="7" t="s">
        <v>410</v>
      </c>
      <c r="Q207" s="7">
        <v>1955.63</v>
      </c>
      <c r="R207" s="3">
        <f t="shared" si="1"/>
        <v>1955.63</v>
      </c>
    </row>
    <row r="208" ht="22.5" customHeight="1">
      <c r="B208" s="7" t="s">
        <v>173</v>
      </c>
      <c r="C208" s="7">
        <v>900.0</v>
      </c>
      <c r="D208" s="7">
        <v>133080.0</v>
      </c>
      <c r="E208" s="7">
        <v>8733113.0</v>
      </c>
      <c r="F208" s="7">
        <v>8425335.0</v>
      </c>
      <c r="G208" s="7">
        <v>1.8891701E7</v>
      </c>
      <c r="H208" s="7">
        <v>9.87672458E8</v>
      </c>
      <c r="I208" s="7">
        <v>336048.0</v>
      </c>
      <c r="J208" s="7">
        <v>294802.0</v>
      </c>
      <c r="K208" s="7">
        <v>41246.0</v>
      </c>
      <c r="L208" s="7">
        <v>46.15</v>
      </c>
      <c r="M208" s="7">
        <v>-0.07</v>
      </c>
      <c r="N208" s="7">
        <v>50133.0</v>
      </c>
      <c r="O208" s="7">
        <v>7822558.0</v>
      </c>
      <c r="P208" s="7" t="s">
        <v>409</v>
      </c>
      <c r="Q208" s="7">
        <v>1986.28</v>
      </c>
      <c r="R208" s="3">
        <f t="shared" si="1"/>
        <v>1986.28</v>
      </c>
    </row>
    <row r="209" ht="22.5" customHeight="1">
      <c r="B209" s="7" t="s">
        <v>257</v>
      </c>
      <c r="C209" s="7">
        <v>569318.0</v>
      </c>
      <c r="D209" s="7">
        <v>1484813.0</v>
      </c>
      <c r="E209" s="7">
        <v>5506905.0</v>
      </c>
      <c r="F209" s="7">
        <v>5307734.0</v>
      </c>
      <c r="G209" s="7">
        <v>3.6722031E7</v>
      </c>
      <c r="H209" s="7">
        <v>3.748650263E9</v>
      </c>
      <c r="I209" s="7">
        <v>300711.0</v>
      </c>
      <c r="J209" s="7">
        <v>276713.0</v>
      </c>
      <c r="K209" s="7">
        <v>23998.0</v>
      </c>
      <c r="L209" s="7">
        <v>34.31</v>
      </c>
      <c r="M209" s="7">
        <v>-0.14</v>
      </c>
      <c r="N209" s="7">
        <v>31964.0</v>
      </c>
      <c r="O209" s="7">
        <v>6482321.0</v>
      </c>
      <c r="P209" s="7" t="s">
        <v>410</v>
      </c>
      <c r="Q209" s="7">
        <v>1995.04</v>
      </c>
      <c r="R209" s="3">
        <f t="shared" si="1"/>
        <v>1995.04</v>
      </c>
    </row>
    <row r="210" ht="22.5" customHeight="1">
      <c r="B210" s="7" t="s">
        <v>231</v>
      </c>
      <c r="C210" s="7">
        <v>3220.0</v>
      </c>
      <c r="D210" s="7">
        <v>12314.0</v>
      </c>
      <c r="E210" s="7">
        <v>1.1340892E7</v>
      </c>
      <c r="F210" s="7">
        <v>1.1173383E7</v>
      </c>
      <c r="G210" s="7">
        <v>3.0617337E7</v>
      </c>
      <c r="H210" s="7">
        <v>7.83739444E8</v>
      </c>
      <c r="I210" s="7">
        <v>539293.0</v>
      </c>
      <c r="J210" s="7">
        <v>474947.0</v>
      </c>
      <c r="K210" s="7">
        <v>64346.0</v>
      </c>
      <c r="L210" s="7">
        <v>34.81</v>
      </c>
      <c r="M210" s="7">
        <v>-0.09</v>
      </c>
      <c r="N210" s="7">
        <v>81053.0</v>
      </c>
      <c r="O210" s="7">
        <v>4829401.0</v>
      </c>
      <c r="P210" s="7" t="s">
        <v>409</v>
      </c>
      <c r="Q210" s="7">
        <v>2008.15</v>
      </c>
      <c r="R210" s="3">
        <f t="shared" si="1"/>
        <v>2008.15</v>
      </c>
    </row>
    <row r="211" ht="22.5" customHeight="1">
      <c r="B211" s="7" t="s">
        <v>213</v>
      </c>
      <c r="C211" s="7">
        <v>17850.0</v>
      </c>
      <c r="D211" s="7">
        <v>149132.0</v>
      </c>
      <c r="E211" s="7">
        <v>8399167.0</v>
      </c>
      <c r="F211" s="7">
        <v>8283457.0</v>
      </c>
      <c r="G211" s="7">
        <v>1.203315E7</v>
      </c>
      <c r="H211" s="7">
        <v>4.180760536E9</v>
      </c>
      <c r="I211" s="7">
        <v>410953.0</v>
      </c>
      <c r="J211" s="7">
        <v>375938.0</v>
      </c>
      <c r="K211" s="7">
        <v>35015.0</v>
      </c>
      <c r="L211" s="7">
        <v>16.92</v>
      </c>
      <c r="M211" s="7">
        <v>-0.07</v>
      </c>
      <c r="N211" s="7">
        <v>43232.0</v>
      </c>
      <c r="O211" s="7">
        <v>4566088.0</v>
      </c>
      <c r="P211" s="7" t="s">
        <v>410</v>
      </c>
      <c r="Q211" s="7">
        <v>2023.19</v>
      </c>
      <c r="R211" s="3">
        <f t="shared" si="1"/>
        <v>2023.19</v>
      </c>
    </row>
    <row r="212" ht="22.5" customHeight="1">
      <c r="B212" s="7" t="s">
        <v>252</v>
      </c>
      <c r="C212" s="7">
        <v>3066.0</v>
      </c>
      <c r="D212" s="7">
        <v>59739.0</v>
      </c>
      <c r="E212" s="7">
        <v>6790191.0</v>
      </c>
      <c r="F212" s="7">
        <v>6707689.0</v>
      </c>
      <c r="G212" s="7">
        <v>1.0635604E7</v>
      </c>
      <c r="H212" s="7">
        <v>1.326154079E9</v>
      </c>
      <c r="I212" s="7">
        <v>332989.0</v>
      </c>
      <c r="J212" s="7">
        <v>298484.0</v>
      </c>
      <c r="K212" s="7">
        <v>34505.0</v>
      </c>
      <c r="L212" s="7">
        <v>19.3</v>
      </c>
      <c r="M212" s="7">
        <v>-0.06</v>
      </c>
      <c r="N212" s="7">
        <v>42048.0</v>
      </c>
      <c r="O212" s="7">
        <v>3263691.0</v>
      </c>
      <c r="P212" s="7" t="s">
        <v>410</v>
      </c>
      <c r="Q212" s="7">
        <v>2050.85</v>
      </c>
      <c r="R212" s="3">
        <f t="shared" si="1"/>
        <v>2050.85</v>
      </c>
    </row>
    <row r="213" ht="22.5" customHeight="1">
      <c r="B213" s="7" t="s">
        <v>188</v>
      </c>
      <c r="C213" s="7">
        <v>559571.0</v>
      </c>
      <c r="D213" s="7">
        <v>1.0144966E7</v>
      </c>
      <c r="E213" s="7">
        <v>669407.0</v>
      </c>
      <c r="F213" s="7">
        <v>497302.0</v>
      </c>
      <c r="G213" s="7">
        <v>6659446.0</v>
      </c>
      <c r="H213" s="7">
        <v>4.673173725E9</v>
      </c>
      <c r="I213" s="7">
        <v>9398.0</v>
      </c>
      <c r="J213" s="7">
        <v>7170.0</v>
      </c>
      <c r="K213" s="7">
        <v>2228.0</v>
      </c>
      <c r="L213" s="7">
        <v>1411.01</v>
      </c>
      <c r="M213" s="7">
        <v>-0.07</v>
      </c>
      <c r="N213" s="7">
        <v>3117.0</v>
      </c>
      <c r="O213" s="7">
        <v>1192543.0</v>
      </c>
      <c r="P213" s="7" t="s">
        <v>410</v>
      </c>
      <c r="Q213" s="7">
        <v>2052.9</v>
      </c>
      <c r="R213" s="3">
        <f t="shared" si="1"/>
        <v>2052.9</v>
      </c>
    </row>
    <row r="214" ht="22.5" customHeight="1">
      <c r="B214" s="7" t="s">
        <v>208</v>
      </c>
      <c r="C214" s="7">
        <v>2719.0</v>
      </c>
      <c r="D214" s="7">
        <v>11388.0</v>
      </c>
      <c r="E214" s="7">
        <v>5497933.0</v>
      </c>
      <c r="F214" s="7">
        <v>5419847.0</v>
      </c>
      <c r="G214" s="7">
        <v>1.062778E7</v>
      </c>
      <c r="H214" s="7">
        <v>6.70145619E8</v>
      </c>
      <c r="I214" s="7">
        <v>281977.0</v>
      </c>
      <c r="J214" s="7">
        <v>251206.0</v>
      </c>
      <c r="K214" s="7">
        <v>30771.0</v>
      </c>
      <c r="L214" s="7">
        <v>39.18</v>
      </c>
      <c r="M214" s="7">
        <v>-0.08</v>
      </c>
      <c r="N214" s="7">
        <v>38492.0</v>
      </c>
      <c r="O214" s="7">
        <v>2195488.0</v>
      </c>
      <c r="P214" s="7" t="s">
        <v>409</v>
      </c>
      <c r="Q214" s="7">
        <v>2057.24</v>
      </c>
      <c r="R214" s="3">
        <f t="shared" si="1"/>
        <v>2057.24</v>
      </c>
    </row>
    <row r="215" ht="22.5" customHeight="1">
      <c r="B215" s="7" t="s">
        <v>137</v>
      </c>
      <c r="C215" s="7">
        <v>3105.0</v>
      </c>
      <c r="D215" s="7">
        <v>9242.0</v>
      </c>
      <c r="E215" s="7">
        <v>7556700.0</v>
      </c>
      <c r="F215" s="7">
        <v>7478699.0</v>
      </c>
      <c r="G215" s="7">
        <v>1.1198463E7</v>
      </c>
      <c r="H215" s="7">
        <v>7.50239367E8</v>
      </c>
      <c r="I215" s="7">
        <v>454165.0</v>
      </c>
      <c r="J215" s="7">
        <v>417315.0</v>
      </c>
      <c r="K215" s="7">
        <v>36850.0</v>
      </c>
      <c r="L215" s="7">
        <v>33.97</v>
      </c>
      <c r="M215" s="7">
        <v>-0.05</v>
      </c>
      <c r="N215" s="7">
        <v>44310.0</v>
      </c>
      <c r="O215" s="7">
        <v>3772637.0</v>
      </c>
      <c r="P215" s="7" t="s">
        <v>410</v>
      </c>
      <c r="Q215" s="7">
        <v>2091.65</v>
      </c>
      <c r="R215" s="3">
        <f t="shared" si="1"/>
        <v>2091.65</v>
      </c>
    </row>
    <row r="216" ht="22.5" customHeight="1">
      <c r="B216" s="7" t="s">
        <v>200</v>
      </c>
      <c r="C216" s="7">
        <v>1376707.0</v>
      </c>
      <c r="D216" s="7">
        <v>5351985.0</v>
      </c>
      <c r="E216" s="7">
        <v>1511611.0</v>
      </c>
      <c r="F216" s="7">
        <v>1467472.0</v>
      </c>
      <c r="G216" s="7">
        <v>6856062.0</v>
      </c>
      <c r="H216" s="7">
        <v>5.274614555E9</v>
      </c>
      <c r="I216" s="7">
        <v>97957.0</v>
      </c>
      <c r="J216" s="7">
        <v>94138.0</v>
      </c>
      <c r="K216" s="7">
        <v>3819.0</v>
      </c>
      <c r="L216" s="7">
        <v>39.98</v>
      </c>
      <c r="M216" s="7">
        <v>-0.16</v>
      </c>
      <c r="N216" s="7">
        <v>5908.0</v>
      </c>
      <c r="O216" s="7">
        <v>1183899.0</v>
      </c>
      <c r="P216" s="7" t="s">
        <v>410</v>
      </c>
      <c r="Q216" s="7">
        <v>2093.38</v>
      </c>
      <c r="R216" s="3">
        <f t="shared" si="1"/>
        <v>2093.38</v>
      </c>
    </row>
    <row r="217" ht="22.5" customHeight="1">
      <c r="B217" s="7" t="s">
        <v>175</v>
      </c>
      <c r="C217" s="7">
        <v>89190.0</v>
      </c>
      <c r="D217" s="7">
        <v>265715.0</v>
      </c>
      <c r="E217" s="7">
        <v>8995947.0</v>
      </c>
      <c r="F217" s="7">
        <v>8793124.0</v>
      </c>
      <c r="G217" s="7">
        <v>8.9802978E7</v>
      </c>
      <c r="H217" s="7">
        <v>1.831817258E9</v>
      </c>
      <c r="I217" s="7">
        <v>577827.0</v>
      </c>
      <c r="J217" s="7">
        <v>552382.0</v>
      </c>
      <c r="K217" s="7">
        <v>25445.0</v>
      </c>
      <c r="L217" s="7">
        <v>30.51</v>
      </c>
      <c r="M217" s="7">
        <v>-0.17</v>
      </c>
      <c r="N217" s="7">
        <v>36037.0</v>
      </c>
      <c r="O217" s="7">
        <v>1.1782224E7</v>
      </c>
      <c r="P217" s="7" t="s">
        <v>410</v>
      </c>
      <c r="Q217" s="7">
        <v>2102.56</v>
      </c>
      <c r="R217" s="3">
        <f t="shared" si="1"/>
        <v>2102.56</v>
      </c>
    </row>
    <row r="218" ht="22.5" customHeight="1">
      <c r="B218" s="7" t="s">
        <v>215</v>
      </c>
      <c r="C218" s="7">
        <v>15232.0</v>
      </c>
      <c r="D218" s="7">
        <v>147245.0</v>
      </c>
      <c r="E218" s="7">
        <v>8998660.0</v>
      </c>
      <c r="F218" s="7">
        <v>8875563.0</v>
      </c>
      <c r="G218" s="7">
        <v>1.2730813E7</v>
      </c>
      <c r="H218" s="7">
        <v>4.119515151E9</v>
      </c>
      <c r="I218" s="7">
        <v>416314.0</v>
      </c>
      <c r="J218" s="7">
        <v>374293.0</v>
      </c>
      <c r="K218" s="7">
        <v>42021.0</v>
      </c>
      <c r="L218" s="7">
        <v>17.08</v>
      </c>
      <c r="M218" s="7">
        <v>-0.07</v>
      </c>
      <c r="N218" s="7">
        <v>51917.0</v>
      </c>
      <c r="O218" s="7">
        <v>4577790.0</v>
      </c>
      <c r="P218" s="7" t="s">
        <v>410</v>
      </c>
      <c r="Q218" s="7">
        <v>2110.44</v>
      </c>
      <c r="R218" s="3">
        <f t="shared" si="1"/>
        <v>2110.44</v>
      </c>
    </row>
    <row r="219" ht="22.5" customHeight="1">
      <c r="B219" s="7" t="s">
        <v>178</v>
      </c>
      <c r="C219" s="7">
        <v>172.0</v>
      </c>
      <c r="D219" s="7">
        <v>832.0</v>
      </c>
      <c r="E219" s="7">
        <v>1.4080709E7</v>
      </c>
      <c r="F219" s="7">
        <v>1.398118E7</v>
      </c>
      <c r="G219" s="7">
        <v>1.7929689E7</v>
      </c>
      <c r="H219" s="7">
        <v>3.28753372E8</v>
      </c>
      <c r="I219" s="7">
        <v>568532.0</v>
      </c>
      <c r="J219" s="7">
        <v>443254.0</v>
      </c>
      <c r="K219" s="7">
        <v>125278.0</v>
      </c>
      <c r="L219" s="7">
        <v>18.64</v>
      </c>
      <c r="M219" s="7">
        <v>-0.03</v>
      </c>
      <c r="N219" s="7">
        <v>148494.0</v>
      </c>
      <c r="O219" s="7">
        <v>4308371.0</v>
      </c>
      <c r="P219" s="7" t="s">
        <v>410</v>
      </c>
      <c r="Q219" s="7">
        <v>2328.77</v>
      </c>
      <c r="R219" s="3">
        <f t="shared" si="1"/>
        <v>2328.77</v>
      </c>
    </row>
    <row r="220" ht="22.5" customHeight="1">
      <c r="B220" s="7" t="s">
        <v>162</v>
      </c>
      <c r="C220" s="7">
        <v>6634.0</v>
      </c>
      <c r="D220" s="7">
        <v>23392.0</v>
      </c>
      <c r="E220" s="7">
        <v>9256525.0</v>
      </c>
      <c r="F220" s="7">
        <v>9084930.0</v>
      </c>
      <c r="G220" s="7">
        <v>1.9828154E7</v>
      </c>
      <c r="H220" s="7">
        <v>2.600377244E9</v>
      </c>
      <c r="I220" s="7">
        <v>385267.0</v>
      </c>
      <c r="J220" s="7">
        <v>337266.0</v>
      </c>
      <c r="K220" s="7">
        <v>48001.0</v>
      </c>
      <c r="L220" s="7">
        <v>61.43</v>
      </c>
      <c r="M220" s="7">
        <v>-0.06</v>
      </c>
      <c r="N220" s="7">
        <v>58425.0</v>
      </c>
      <c r="O220" s="7">
        <v>4619263.0</v>
      </c>
      <c r="P220" s="7" t="s">
        <v>409</v>
      </c>
      <c r="Q220" s="7">
        <v>2332.31</v>
      </c>
      <c r="R220" s="3">
        <f t="shared" si="1"/>
        <v>2332.31</v>
      </c>
    </row>
    <row r="221" ht="22.5" customHeight="1">
      <c r="B221" s="7" t="s">
        <v>93</v>
      </c>
      <c r="C221" s="7">
        <v>2316.0</v>
      </c>
      <c r="D221" s="7">
        <v>30945.0</v>
      </c>
      <c r="E221" s="7">
        <v>8596064.0</v>
      </c>
      <c r="F221" s="7">
        <v>8547281.0</v>
      </c>
      <c r="G221" s="7">
        <v>1.2488308E7</v>
      </c>
      <c r="H221" s="7">
        <v>4.71658017E8</v>
      </c>
      <c r="I221" s="7">
        <v>451150.0</v>
      </c>
      <c r="J221" s="7">
        <v>405749.0</v>
      </c>
      <c r="K221" s="7">
        <v>45401.0</v>
      </c>
      <c r="L221" s="7">
        <v>22.9</v>
      </c>
      <c r="M221" s="7">
        <v>-0.04</v>
      </c>
      <c r="N221" s="7">
        <v>53848.0</v>
      </c>
      <c r="O221" s="7">
        <v>4329494.0</v>
      </c>
      <c r="P221" s="7" t="s">
        <v>409</v>
      </c>
      <c r="Q221" s="7">
        <v>2444.66</v>
      </c>
      <c r="R221" s="3">
        <f t="shared" si="1"/>
        <v>2444.66</v>
      </c>
    </row>
    <row r="222" ht="22.5" customHeight="1">
      <c r="B222" s="7" t="s">
        <v>220</v>
      </c>
      <c r="C222" s="7">
        <v>171148.0</v>
      </c>
      <c r="D222" s="7">
        <v>6591010.0</v>
      </c>
      <c r="E222" s="7">
        <v>3180088.0</v>
      </c>
      <c r="F222" s="7">
        <v>3146971.0</v>
      </c>
      <c r="G222" s="7">
        <v>5300041.0</v>
      </c>
      <c r="H222" s="7">
        <v>1.837735893E9</v>
      </c>
      <c r="I222" s="7">
        <v>128653.0</v>
      </c>
      <c r="J222" s="7">
        <v>110518.0</v>
      </c>
      <c r="K222" s="7">
        <v>18135.0</v>
      </c>
      <c r="L222" s="7">
        <v>25.65</v>
      </c>
      <c r="M222" s="7">
        <v>-0.06</v>
      </c>
      <c r="N222" s="7">
        <v>23363.0</v>
      </c>
      <c r="O222" s="7">
        <v>1096680.0</v>
      </c>
      <c r="P222" s="7" t="s">
        <v>410</v>
      </c>
      <c r="Q222" s="7">
        <v>2469.59</v>
      </c>
      <c r="R222" s="3">
        <f t="shared" si="1"/>
        <v>2469.59</v>
      </c>
    </row>
    <row r="223" ht="22.5" customHeight="1">
      <c r="B223" s="7" t="s">
        <v>269</v>
      </c>
      <c r="C223" s="7">
        <v>88289.0</v>
      </c>
      <c r="D223" s="7">
        <v>4187682.0</v>
      </c>
      <c r="E223" s="7">
        <v>4485171.0</v>
      </c>
      <c r="F223" s="7">
        <v>4300328.0</v>
      </c>
      <c r="G223" s="7">
        <v>3.9712141E7</v>
      </c>
      <c r="H223" s="7">
        <v>7.223945521E9</v>
      </c>
      <c r="I223" s="7">
        <v>137288.0</v>
      </c>
      <c r="J223" s="7">
        <v>112481.0</v>
      </c>
      <c r="K223" s="7">
        <v>24807.0</v>
      </c>
      <c r="L223" s="7">
        <v>143.07</v>
      </c>
      <c r="M223" s="7">
        <v>-0.09</v>
      </c>
      <c r="N223" s="7">
        <v>32718.0</v>
      </c>
      <c r="O223" s="7">
        <v>1.0184121E7</v>
      </c>
      <c r="P223" s="7" t="s">
        <v>410</v>
      </c>
      <c r="Q223" s="7">
        <v>2506.94</v>
      </c>
      <c r="R223" s="3">
        <f t="shared" si="1"/>
        <v>2506.94</v>
      </c>
    </row>
    <row r="224" ht="22.5" customHeight="1">
      <c r="B224" s="7" t="s">
        <v>202</v>
      </c>
      <c r="C224" s="7">
        <v>3220.0</v>
      </c>
      <c r="D224" s="7">
        <v>12314.0</v>
      </c>
      <c r="E224" s="7">
        <v>1.3503377E7</v>
      </c>
      <c r="F224" s="7">
        <v>1.3314157E7</v>
      </c>
      <c r="G224" s="7">
        <v>3.3073839E7</v>
      </c>
      <c r="H224" s="7">
        <v>9.40202633E8</v>
      </c>
      <c r="I224" s="7">
        <v>552902.0</v>
      </c>
      <c r="J224" s="7">
        <v>464861.0</v>
      </c>
      <c r="K224" s="7">
        <v>88041.0</v>
      </c>
      <c r="L224" s="7">
        <v>36.12</v>
      </c>
      <c r="M224" s="7">
        <v>-0.08</v>
      </c>
      <c r="N224" s="7">
        <v>110894.0</v>
      </c>
      <c r="O224" s="7">
        <v>4893504.0</v>
      </c>
      <c r="P224" s="7" t="s">
        <v>409</v>
      </c>
      <c r="Q224" s="7">
        <v>2508.98</v>
      </c>
      <c r="R224" s="3">
        <f t="shared" si="1"/>
        <v>2508.98</v>
      </c>
    </row>
    <row r="225" ht="22.5" customHeight="1">
      <c r="B225" s="7" t="s">
        <v>242</v>
      </c>
      <c r="C225" s="7">
        <v>183200.0</v>
      </c>
      <c r="D225" s="7">
        <v>637206.0</v>
      </c>
      <c r="E225" s="7">
        <v>2579365.0</v>
      </c>
      <c r="F225" s="7">
        <v>2513829.0</v>
      </c>
      <c r="G225" s="7">
        <v>5.6406657E7</v>
      </c>
      <c r="H225" s="7">
        <v>1.4276447272E10</v>
      </c>
      <c r="I225" s="7">
        <v>111860.0</v>
      </c>
      <c r="J225" s="7">
        <v>104847.0</v>
      </c>
      <c r="K225" s="7">
        <v>7013.0</v>
      </c>
      <c r="L225" s="7">
        <v>67.46</v>
      </c>
      <c r="M225" s="7">
        <v>-0.11</v>
      </c>
      <c r="N225" s="7">
        <v>10718.0</v>
      </c>
      <c r="O225" s="7">
        <v>3724121.0</v>
      </c>
      <c r="P225" s="7" t="s">
        <v>409</v>
      </c>
      <c r="Q225" s="7">
        <v>2538.61</v>
      </c>
      <c r="R225" s="3">
        <f t="shared" si="1"/>
        <v>2538.61</v>
      </c>
    </row>
    <row r="226" ht="22.5" customHeight="1">
      <c r="B226" s="7" t="s">
        <v>268</v>
      </c>
      <c r="C226" s="7">
        <v>4128.0</v>
      </c>
      <c r="D226" s="7">
        <v>72567.0</v>
      </c>
      <c r="E226" s="7">
        <v>8811757.0</v>
      </c>
      <c r="F226" s="7">
        <v>8522239.0</v>
      </c>
      <c r="G226" s="7">
        <v>1.4249085E8</v>
      </c>
      <c r="H226" s="7">
        <v>1.267580064E9</v>
      </c>
      <c r="I226" s="7">
        <v>443428.0</v>
      </c>
      <c r="J226" s="7">
        <v>421120.0</v>
      </c>
      <c r="K226" s="7">
        <v>22308.0</v>
      </c>
      <c r="L226" s="7">
        <v>70.05</v>
      </c>
      <c r="M226" s="7">
        <v>-0.22</v>
      </c>
      <c r="N226" s="7">
        <v>32433.0</v>
      </c>
      <c r="O226" s="7">
        <v>1.9174498E7</v>
      </c>
      <c r="P226" s="7" t="s">
        <v>409</v>
      </c>
      <c r="Q226" s="7">
        <v>2547.98</v>
      </c>
      <c r="R226" s="3">
        <f t="shared" si="1"/>
        <v>2547.98</v>
      </c>
    </row>
    <row r="227" ht="22.5" customHeight="1">
      <c r="B227" s="7" t="s">
        <v>241</v>
      </c>
      <c r="C227" s="7">
        <v>189982.0</v>
      </c>
      <c r="D227" s="7">
        <v>384580.0</v>
      </c>
      <c r="E227" s="7">
        <v>1946252.0</v>
      </c>
      <c r="F227" s="7">
        <v>1908026.0</v>
      </c>
      <c r="G227" s="7">
        <v>4050307.0</v>
      </c>
      <c r="H227" s="7">
        <v>7.539397452E9</v>
      </c>
      <c r="I227" s="7">
        <v>95214.0</v>
      </c>
      <c r="J227" s="7">
        <v>87394.0</v>
      </c>
      <c r="K227" s="7">
        <v>7820.0</v>
      </c>
      <c r="L227" s="7">
        <v>30.39</v>
      </c>
      <c r="M227" s="7">
        <v>-0.08</v>
      </c>
      <c r="N227" s="7">
        <v>9745.0</v>
      </c>
      <c r="O227" s="7">
        <v>1253871.0</v>
      </c>
      <c r="P227" s="7" t="s">
        <v>410</v>
      </c>
      <c r="Q227" s="7">
        <v>2560.52</v>
      </c>
      <c r="R227" s="3">
        <f t="shared" si="1"/>
        <v>2560.52</v>
      </c>
    </row>
    <row r="228" ht="22.5" customHeight="1">
      <c r="B228" s="7" t="s">
        <v>249</v>
      </c>
      <c r="C228" s="7">
        <v>351053.0</v>
      </c>
      <c r="D228" s="7">
        <v>1039313.0</v>
      </c>
      <c r="E228" s="7">
        <v>621714.0</v>
      </c>
      <c r="F228" s="7">
        <v>611069.0</v>
      </c>
      <c r="G228" s="7">
        <v>3577224.0</v>
      </c>
      <c r="H228" s="7">
        <v>6.535718551E9</v>
      </c>
      <c r="I228" s="7">
        <v>36947.0</v>
      </c>
      <c r="J228" s="7">
        <v>32712.0</v>
      </c>
      <c r="K228" s="7">
        <v>4235.0</v>
      </c>
      <c r="L228" s="7">
        <v>51.95</v>
      </c>
      <c r="M228" s="7">
        <v>-0.1</v>
      </c>
      <c r="N228" s="7">
        <v>4985.0</v>
      </c>
      <c r="O228" s="7">
        <v>357795.0</v>
      </c>
      <c r="P228" s="7" t="s">
        <v>409</v>
      </c>
      <c r="Q228" s="7">
        <v>2580.57</v>
      </c>
      <c r="R228" s="3">
        <f t="shared" si="1"/>
        <v>2580.57</v>
      </c>
    </row>
    <row r="229" ht="22.5" customHeight="1">
      <c r="B229" s="7" t="s">
        <v>203</v>
      </c>
      <c r="C229" s="7">
        <v>172.0</v>
      </c>
      <c r="D229" s="7">
        <v>832.0</v>
      </c>
      <c r="E229" s="7">
        <v>1.5323996E7</v>
      </c>
      <c r="F229" s="7">
        <v>1.5252728E7</v>
      </c>
      <c r="G229" s="7">
        <v>1.828906E7</v>
      </c>
      <c r="H229" s="7">
        <v>3.56275107E8</v>
      </c>
      <c r="I229" s="7">
        <v>593780.0</v>
      </c>
      <c r="J229" s="7">
        <v>445127.0</v>
      </c>
      <c r="K229" s="7">
        <v>148653.0</v>
      </c>
      <c r="L229" s="7">
        <v>19.78</v>
      </c>
      <c r="M229" s="7">
        <v>-0.02</v>
      </c>
      <c r="N229" s="7">
        <v>175004.0</v>
      </c>
      <c r="O229" s="7">
        <v>4302990.0</v>
      </c>
      <c r="P229" s="7" t="s">
        <v>410</v>
      </c>
      <c r="Q229" s="7">
        <v>2589.17</v>
      </c>
      <c r="R229" s="3">
        <f t="shared" si="1"/>
        <v>2589.17</v>
      </c>
    </row>
    <row r="230" ht="22.5" customHeight="1">
      <c r="B230" s="7" t="s">
        <v>228</v>
      </c>
      <c r="C230" s="7">
        <v>3220.0</v>
      </c>
      <c r="D230" s="7">
        <v>12314.0</v>
      </c>
      <c r="E230" s="7">
        <v>1.5950926E7</v>
      </c>
      <c r="F230" s="7">
        <v>1.5733713E7</v>
      </c>
      <c r="G230" s="7">
        <v>3.6320624E7</v>
      </c>
      <c r="H230" s="7">
        <v>1.07317581E9</v>
      </c>
      <c r="I230" s="7">
        <v>578081.0</v>
      </c>
      <c r="J230" s="7">
        <v>463939.0</v>
      </c>
      <c r="K230" s="7">
        <v>114142.0</v>
      </c>
      <c r="L230" s="7">
        <v>36.25</v>
      </c>
      <c r="M230" s="7">
        <v>-0.07</v>
      </c>
      <c r="N230" s="7">
        <v>143975.0</v>
      </c>
      <c r="O230" s="7">
        <v>4890435.0</v>
      </c>
      <c r="P230" s="7" t="s">
        <v>409</v>
      </c>
      <c r="Q230" s="7">
        <v>2671.23</v>
      </c>
      <c r="R230" s="3">
        <f t="shared" si="1"/>
        <v>2671.23</v>
      </c>
    </row>
    <row r="231" ht="22.5" customHeight="1">
      <c r="B231" s="7" t="s">
        <v>240</v>
      </c>
      <c r="C231" s="7">
        <v>984.0</v>
      </c>
      <c r="D231" s="7">
        <v>22937.0</v>
      </c>
      <c r="E231" s="7">
        <v>5114051.0</v>
      </c>
      <c r="F231" s="7">
        <v>5075164.0</v>
      </c>
      <c r="G231" s="7">
        <v>8571320.0</v>
      </c>
      <c r="H231" s="7">
        <v>8.21312152E8</v>
      </c>
      <c r="I231" s="7">
        <v>262421.0</v>
      </c>
      <c r="J231" s="7">
        <v>221068.0</v>
      </c>
      <c r="K231" s="7">
        <v>41353.0</v>
      </c>
      <c r="L231" s="7">
        <v>26.52</v>
      </c>
      <c r="M231" s="7">
        <v>-0.06</v>
      </c>
      <c r="N231" s="7">
        <v>48641.0</v>
      </c>
      <c r="O231" s="7">
        <v>1877847.0</v>
      </c>
      <c r="P231" s="7" t="s">
        <v>409</v>
      </c>
      <c r="Q231" s="7">
        <v>2730.31</v>
      </c>
      <c r="R231" s="3">
        <f t="shared" si="1"/>
        <v>2730.31</v>
      </c>
    </row>
    <row r="232" ht="22.5" customHeight="1">
      <c r="B232" s="7" t="s">
        <v>217</v>
      </c>
      <c r="C232" s="7">
        <v>310.0</v>
      </c>
      <c r="D232" s="7">
        <v>1081.0</v>
      </c>
      <c r="E232" s="7">
        <v>9538736.0</v>
      </c>
      <c r="F232" s="7">
        <v>9370243.0</v>
      </c>
      <c r="G232" s="7">
        <v>1.5180468E7</v>
      </c>
      <c r="H232" s="7">
        <v>3.37840161E8</v>
      </c>
      <c r="I232" s="7">
        <v>447853.0</v>
      </c>
      <c r="J232" s="7">
        <v>399192.0</v>
      </c>
      <c r="K232" s="7">
        <v>48661.0</v>
      </c>
      <c r="L232" s="7">
        <v>18.04</v>
      </c>
      <c r="M232" s="7">
        <v>-0.06</v>
      </c>
      <c r="N232" s="7">
        <v>60054.0</v>
      </c>
      <c r="O232" s="7">
        <v>4430993.0</v>
      </c>
      <c r="P232" s="7" t="s">
        <v>410</v>
      </c>
      <c r="Q232" s="7">
        <v>2783.23</v>
      </c>
      <c r="R232" s="3">
        <f t="shared" si="1"/>
        <v>2783.23</v>
      </c>
    </row>
    <row r="233" ht="22.5" customHeight="1">
      <c r="B233" s="7" t="s">
        <v>253</v>
      </c>
      <c r="C233" s="7">
        <v>76006.0</v>
      </c>
      <c r="D233" s="7">
        <v>3192315.0</v>
      </c>
      <c r="E233" s="7">
        <v>1117993.0</v>
      </c>
      <c r="F233" s="7">
        <v>1088598.0</v>
      </c>
      <c r="G233" s="7">
        <v>1921753.0</v>
      </c>
      <c r="H233" s="7">
        <v>5.649682368E9</v>
      </c>
      <c r="I233" s="7">
        <v>35830.0</v>
      </c>
      <c r="J233" s="7">
        <v>28793.0</v>
      </c>
      <c r="K233" s="7">
        <v>7037.0</v>
      </c>
      <c r="L233" s="7">
        <v>25.01</v>
      </c>
      <c r="M233" s="7">
        <v>-0.07</v>
      </c>
      <c r="N233" s="7">
        <v>8985.0</v>
      </c>
      <c r="O233" s="7">
        <v>483957.0</v>
      </c>
      <c r="P233" s="7" t="s">
        <v>410</v>
      </c>
      <c r="Q233" s="7">
        <v>2860.94</v>
      </c>
      <c r="R233" s="3">
        <f t="shared" si="1"/>
        <v>2860.94</v>
      </c>
    </row>
    <row r="234" ht="22.5" customHeight="1">
      <c r="B234" s="7" t="s">
        <v>230</v>
      </c>
      <c r="C234" s="7">
        <v>3838.0</v>
      </c>
      <c r="D234" s="7">
        <v>15113.0</v>
      </c>
      <c r="E234" s="7">
        <v>6969017.0</v>
      </c>
      <c r="F234" s="7">
        <v>6867023.0</v>
      </c>
      <c r="G234" s="7">
        <v>1.4036658E7</v>
      </c>
      <c r="H234" s="7">
        <v>8.29464429E8</v>
      </c>
      <c r="I234" s="7">
        <v>413203.0</v>
      </c>
      <c r="J234" s="7">
        <v>382572.0</v>
      </c>
      <c r="K234" s="7">
        <v>30631.0</v>
      </c>
      <c r="L234" s="7">
        <v>38.01</v>
      </c>
      <c r="M234" s="7">
        <v>-0.08</v>
      </c>
      <c r="N234" s="7">
        <v>38356.0</v>
      </c>
      <c r="O234" s="7">
        <v>3329257.0</v>
      </c>
      <c r="P234" s="7" t="s">
        <v>409</v>
      </c>
      <c r="Q234" s="7">
        <v>2883.4</v>
      </c>
      <c r="R234" s="3">
        <f t="shared" si="1"/>
        <v>2883.4</v>
      </c>
    </row>
    <row r="235" ht="22.5" customHeight="1">
      <c r="B235" s="7" t="s">
        <v>250</v>
      </c>
      <c r="C235" s="7">
        <v>2187.0</v>
      </c>
      <c r="D235" s="7">
        <v>21364.0</v>
      </c>
      <c r="E235" s="7">
        <v>1.6259866E7</v>
      </c>
      <c r="F235" s="7">
        <v>1.6211961E7</v>
      </c>
      <c r="G235" s="7">
        <v>1.9085262E7</v>
      </c>
      <c r="H235" s="7">
        <v>1.014938276E9</v>
      </c>
      <c r="I235" s="7">
        <v>633304.0</v>
      </c>
      <c r="J235" s="7">
        <v>439772.0</v>
      </c>
      <c r="K235" s="7">
        <v>193532.0</v>
      </c>
      <c r="L235" s="7">
        <v>23.29</v>
      </c>
      <c r="M235" s="7">
        <v>-0.02</v>
      </c>
      <c r="N235" s="7">
        <v>221134.0</v>
      </c>
      <c r="O235" s="7">
        <v>4302540.0</v>
      </c>
      <c r="P235" s="7" t="s">
        <v>410</v>
      </c>
      <c r="Q235" s="7">
        <v>2944.23</v>
      </c>
      <c r="R235" s="3">
        <f t="shared" si="1"/>
        <v>2944.23</v>
      </c>
    </row>
    <row r="236" ht="22.5" customHeight="1">
      <c r="B236" s="7" t="s">
        <v>192</v>
      </c>
      <c r="C236" s="7">
        <v>3426.0</v>
      </c>
      <c r="D236" s="7">
        <v>20454.0</v>
      </c>
      <c r="E236" s="7">
        <v>2.1402475E7</v>
      </c>
      <c r="F236" s="7">
        <v>2.1402445E7</v>
      </c>
      <c r="G236" s="7">
        <v>2.1409592E7</v>
      </c>
      <c r="H236" s="7">
        <v>1.4284945497E10</v>
      </c>
      <c r="I236" s="7">
        <v>746607.0</v>
      </c>
      <c r="J236" s="7">
        <v>538925.0</v>
      </c>
      <c r="K236" s="7">
        <v>207682.0</v>
      </c>
      <c r="L236" s="7">
        <v>14.03</v>
      </c>
      <c r="M236" s="7">
        <v>0.0</v>
      </c>
      <c r="N236" s="7">
        <v>235596.0</v>
      </c>
      <c r="O236" s="7">
        <v>8914300.0</v>
      </c>
      <c r="P236" s="7" t="s">
        <v>409</v>
      </c>
      <c r="Q236" s="7">
        <v>2990.31</v>
      </c>
      <c r="R236" s="3">
        <f t="shared" si="1"/>
        <v>2990.31</v>
      </c>
    </row>
    <row r="237" ht="22.5" customHeight="1">
      <c r="B237" s="7" t="s">
        <v>265</v>
      </c>
      <c r="C237" s="7">
        <v>4128.0</v>
      </c>
      <c r="D237" s="7">
        <v>72564.0</v>
      </c>
      <c r="E237" s="7">
        <v>1.2086407E7</v>
      </c>
      <c r="F237" s="7">
        <v>1.1750859E7</v>
      </c>
      <c r="G237" s="7">
        <v>1.49176014E8</v>
      </c>
      <c r="H237" s="7">
        <v>1.640838761E9</v>
      </c>
      <c r="I237" s="7">
        <v>465185.0</v>
      </c>
      <c r="J237" s="7">
        <v>418072.0</v>
      </c>
      <c r="K237" s="7">
        <v>47113.0</v>
      </c>
      <c r="L237" s="7">
        <v>94.24</v>
      </c>
      <c r="M237" s="7">
        <v>-0.17</v>
      </c>
      <c r="N237" s="7">
        <v>67002.0</v>
      </c>
      <c r="O237" s="7">
        <v>1.8186574E7</v>
      </c>
      <c r="P237" s="7" t="s">
        <v>409</v>
      </c>
      <c r="Q237" s="7">
        <v>3002.98</v>
      </c>
      <c r="R237" s="3">
        <f t="shared" si="1"/>
        <v>3002.98</v>
      </c>
    </row>
    <row r="238" ht="22.5" customHeight="1">
      <c r="B238" s="7" t="s">
        <v>391</v>
      </c>
      <c r="C238" s="7">
        <v>3222736.0</v>
      </c>
      <c r="D238" s="7">
        <v>6910393.0</v>
      </c>
      <c r="E238" s="7">
        <v>2909054.0</v>
      </c>
      <c r="F238" s="7">
        <v>2578497.0</v>
      </c>
      <c r="G238" s="7">
        <v>4.0337847E7</v>
      </c>
      <c r="H238" s="7">
        <v>3.919223962E9</v>
      </c>
      <c r="I238" s="7">
        <v>63886.0</v>
      </c>
      <c r="J238" s="7">
        <v>51665.0</v>
      </c>
      <c r="K238" s="7">
        <v>12221.0</v>
      </c>
      <c r="L238" s="7">
        <v>556.89</v>
      </c>
      <c r="M238" s="7">
        <v>-0.09</v>
      </c>
      <c r="N238" s="7">
        <v>16648.0</v>
      </c>
      <c r="O238" s="7">
        <v>4480275.0</v>
      </c>
      <c r="P238" s="7" t="s">
        <v>409</v>
      </c>
      <c r="Q238" s="7">
        <v>3083.14</v>
      </c>
      <c r="R238" s="3">
        <f t="shared" si="1"/>
        <v>3083.14</v>
      </c>
    </row>
    <row r="239" ht="22.5" customHeight="1">
      <c r="B239" s="7" t="s">
        <v>258</v>
      </c>
      <c r="C239" s="7">
        <v>2309.0</v>
      </c>
      <c r="D239" s="7">
        <v>88734.0</v>
      </c>
      <c r="E239" s="7">
        <v>1.3603917E7</v>
      </c>
      <c r="F239" s="7">
        <v>1.3336939E7</v>
      </c>
      <c r="G239" s="7">
        <v>1.9729734E7</v>
      </c>
      <c r="H239" s="7">
        <v>1.169644739E9</v>
      </c>
      <c r="I239" s="7">
        <v>444707.0</v>
      </c>
      <c r="J239" s="7">
        <v>313451.0</v>
      </c>
      <c r="K239" s="7">
        <v>131256.0</v>
      </c>
      <c r="L239" s="7">
        <v>138.05</v>
      </c>
      <c r="M239" s="7">
        <v>-0.03</v>
      </c>
      <c r="N239" s="7">
        <v>152165.0</v>
      </c>
      <c r="O239" s="7">
        <v>5625735.0</v>
      </c>
      <c r="P239" s="7" t="s">
        <v>410</v>
      </c>
      <c r="Q239" s="7">
        <v>3171.74</v>
      </c>
      <c r="R239" s="3">
        <f t="shared" si="1"/>
        <v>3171.74</v>
      </c>
    </row>
    <row r="240" ht="22.5" customHeight="1">
      <c r="B240" s="7" t="s">
        <v>262</v>
      </c>
      <c r="C240" s="7">
        <v>4128.0</v>
      </c>
      <c r="D240" s="7">
        <v>72562.0</v>
      </c>
      <c r="E240" s="7">
        <v>1.0396026E7</v>
      </c>
      <c r="F240" s="7">
        <v>1.0087416E7</v>
      </c>
      <c r="G240" s="7">
        <v>1.41983563E8</v>
      </c>
      <c r="H240" s="7">
        <v>1.438575991E9</v>
      </c>
      <c r="I240" s="7">
        <v>450894.0</v>
      </c>
      <c r="J240" s="7">
        <v>415764.0</v>
      </c>
      <c r="K240" s="7">
        <v>35130.0</v>
      </c>
      <c r="L240" s="7">
        <v>85.81</v>
      </c>
      <c r="M240" s="7">
        <v>-0.19</v>
      </c>
      <c r="N240" s="7">
        <v>49943.0</v>
      </c>
      <c r="O240" s="7">
        <v>1.8199405E7</v>
      </c>
      <c r="P240" s="7" t="s">
        <v>409</v>
      </c>
      <c r="Q240" s="7">
        <v>3194.66</v>
      </c>
      <c r="R240" s="3">
        <f t="shared" si="1"/>
        <v>3194.66</v>
      </c>
    </row>
    <row r="241" ht="22.5" customHeight="1">
      <c r="B241" s="7" t="s">
        <v>143</v>
      </c>
      <c r="C241" s="7">
        <v>20965.0</v>
      </c>
      <c r="D241" s="7">
        <v>93387.0</v>
      </c>
      <c r="E241" s="7">
        <v>1.7153205E7</v>
      </c>
      <c r="F241" s="7">
        <v>1.6467122E7</v>
      </c>
      <c r="G241" s="7">
        <v>5.4492011E7</v>
      </c>
      <c r="H241" s="7">
        <v>2.731673605E9</v>
      </c>
      <c r="I241" s="7">
        <v>434334.0</v>
      </c>
      <c r="J241" s="7">
        <v>326508.0</v>
      </c>
      <c r="K241" s="7">
        <v>107826.0</v>
      </c>
      <c r="L241" s="7">
        <v>70.91</v>
      </c>
      <c r="M241" s="7">
        <v>-0.07</v>
      </c>
      <c r="N241" s="7">
        <v>139235.0</v>
      </c>
      <c r="O241" s="7">
        <v>1.0022117E7</v>
      </c>
      <c r="P241" s="7" t="s">
        <v>409</v>
      </c>
      <c r="Q241" s="7">
        <v>3214.73</v>
      </c>
      <c r="R241" s="3">
        <f t="shared" si="1"/>
        <v>3214.73</v>
      </c>
    </row>
    <row r="242" ht="22.5" customHeight="1">
      <c r="B242" s="7" t="s">
        <v>205</v>
      </c>
      <c r="C242" s="7">
        <v>2187.0</v>
      </c>
      <c r="D242" s="7">
        <v>21358.0</v>
      </c>
      <c r="E242" s="7">
        <v>1.7650332E7</v>
      </c>
      <c r="F242" s="7">
        <v>1.7597242E7</v>
      </c>
      <c r="G242" s="7">
        <v>2.0964437E7</v>
      </c>
      <c r="H242" s="7">
        <v>1.0884278E9</v>
      </c>
      <c r="I242" s="7">
        <v>729036.0</v>
      </c>
      <c r="J242" s="7">
        <v>536093.0</v>
      </c>
      <c r="K242" s="7">
        <v>192943.0</v>
      </c>
      <c r="L242" s="7">
        <v>23.18</v>
      </c>
      <c r="M242" s="7">
        <v>-0.02</v>
      </c>
      <c r="N242" s="7">
        <v>220977.0</v>
      </c>
      <c r="O242" s="7">
        <v>5311680.0</v>
      </c>
      <c r="P242" s="7" t="s">
        <v>409</v>
      </c>
      <c r="Q242" s="7">
        <v>3228.38</v>
      </c>
      <c r="R242" s="3">
        <f t="shared" si="1"/>
        <v>3228.38</v>
      </c>
    </row>
    <row r="243" ht="22.5" customHeight="1">
      <c r="B243" s="7" t="s">
        <v>264</v>
      </c>
      <c r="C243" s="7">
        <v>4288.0</v>
      </c>
      <c r="D243" s="7">
        <v>76700.0</v>
      </c>
      <c r="E243" s="7">
        <v>1.2716107E7</v>
      </c>
      <c r="F243" s="7">
        <v>1.236419E7</v>
      </c>
      <c r="G243" s="7">
        <v>1.74857326E8</v>
      </c>
      <c r="H243" s="7">
        <v>1.800278405E9</v>
      </c>
      <c r="I243" s="7">
        <v>464921.0</v>
      </c>
      <c r="J243" s="7">
        <v>414781.0</v>
      </c>
      <c r="K243" s="7">
        <v>50140.0</v>
      </c>
      <c r="L243" s="7">
        <v>99.05</v>
      </c>
      <c r="M243" s="7">
        <v>-0.17</v>
      </c>
      <c r="N243" s="7">
        <v>71978.0</v>
      </c>
      <c r="O243" s="7">
        <v>2.2163671E7</v>
      </c>
      <c r="P243" s="7" t="s">
        <v>409</v>
      </c>
      <c r="Q243" s="7">
        <v>3260.34</v>
      </c>
      <c r="R243" s="3">
        <f t="shared" si="1"/>
        <v>3260.34</v>
      </c>
    </row>
    <row r="244" ht="22.5" customHeight="1">
      <c r="B244" s="7" t="s">
        <v>234</v>
      </c>
      <c r="C244" s="7">
        <v>2720.0</v>
      </c>
      <c r="D244" s="7">
        <v>11392.0</v>
      </c>
      <c r="E244" s="7">
        <v>7440286.0</v>
      </c>
      <c r="F244" s="7">
        <v>7331382.0</v>
      </c>
      <c r="G244" s="7">
        <v>1.5243282E7</v>
      </c>
      <c r="H244" s="7">
        <v>8.83704071E8</v>
      </c>
      <c r="I244" s="7">
        <v>459262.0</v>
      </c>
      <c r="J244" s="7">
        <v>428914.0</v>
      </c>
      <c r="K244" s="7">
        <v>30348.0</v>
      </c>
      <c r="L244" s="7">
        <v>38.28</v>
      </c>
      <c r="M244" s="7">
        <v>-0.09</v>
      </c>
      <c r="N244" s="7">
        <v>38087.0</v>
      </c>
      <c r="O244" s="7">
        <v>3685533.0</v>
      </c>
      <c r="P244" s="7" t="s">
        <v>409</v>
      </c>
      <c r="Q244" s="7">
        <v>3296.99</v>
      </c>
      <c r="R244" s="3">
        <f t="shared" si="1"/>
        <v>3296.99</v>
      </c>
    </row>
    <row r="245" ht="22.5" customHeight="1">
      <c r="B245" s="7" t="s">
        <v>312</v>
      </c>
      <c r="C245" s="7">
        <v>2197.0</v>
      </c>
      <c r="D245" s="7">
        <v>26977.0</v>
      </c>
      <c r="E245" s="7">
        <v>2.7323016E7</v>
      </c>
      <c r="F245" s="7">
        <v>2.7176242E7</v>
      </c>
      <c r="G245" s="7">
        <v>3.0355335E7</v>
      </c>
      <c r="H245" s="7">
        <v>3.27580415E8</v>
      </c>
      <c r="I245" s="7">
        <v>1235405.0</v>
      </c>
      <c r="J245" s="7">
        <v>1023529.0</v>
      </c>
      <c r="K245" s="7">
        <v>211876.0</v>
      </c>
      <c r="L245" s="7">
        <v>48.48</v>
      </c>
      <c r="M245" s="7">
        <v>-0.02</v>
      </c>
      <c r="N245" s="7">
        <v>238807.0</v>
      </c>
      <c r="O245" s="7">
        <v>1.3824649E7</v>
      </c>
      <c r="P245" s="7" t="s">
        <v>410</v>
      </c>
      <c r="Q245" s="7">
        <v>3360.47</v>
      </c>
      <c r="R245" s="3">
        <f t="shared" si="1"/>
        <v>3360.47</v>
      </c>
    </row>
    <row r="246" ht="22.5" customHeight="1">
      <c r="B246" s="7" t="s">
        <v>314</v>
      </c>
      <c r="C246" s="7">
        <v>370944.0</v>
      </c>
      <c r="D246" s="7">
        <v>1254550.0</v>
      </c>
      <c r="E246" s="7">
        <v>3079731.0</v>
      </c>
      <c r="F246" s="7">
        <v>3000474.0</v>
      </c>
      <c r="G246" s="7">
        <v>8.627223E7</v>
      </c>
      <c r="H246" s="7">
        <v>2.6900926894E10</v>
      </c>
      <c r="I246" s="7">
        <v>119802.0</v>
      </c>
      <c r="J246" s="7">
        <v>110391.0</v>
      </c>
      <c r="K246" s="7">
        <v>9411.0</v>
      </c>
      <c r="L246" s="7">
        <v>71.94</v>
      </c>
      <c r="M246" s="7">
        <v>-0.11</v>
      </c>
      <c r="N246" s="7">
        <v>14663.0</v>
      </c>
      <c r="O246" s="7">
        <v>5114298.0</v>
      </c>
      <c r="P246" s="7" t="s">
        <v>409</v>
      </c>
      <c r="Q246" s="7">
        <v>3429.14</v>
      </c>
      <c r="R246" s="3">
        <f t="shared" si="1"/>
        <v>3429.14</v>
      </c>
    </row>
    <row r="247" ht="22.5" customHeight="1">
      <c r="B247" s="7" t="s">
        <v>266</v>
      </c>
      <c r="C247" s="7">
        <v>4128.0</v>
      </c>
      <c r="D247" s="7">
        <v>72571.0</v>
      </c>
      <c r="E247" s="7">
        <v>1.0789974E7</v>
      </c>
      <c r="F247" s="7">
        <v>1.0469789E7</v>
      </c>
      <c r="G247" s="7">
        <v>1.57796084E8</v>
      </c>
      <c r="H247" s="7">
        <v>1.540660003E9</v>
      </c>
      <c r="I247" s="7">
        <v>459849.0</v>
      </c>
      <c r="J247" s="7">
        <v>422272.0</v>
      </c>
      <c r="K247" s="7">
        <v>37577.0</v>
      </c>
      <c r="L247" s="7">
        <v>87.84</v>
      </c>
      <c r="M247" s="7">
        <v>-0.19</v>
      </c>
      <c r="N247" s="7">
        <v>53588.0</v>
      </c>
      <c r="O247" s="7">
        <v>2.0237114E7</v>
      </c>
      <c r="P247" s="7" t="s">
        <v>409</v>
      </c>
      <c r="Q247" s="7">
        <v>3432.05</v>
      </c>
      <c r="R247" s="3">
        <f t="shared" si="1"/>
        <v>3432.05</v>
      </c>
    </row>
    <row r="248" ht="22.5" customHeight="1">
      <c r="B248" s="7" t="s">
        <v>155</v>
      </c>
      <c r="C248" s="7">
        <v>69644.0</v>
      </c>
      <c r="D248" s="7">
        <v>305432.0</v>
      </c>
      <c r="E248" s="7">
        <v>8496656.0</v>
      </c>
      <c r="F248" s="7">
        <v>8302409.0</v>
      </c>
      <c r="G248" s="7">
        <v>2.05475E7</v>
      </c>
      <c r="H248" s="7">
        <v>2.455437575E9</v>
      </c>
      <c r="I248" s="7">
        <v>416407.0</v>
      </c>
      <c r="J248" s="7">
        <v>389182.0</v>
      </c>
      <c r="K248" s="7">
        <v>27225.0</v>
      </c>
      <c r="L248" s="7">
        <v>47.72</v>
      </c>
      <c r="M248" s="7">
        <v>-0.1</v>
      </c>
      <c r="N248" s="7">
        <v>36063.0</v>
      </c>
      <c r="O248" s="7">
        <v>5369434.0</v>
      </c>
      <c r="P248" s="7" t="s">
        <v>409</v>
      </c>
      <c r="Q248" s="7">
        <v>3459.93</v>
      </c>
      <c r="R248" s="3">
        <f t="shared" si="1"/>
        <v>3459.93</v>
      </c>
    </row>
    <row r="249" ht="22.5" customHeight="1">
      <c r="B249" s="7" t="s">
        <v>227</v>
      </c>
      <c r="C249" s="7">
        <v>895721.0</v>
      </c>
      <c r="D249" s="7">
        <v>1.768805E7</v>
      </c>
      <c r="E249" s="7">
        <v>3522898.0</v>
      </c>
      <c r="F249" s="7">
        <v>3432716.0</v>
      </c>
      <c r="G249" s="7">
        <v>9590602.0</v>
      </c>
      <c r="H249" s="7">
        <v>4.499314213E9</v>
      </c>
      <c r="I249" s="7">
        <v>118845.0</v>
      </c>
      <c r="J249" s="7">
        <v>101126.0</v>
      </c>
      <c r="K249" s="7">
        <v>17719.0</v>
      </c>
      <c r="L249" s="7">
        <v>22.87</v>
      </c>
      <c r="M249" s="7">
        <v>-0.1</v>
      </c>
      <c r="N249" s="7">
        <v>24095.0</v>
      </c>
      <c r="O249" s="7">
        <v>1749920.0</v>
      </c>
      <c r="P249" s="7" t="s">
        <v>409</v>
      </c>
      <c r="Q249" s="7">
        <v>3585.92</v>
      </c>
      <c r="R249" s="3">
        <f t="shared" si="1"/>
        <v>3585.92</v>
      </c>
    </row>
    <row r="250" ht="22.5" customHeight="1">
      <c r="B250" s="7" t="s">
        <v>324</v>
      </c>
      <c r="C250" s="7">
        <v>81119.0</v>
      </c>
      <c r="D250" s="7">
        <v>804926.0</v>
      </c>
      <c r="E250" s="7">
        <v>5530416.0</v>
      </c>
      <c r="F250" s="7">
        <v>3909547.0</v>
      </c>
      <c r="G250" s="7">
        <v>2.33429744E8</v>
      </c>
      <c r="H250" s="7">
        <v>7.575935692E9</v>
      </c>
      <c r="I250" s="7">
        <v>138951.0</v>
      </c>
      <c r="J250" s="7">
        <v>130317.0</v>
      </c>
      <c r="K250" s="7">
        <v>8634.0</v>
      </c>
      <c r="L250" s="7">
        <v>437.47</v>
      </c>
      <c r="M250" s="7">
        <v>-0.18</v>
      </c>
      <c r="N250" s="7">
        <v>16893.0</v>
      </c>
      <c r="O250" s="7">
        <v>2.7077812E7</v>
      </c>
      <c r="P250" s="7" t="s">
        <v>409</v>
      </c>
      <c r="Q250" s="7">
        <v>3595.61</v>
      </c>
      <c r="R250" s="3">
        <f t="shared" si="1"/>
        <v>3595.61</v>
      </c>
    </row>
    <row r="251" ht="22.5" customHeight="1">
      <c r="B251" s="7" t="s">
        <v>387</v>
      </c>
      <c r="C251" s="7">
        <v>103136.0</v>
      </c>
      <c r="D251" s="7">
        <v>4673415.0</v>
      </c>
      <c r="E251" s="7">
        <v>1361471.0</v>
      </c>
      <c r="F251" s="7">
        <v>1321452.0</v>
      </c>
      <c r="G251" s="7">
        <v>2535580.0</v>
      </c>
      <c r="H251" s="7">
        <v>6.772927653E9</v>
      </c>
      <c r="I251" s="7">
        <v>50880.0</v>
      </c>
      <c r="J251" s="7">
        <v>43909.0</v>
      </c>
      <c r="K251" s="7">
        <v>6971.0</v>
      </c>
      <c r="L251" s="7">
        <v>25.63</v>
      </c>
      <c r="M251" s="7">
        <v>-0.08</v>
      </c>
      <c r="N251" s="7">
        <v>8922.0</v>
      </c>
      <c r="O251" s="7">
        <v>764353.0</v>
      </c>
      <c r="P251" s="7" t="s">
        <v>410</v>
      </c>
      <c r="Q251" s="7">
        <v>3658.13</v>
      </c>
      <c r="R251" s="3">
        <f t="shared" si="1"/>
        <v>3658.13</v>
      </c>
    </row>
    <row r="252" ht="22.5" customHeight="1">
      <c r="B252" s="7" t="s">
        <v>245</v>
      </c>
      <c r="C252" s="7">
        <v>400.0</v>
      </c>
      <c r="D252" s="7">
        <v>30664.0</v>
      </c>
      <c r="E252" s="7">
        <v>1.4335805E7</v>
      </c>
      <c r="F252" s="7">
        <v>1.3943563E7</v>
      </c>
      <c r="G252" s="7">
        <v>1.8395849E7</v>
      </c>
      <c r="H252" s="7">
        <v>3.85357059E8</v>
      </c>
      <c r="I252" s="7">
        <v>362017.0</v>
      </c>
      <c r="J252" s="7">
        <v>246720.0</v>
      </c>
      <c r="K252" s="7">
        <v>115297.0</v>
      </c>
      <c r="L252" s="7">
        <v>78.08</v>
      </c>
      <c r="M252" s="7">
        <v>-0.05</v>
      </c>
      <c r="N252" s="7">
        <v>139401.0</v>
      </c>
      <c r="O252" s="7">
        <v>5435512.0</v>
      </c>
      <c r="P252" s="7" t="s">
        <v>409</v>
      </c>
      <c r="Q252" s="7">
        <v>3689.67</v>
      </c>
      <c r="R252" s="3">
        <f t="shared" si="1"/>
        <v>3689.67</v>
      </c>
    </row>
    <row r="253" ht="22.5" customHeight="1">
      <c r="B253" s="7" t="s">
        <v>246</v>
      </c>
      <c r="C253" s="7">
        <v>2365527.0</v>
      </c>
      <c r="D253" s="7">
        <v>1.050804E7</v>
      </c>
      <c r="E253" s="7">
        <v>982197.0</v>
      </c>
      <c r="F253" s="7">
        <v>970766.0</v>
      </c>
      <c r="G253" s="7">
        <v>1655621.0</v>
      </c>
      <c r="H253" s="7">
        <v>4.213296333E9</v>
      </c>
      <c r="I253" s="7">
        <v>33984.0</v>
      </c>
      <c r="J253" s="7">
        <v>26421.0</v>
      </c>
      <c r="K253" s="7">
        <v>7563.0</v>
      </c>
      <c r="L253" s="7">
        <v>15.69</v>
      </c>
      <c r="M253" s="7">
        <v>-0.06</v>
      </c>
      <c r="N253" s="7">
        <v>9363.0</v>
      </c>
      <c r="O253" s="7">
        <v>301003.0</v>
      </c>
      <c r="P253" s="7" t="s">
        <v>410</v>
      </c>
      <c r="Q253" s="7">
        <v>3707.64</v>
      </c>
      <c r="R253" s="3">
        <f t="shared" si="1"/>
        <v>3707.64</v>
      </c>
    </row>
    <row r="254" ht="22.5" customHeight="1">
      <c r="B254" s="7" t="s">
        <v>211</v>
      </c>
      <c r="C254" s="7">
        <v>1046.0</v>
      </c>
      <c r="D254" s="7">
        <v>22804.0</v>
      </c>
      <c r="E254" s="7">
        <v>8367779.0</v>
      </c>
      <c r="F254" s="7">
        <v>8306899.0</v>
      </c>
      <c r="G254" s="7">
        <v>1.5667013E7</v>
      </c>
      <c r="H254" s="7">
        <v>1.168511241E9</v>
      </c>
      <c r="I254" s="7">
        <v>563908.0</v>
      </c>
      <c r="J254" s="7">
        <v>521489.0</v>
      </c>
      <c r="K254" s="7">
        <v>42419.0</v>
      </c>
      <c r="L254" s="7">
        <v>28.54</v>
      </c>
      <c r="M254" s="7">
        <v>-0.07</v>
      </c>
      <c r="N254" s="7">
        <v>50247.0</v>
      </c>
      <c r="O254" s="7">
        <v>4180795.0</v>
      </c>
      <c r="P254" s="7" t="s">
        <v>409</v>
      </c>
      <c r="Q254" s="7">
        <v>3848.96</v>
      </c>
      <c r="R254" s="3">
        <f t="shared" si="1"/>
        <v>3848.96</v>
      </c>
    </row>
    <row r="255" ht="22.5" customHeight="1">
      <c r="B255" s="7" t="s">
        <v>156</v>
      </c>
      <c r="C255" s="7">
        <v>752.0</v>
      </c>
      <c r="D255" s="7">
        <v>27325.0</v>
      </c>
      <c r="E255" s="7">
        <v>2.305215E7</v>
      </c>
      <c r="F255" s="7">
        <v>2.2452221E7</v>
      </c>
      <c r="G255" s="7">
        <v>4.2709932E7</v>
      </c>
      <c r="H255" s="7">
        <v>1.205895922E9</v>
      </c>
      <c r="I255" s="7">
        <v>903357.0</v>
      </c>
      <c r="J255" s="7">
        <v>784887.0</v>
      </c>
      <c r="K255" s="7">
        <v>118470.0</v>
      </c>
      <c r="L255" s="7">
        <v>43.17</v>
      </c>
      <c r="M255" s="7">
        <v>-0.07</v>
      </c>
      <c r="N255" s="7">
        <v>149434.0</v>
      </c>
      <c r="O255" s="7">
        <v>1.107424E7</v>
      </c>
      <c r="P255" s="7" t="s">
        <v>409</v>
      </c>
      <c r="Q255" s="7">
        <v>3889.23</v>
      </c>
      <c r="R255" s="3">
        <f t="shared" si="1"/>
        <v>3889.23</v>
      </c>
    </row>
    <row r="256" ht="22.5" customHeight="1">
      <c r="B256" s="7" t="s">
        <v>221</v>
      </c>
      <c r="C256" s="7">
        <v>2425.0</v>
      </c>
      <c r="D256" s="7">
        <v>23064.0</v>
      </c>
      <c r="E256" s="7">
        <v>2.0240553E7</v>
      </c>
      <c r="F256" s="7">
        <v>2.0217738E7</v>
      </c>
      <c r="G256" s="7">
        <v>2.1504224E7</v>
      </c>
      <c r="H256" s="7">
        <v>2.008506546E9</v>
      </c>
      <c r="I256" s="7">
        <v>860744.0</v>
      </c>
      <c r="J256" s="7">
        <v>646726.0</v>
      </c>
      <c r="K256" s="7">
        <v>214018.0</v>
      </c>
      <c r="L256" s="7">
        <v>19.63</v>
      </c>
      <c r="M256" s="7">
        <v>-0.01</v>
      </c>
      <c r="N256" s="7">
        <v>241237.0</v>
      </c>
      <c r="O256" s="7">
        <v>7610324.0</v>
      </c>
      <c r="P256" s="7" t="s">
        <v>410</v>
      </c>
      <c r="Q256" s="7">
        <v>3912.88</v>
      </c>
      <c r="R256" s="3">
        <f t="shared" si="1"/>
        <v>3912.88</v>
      </c>
    </row>
    <row r="257" ht="22.5" customHeight="1">
      <c r="B257" s="7" t="s">
        <v>229</v>
      </c>
      <c r="C257" s="7">
        <v>2722.0</v>
      </c>
      <c r="D257" s="7">
        <v>11400.0</v>
      </c>
      <c r="E257" s="7">
        <v>8794408.0</v>
      </c>
      <c r="F257" s="7">
        <v>8670293.0</v>
      </c>
      <c r="G257" s="7">
        <v>1.7289986E7</v>
      </c>
      <c r="H257" s="7">
        <v>1.022362579E9</v>
      </c>
      <c r="I257" s="7">
        <v>527278.0</v>
      </c>
      <c r="J257" s="7">
        <v>489806.0</v>
      </c>
      <c r="K257" s="7">
        <v>37472.0</v>
      </c>
      <c r="L257" s="7">
        <v>38.38</v>
      </c>
      <c r="M257" s="7">
        <v>-0.08</v>
      </c>
      <c r="N257" s="7">
        <v>46903.0</v>
      </c>
      <c r="O257" s="7">
        <v>4280742.0</v>
      </c>
      <c r="P257" s="7" t="s">
        <v>409</v>
      </c>
      <c r="Q257" s="7">
        <v>4127.58</v>
      </c>
      <c r="R257" s="3">
        <f t="shared" si="1"/>
        <v>4127.58</v>
      </c>
    </row>
    <row r="258" ht="22.5" customHeight="1">
      <c r="B258" s="7" t="s">
        <v>256</v>
      </c>
      <c r="C258" s="7">
        <v>63268.0</v>
      </c>
      <c r="D258" s="7">
        <v>374457.0</v>
      </c>
      <c r="E258" s="7">
        <v>1.1571051E7</v>
      </c>
      <c r="F258" s="7">
        <v>1.1318306E7</v>
      </c>
      <c r="G258" s="7">
        <v>3.9487608E7</v>
      </c>
      <c r="H258" s="7">
        <v>3.251898531E9</v>
      </c>
      <c r="I258" s="7">
        <v>551977.0</v>
      </c>
      <c r="J258" s="7">
        <v>501405.0</v>
      </c>
      <c r="K258" s="7">
        <v>50572.0</v>
      </c>
      <c r="L258" s="7">
        <v>57.68</v>
      </c>
      <c r="M258" s="7">
        <v>-0.11</v>
      </c>
      <c r="N258" s="7">
        <v>68539.0</v>
      </c>
      <c r="O258" s="7">
        <v>5971662.0</v>
      </c>
      <c r="P258" s="7" t="s">
        <v>409</v>
      </c>
      <c r="Q258" s="7">
        <v>4213.87</v>
      </c>
      <c r="R258" s="3">
        <f t="shared" si="1"/>
        <v>4213.87</v>
      </c>
    </row>
    <row r="259" ht="22.5" customHeight="1">
      <c r="B259" s="7" t="s">
        <v>146</v>
      </c>
      <c r="C259" s="7">
        <v>520.0</v>
      </c>
      <c r="D259" s="7">
        <v>5763.0</v>
      </c>
      <c r="E259" s="7">
        <v>1.0453927E7</v>
      </c>
      <c r="F259" s="7">
        <v>1.0433377E7</v>
      </c>
      <c r="G259" s="7">
        <v>1.3228296E7</v>
      </c>
      <c r="H259" s="7">
        <v>4.06713995E8</v>
      </c>
      <c r="I259" s="7">
        <v>545654.0</v>
      </c>
      <c r="J259" s="7">
        <v>463041.0</v>
      </c>
      <c r="K259" s="7">
        <v>82613.0</v>
      </c>
      <c r="L259" s="7">
        <v>26.14</v>
      </c>
      <c r="M259" s="7">
        <v>-0.03</v>
      </c>
      <c r="N259" s="7">
        <v>95677.0</v>
      </c>
      <c r="O259" s="7">
        <v>4221994.0</v>
      </c>
      <c r="P259" s="7" t="s">
        <v>409</v>
      </c>
      <c r="Q259" s="7">
        <v>4301.7</v>
      </c>
      <c r="R259" s="3">
        <f t="shared" si="1"/>
        <v>4301.7</v>
      </c>
    </row>
    <row r="260" ht="22.5" customHeight="1">
      <c r="B260" s="7" t="s">
        <v>276</v>
      </c>
      <c r="C260" s="7">
        <v>293123.0</v>
      </c>
      <c r="D260" s="7">
        <v>943087.0</v>
      </c>
      <c r="E260" s="7">
        <v>7122494.0</v>
      </c>
      <c r="F260" s="7">
        <v>6915526.0</v>
      </c>
      <c r="G260" s="7">
        <v>4.555581E7</v>
      </c>
      <c r="H260" s="7">
        <v>1.268141671E10</v>
      </c>
      <c r="I260" s="7">
        <v>323097.0</v>
      </c>
      <c r="J260" s="7">
        <v>293255.0</v>
      </c>
      <c r="K260" s="7">
        <v>29842.0</v>
      </c>
      <c r="L260" s="7">
        <v>60.07</v>
      </c>
      <c r="M260" s="7">
        <v>-0.16</v>
      </c>
      <c r="N260" s="7">
        <v>37580.0</v>
      </c>
      <c r="O260" s="7">
        <v>1.1472168E7</v>
      </c>
      <c r="P260" s="7" t="s">
        <v>409</v>
      </c>
      <c r="Q260" s="7">
        <v>4423.97</v>
      </c>
      <c r="R260" s="3">
        <f t="shared" si="1"/>
        <v>4423.97</v>
      </c>
    </row>
    <row r="261" ht="22.5" customHeight="1">
      <c r="B261" s="7" t="s">
        <v>225</v>
      </c>
      <c r="C261" s="7">
        <v>2721.0</v>
      </c>
      <c r="D261" s="7">
        <v>11396.0</v>
      </c>
      <c r="E261" s="7">
        <v>8178346.0</v>
      </c>
      <c r="F261" s="7">
        <v>8058542.0</v>
      </c>
      <c r="G261" s="7">
        <v>1.657759E7</v>
      </c>
      <c r="H261" s="7">
        <v>9.68226909E8</v>
      </c>
      <c r="I261" s="7">
        <v>524135.0</v>
      </c>
      <c r="J261" s="7">
        <v>493928.0</v>
      </c>
      <c r="K261" s="7">
        <v>30207.0</v>
      </c>
      <c r="L261" s="7">
        <v>38.44</v>
      </c>
      <c r="M261" s="7">
        <v>-0.09</v>
      </c>
      <c r="N261" s="7">
        <v>37949.0</v>
      </c>
      <c r="O261" s="7">
        <v>4246562.0</v>
      </c>
      <c r="P261" s="7" t="s">
        <v>409</v>
      </c>
      <c r="Q261" s="7">
        <v>4510.09</v>
      </c>
      <c r="R261" s="3">
        <f t="shared" si="1"/>
        <v>4510.09</v>
      </c>
    </row>
    <row r="262" ht="22.5" customHeight="1">
      <c r="B262" s="7" t="s">
        <v>392</v>
      </c>
      <c r="C262" s="7">
        <v>3515712.0</v>
      </c>
      <c r="D262" s="7">
        <v>7543854.0</v>
      </c>
      <c r="E262" s="7">
        <v>3646504.0</v>
      </c>
      <c r="F262" s="7">
        <v>3241159.0</v>
      </c>
      <c r="G262" s="7">
        <v>5.0291035E7</v>
      </c>
      <c r="H262" s="7">
        <v>4.860896251E9</v>
      </c>
      <c r="I262" s="7">
        <v>70257.0</v>
      </c>
      <c r="J262" s="7">
        <v>52525.0</v>
      </c>
      <c r="K262" s="7">
        <v>17732.0</v>
      </c>
      <c r="L262" s="7">
        <v>586.95</v>
      </c>
      <c r="M262" s="7">
        <v>-0.08</v>
      </c>
      <c r="N262" s="7">
        <v>24302.0</v>
      </c>
      <c r="O262" s="7">
        <v>5004882.0</v>
      </c>
      <c r="P262" s="7" t="s">
        <v>409</v>
      </c>
      <c r="Q262" s="7">
        <v>4690.19</v>
      </c>
      <c r="R262" s="3">
        <f t="shared" si="1"/>
        <v>4690.19</v>
      </c>
    </row>
    <row r="263" ht="22.5" customHeight="1">
      <c r="B263" s="7" t="s">
        <v>34</v>
      </c>
      <c r="C263" s="7">
        <v>17349.0</v>
      </c>
      <c r="D263" s="7">
        <v>51071.0</v>
      </c>
      <c r="E263" s="7">
        <v>2.3207429E7</v>
      </c>
      <c r="F263" s="7">
        <v>2.3019742E7</v>
      </c>
      <c r="G263" s="7">
        <v>5.4415989E7</v>
      </c>
      <c r="H263" s="7">
        <v>3.818562805E9</v>
      </c>
      <c r="I263" s="7">
        <v>1078722.0</v>
      </c>
      <c r="J263" s="7">
        <v>908163.0</v>
      </c>
      <c r="K263" s="7">
        <v>170559.0</v>
      </c>
      <c r="L263" s="7">
        <v>42.22</v>
      </c>
      <c r="M263" s="7">
        <v>-0.06</v>
      </c>
      <c r="N263" s="7">
        <v>199589.0</v>
      </c>
      <c r="O263" s="7">
        <v>1.1402561E7</v>
      </c>
      <c r="P263" s="7" t="s">
        <v>410</v>
      </c>
      <c r="Q263" s="7">
        <v>4794.21</v>
      </c>
      <c r="R263" s="3">
        <f t="shared" si="1"/>
        <v>4794.21</v>
      </c>
    </row>
    <row r="264" ht="22.5" customHeight="1">
      <c r="B264" s="7" t="s">
        <v>385</v>
      </c>
      <c r="C264" s="7">
        <v>51138.0</v>
      </c>
      <c r="D264" s="7">
        <v>153348.0</v>
      </c>
      <c r="E264" s="7">
        <v>2.3814798E7</v>
      </c>
      <c r="F264" s="7">
        <v>2.3477966E7</v>
      </c>
      <c r="G264" s="7">
        <v>3.8605699E7</v>
      </c>
      <c r="H264" s="7">
        <v>2.526679782E9</v>
      </c>
      <c r="I264" s="7">
        <v>1041443.0</v>
      </c>
      <c r="J264" s="7">
        <v>907071.0</v>
      </c>
      <c r="K264" s="7">
        <v>134372.0</v>
      </c>
      <c r="L264" s="7">
        <v>24.87</v>
      </c>
      <c r="M264" s="7">
        <v>-0.06</v>
      </c>
      <c r="N264" s="7">
        <v>164692.0</v>
      </c>
      <c r="O264" s="7">
        <v>1.1082543E7</v>
      </c>
      <c r="P264" s="7" t="s">
        <v>410</v>
      </c>
      <c r="Q264" s="7">
        <v>4861.6</v>
      </c>
      <c r="R264" s="3">
        <f t="shared" si="1"/>
        <v>4861.6</v>
      </c>
    </row>
    <row r="265" ht="22.5" customHeight="1">
      <c r="B265" s="7" t="s">
        <v>251</v>
      </c>
      <c r="C265" s="7">
        <v>772.0</v>
      </c>
      <c r="D265" s="7">
        <v>9601.0</v>
      </c>
      <c r="E265" s="7">
        <v>1.3354654E7</v>
      </c>
      <c r="F265" s="7">
        <v>1.331666E7</v>
      </c>
      <c r="G265" s="7">
        <v>1.5415911E7</v>
      </c>
      <c r="H265" s="7">
        <v>1.472949506E9</v>
      </c>
      <c r="I265" s="7">
        <v>462379.0</v>
      </c>
      <c r="J265" s="7">
        <v>334345.0</v>
      </c>
      <c r="K265" s="7">
        <v>128034.0</v>
      </c>
      <c r="L265" s="7">
        <v>24.34</v>
      </c>
      <c r="M265" s="7">
        <v>-0.02</v>
      </c>
      <c r="N265" s="7">
        <v>148709.0</v>
      </c>
      <c r="O265" s="7">
        <v>4573080.0</v>
      </c>
      <c r="P265" s="7" t="s">
        <v>410</v>
      </c>
      <c r="Q265" s="7">
        <v>4883.14</v>
      </c>
      <c r="R265" s="3">
        <f t="shared" si="1"/>
        <v>4883.14</v>
      </c>
    </row>
    <row r="266" ht="22.5" customHeight="1">
      <c r="B266" s="7" t="s">
        <v>267</v>
      </c>
      <c r="C266" s="7">
        <v>4288.0</v>
      </c>
      <c r="D266" s="7">
        <v>76698.0</v>
      </c>
      <c r="E266" s="7">
        <v>1.8308711E7</v>
      </c>
      <c r="F266" s="7">
        <v>1.7805419E7</v>
      </c>
      <c r="G266" s="7">
        <v>2.33113705E8</v>
      </c>
      <c r="H266" s="7">
        <v>2.498831463E9</v>
      </c>
      <c r="I266" s="7">
        <v>610758.0</v>
      </c>
      <c r="J266" s="7">
        <v>544231.0</v>
      </c>
      <c r="K266" s="7">
        <v>66527.0</v>
      </c>
      <c r="L266" s="7">
        <v>94.06</v>
      </c>
      <c r="M266" s="7">
        <v>-0.17</v>
      </c>
      <c r="N266" s="7">
        <v>99779.0</v>
      </c>
      <c r="O266" s="7">
        <v>2.9852692E7</v>
      </c>
      <c r="P266" s="7" t="s">
        <v>411</v>
      </c>
      <c r="Q266" s="7">
        <v>5003.82</v>
      </c>
      <c r="R266" s="3">
        <f t="shared" si="1"/>
        <v>10000</v>
      </c>
    </row>
    <row r="267" ht="22.5" customHeight="1">
      <c r="B267" s="7" t="s">
        <v>270</v>
      </c>
      <c r="C267" s="7">
        <v>4448.0</v>
      </c>
      <c r="D267" s="7">
        <v>80690.0</v>
      </c>
      <c r="E267" s="7">
        <v>1.7673874E7</v>
      </c>
      <c r="F267" s="7">
        <v>1.7213402E7</v>
      </c>
      <c r="G267" s="7">
        <v>1.87582175E8</v>
      </c>
      <c r="H267" s="7">
        <v>2.292739084E9</v>
      </c>
      <c r="I267" s="7">
        <v>562816.0</v>
      </c>
      <c r="J267" s="7">
        <v>493516.0</v>
      </c>
      <c r="K267" s="7">
        <v>69300.0</v>
      </c>
      <c r="L267" s="7">
        <v>95.59</v>
      </c>
      <c r="M267" s="7">
        <v>-0.15</v>
      </c>
      <c r="N267" s="7">
        <v>102429.0</v>
      </c>
      <c r="O267" s="7">
        <v>2.2470215E7</v>
      </c>
      <c r="P267" s="7" t="s">
        <v>411</v>
      </c>
      <c r="Q267" s="7">
        <v>5003.81</v>
      </c>
      <c r="R267" s="3">
        <f t="shared" si="1"/>
        <v>10000</v>
      </c>
    </row>
    <row r="268" ht="22.5" customHeight="1">
      <c r="B268" s="7" t="s">
        <v>271</v>
      </c>
      <c r="C268" s="7">
        <v>1176.0</v>
      </c>
      <c r="D268" s="7">
        <v>78498.0</v>
      </c>
      <c r="E268" s="7">
        <v>4.9650566E7</v>
      </c>
      <c r="F268" s="7">
        <v>4.8357286E7</v>
      </c>
      <c r="G268" s="7">
        <v>2.22204595E8</v>
      </c>
      <c r="H268" s="7">
        <v>1.411918355E9</v>
      </c>
      <c r="I268" s="7">
        <v>1078741.0</v>
      </c>
      <c r="J268" s="7">
        <v>917443.0</v>
      </c>
      <c r="K268" s="7">
        <v>161298.0</v>
      </c>
      <c r="L268" s="7">
        <v>60.46</v>
      </c>
      <c r="M268" s="7">
        <v>-0.09</v>
      </c>
      <c r="N268" s="7">
        <v>246263.0</v>
      </c>
      <c r="O268" s="7">
        <v>2.474317E7</v>
      </c>
      <c r="P268" s="7" t="s">
        <v>411</v>
      </c>
      <c r="Q268" s="7">
        <v>5003.84</v>
      </c>
      <c r="R268" s="3">
        <f t="shared" si="1"/>
        <v>10000</v>
      </c>
    </row>
    <row r="269" ht="22.5" customHeight="1">
      <c r="B269" s="7" t="s">
        <v>272</v>
      </c>
      <c r="C269" s="7">
        <v>1097.0</v>
      </c>
      <c r="D269" s="7">
        <v>23771.0</v>
      </c>
      <c r="E269" s="7">
        <v>8991606.0</v>
      </c>
      <c r="F269" s="7">
        <v>8913933.0</v>
      </c>
      <c r="G269" s="7">
        <v>1.819352E7</v>
      </c>
      <c r="H269" s="7">
        <v>1.206493069E9</v>
      </c>
      <c r="I269" s="7">
        <v>529353.0</v>
      </c>
      <c r="J269" s="7">
        <v>476551.0</v>
      </c>
      <c r="K269" s="7">
        <v>52802.0</v>
      </c>
      <c r="L269" s="7">
        <v>33.57</v>
      </c>
      <c r="M269" s="7">
        <v>-0.07</v>
      </c>
      <c r="N269" s="7">
        <v>62259.0</v>
      </c>
      <c r="O269" s="7">
        <v>4355531.0</v>
      </c>
      <c r="P269" s="7" t="s">
        <v>411</v>
      </c>
      <c r="Q269" s="7">
        <v>5003.8</v>
      </c>
      <c r="R269" s="3">
        <f t="shared" si="1"/>
        <v>10000</v>
      </c>
    </row>
    <row r="270" ht="22.5" customHeight="1">
      <c r="B270" s="7" t="s">
        <v>237</v>
      </c>
      <c r="C270" s="7">
        <v>15320.0</v>
      </c>
      <c r="D270" s="7">
        <v>245163.0</v>
      </c>
      <c r="E270" s="7">
        <v>1.205881E7</v>
      </c>
      <c r="F270" s="7">
        <v>1.1860387E7</v>
      </c>
      <c r="G270" s="7">
        <v>3.6775497E7</v>
      </c>
      <c r="H270" s="7">
        <v>4.27530484E9</v>
      </c>
      <c r="I270" s="7">
        <v>540204.0</v>
      </c>
      <c r="J270" s="7">
        <v>474247.0</v>
      </c>
      <c r="K270" s="7">
        <v>65957.0</v>
      </c>
      <c r="L270" s="7">
        <v>63.22</v>
      </c>
      <c r="M270" s="7">
        <v>-0.09</v>
      </c>
      <c r="N270" s="7">
        <v>84922.0</v>
      </c>
      <c r="O270" s="7">
        <v>5168427.0</v>
      </c>
      <c r="P270" s="7" t="s">
        <v>411</v>
      </c>
      <c r="Q270" s="7">
        <v>5003.72</v>
      </c>
      <c r="R270" s="3">
        <f t="shared" si="1"/>
        <v>10000</v>
      </c>
    </row>
    <row r="271" ht="22.5" customHeight="1">
      <c r="B271" s="7" t="s">
        <v>273</v>
      </c>
      <c r="C271" s="7">
        <v>1164.0</v>
      </c>
      <c r="D271" s="7">
        <v>28980.0</v>
      </c>
      <c r="E271" s="7">
        <v>1.0871906E7</v>
      </c>
      <c r="F271" s="7">
        <v>1.0781123E7</v>
      </c>
      <c r="G271" s="7">
        <v>2.1374645E7</v>
      </c>
      <c r="H271" s="7">
        <v>1.385063219E9</v>
      </c>
      <c r="I271" s="7">
        <v>556595.0</v>
      </c>
      <c r="J271" s="7">
        <v>477411.0</v>
      </c>
      <c r="K271" s="7">
        <v>79184.0</v>
      </c>
      <c r="L271" s="7">
        <v>33.58</v>
      </c>
      <c r="M271" s="7">
        <v>-0.07</v>
      </c>
      <c r="N271" s="7">
        <v>93744.0</v>
      </c>
      <c r="O271" s="7">
        <v>4400783.0</v>
      </c>
      <c r="P271" s="7" t="s">
        <v>411</v>
      </c>
      <c r="Q271" s="7">
        <v>5003.84</v>
      </c>
      <c r="R271" s="3">
        <f t="shared" si="1"/>
        <v>10000</v>
      </c>
    </row>
    <row r="272" ht="22.5" customHeight="1">
      <c r="B272" s="7" t="s">
        <v>238</v>
      </c>
      <c r="C272" s="7">
        <v>14665.0</v>
      </c>
      <c r="D272" s="7">
        <v>34976.0</v>
      </c>
      <c r="E272" s="7">
        <v>5.8388995E7</v>
      </c>
      <c r="F272" s="7">
        <v>5.1695936E7</v>
      </c>
      <c r="G272" s="7">
        <v>4.11382746E8</v>
      </c>
      <c r="H272" s="7">
        <v>3.243386695E9</v>
      </c>
      <c r="I272" s="7">
        <v>1068776.0</v>
      </c>
      <c r="J272" s="7">
        <v>440518.0</v>
      </c>
      <c r="K272" s="7">
        <v>628258.0</v>
      </c>
      <c r="L272" s="7">
        <v>44.18</v>
      </c>
      <c r="M272" s="7">
        <v>-0.05</v>
      </c>
      <c r="N272" s="7">
        <v>716640.0</v>
      </c>
      <c r="O272" s="7">
        <v>4.1599768E7</v>
      </c>
      <c r="P272" s="7" t="s">
        <v>411</v>
      </c>
      <c r="Q272" s="7">
        <v>5003.81</v>
      </c>
      <c r="R272" s="3">
        <f t="shared" si="1"/>
        <v>10000</v>
      </c>
    </row>
    <row r="273" ht="22.5" customHeight="1">
      <c r="B273" s="7" t="s">
        <v>274</v>
      </c>
      <c r="C273" s="7">
        <v>520.0</v>
      </c>
      <c r="D273" s="7">
        <v>5761.0</v>
      </c>
      <c r="E273" s="7">
        <v>1.1736177E7</v>
      </c>
      <c r="F273" s="7">
        <v>1.1712226E7</v>
      </c>
      <c r="G273" s="7">
        <v>1.4512172E7</v>
      </c>
      <c r="H273" s="7">
        <v>3.74629166E8</v>
      </c>
      <c r="I273" s="7">
        <v>549653.0</v>
      </c>
      <c r="J273" s="7">
        <v>448564.0</v>
      </c>
      <c r="K273" s="7">
        <v>101089.0</v>
      </c>
      <c r="L273" s="7">
        <v>25.95</v>
      </c>
      <c r="M273" s="7">
        <v>-0.02</v>
      </c>
      <c r="N273" s="7">
        <v>117608.0</v>
      </c>
      <c r="O273" s="7">
        <v>4269040.0</v>
      </c>
      <c r="P273" s="7" t="s">
        <v>411</v>
      </c>
      <c r="Q273" s="7">
        <v>5003.78</v>
      </c>
      <c r="R273" s="3">
        <f t="shared" si="1"/>
        <v>10000</v>
      </c>
    </row>
    <row r="274" ht="22.5" customHeight="1">
      <c r="B274" s="7" t="s">
        <v>275</v>
      </c>
      <c r="C274" s="7">
        <v>422649.0</v>
      </c>
      <c r="D274" s="7">
        <v>1265651.0</v>
      </c>
      <c r="E274" s="7">
        <v>3101900.0</v>
      </c>
      <c r="F274" s="7">
        <v>2990915.0</v>
      </c>
      <c r="G274" s="7">
        <v>1.8178256E7</v>
      </c>
      <c r="H274" s="7">
        <v>1.17352268E10</v>
      </c>
      <c r="I274" s="7">
        <v>119924.0</v>
      </c>
      <c r="J274" s="7">
        <v>101544.0</v>
      </c>
      <c r="K274" s="7">
        <v>18380.0</v>
      </c>
      <c r="L274" s="7">
        <v>103.59</v>
      </c>
      <c r="M274" s="7">
        <v>-0.14</v>
      </c>
      <c r="N274" s="7">
        <v>23319.0</v>
      </c>
      <c r="O274" s="7">
        <v>3915197.0</v>
      </c>
      <c r="P274" s="7" t="s">
        <v>411</v>
      </c>
      <c r="Q274" s="7">
        <v>5003.83</v>
      </c>
      <c r="R274" s="3">
        <f t="shared" si="1"/>
        <v>10000</v>
      </c>
    </row>
    <row r="275" ht="22.5" customHeight="1">
      <c r="B275" s="7" t="s">
        <v>277</v>
      </c>
      <c r="C275" s="7">
        <v>21734.0</v>
      </c>
      <c r="D275" s="7">
        <v>78990.0</v>
      </c>
      <c r="E275" s="7">
        <v>1.9188064E7</v>
      </c>
      <c r="F275" s="7">
        <v>1.8913552E7</v>
      </c>
      <c r="G275" s="7">
        <v>7.1091008E7</v>
      </c>
      <c r="H275" s="7">
        <v>3.351224193E9</v>
      </c>
      <c r="I275" s="7">
        <v>772497.0</v>
      </c>
      <c r="J275" s="7">
        <v>679132.0</v>
      </c>
      <c r="K275" s="7">
        <v>93365.0</v>
      </c>
      <c r="L275" s="7">
        <v>53.59</v>
      </c>
      <c r="M275" s="7">
        <v>-0.1</v>
      </c>
      <c r="N275" s="7">
        <v>125448.0</v>
      </c>
      <c r="O275" s="7">
        <v>9335401.0</v>
      </c>
      <c r="P275" s="7" t="s">
        <v>411</v>
      </c>
      <c r="Q275" s="7">
        <v>5003.82</v>
      </c>
      <c r="R275" s="3">
        <f t="shared" si="1"/>
        <v>10000</v>
      </c>
    </row>
    <row r="276" ht="22.5" customHeight="1">
      <c r="B276" s="7" t="s">
        <v>278</v>
      </c>
      <c r="C276" s="7">
        <v>63268.0</v>
      </c>
      <c r="D276" s="7">
        <v>396114.0</v>
      </c>
      <c r="E276" s="7">
        <v>1.4294846E7</v>
      </c>
      <c r="F276" s="7">
        <v>1.3989949E7</v>
      </c>
      <c r="G276" s="7">
        <v>5.3943966E7</v>
      </c>
      <c r="H276" s="7">
        <v>3.684407644E9</v>
      </c>
      <c r="I276" s="7">
        <v>591495.0</v>
      </c>
      <c r="J276" s="7">
        <v>526067.0</v>
      </c>
      <c r="K276" s="7">
        <v>65428.0</v>
      </c>
      <c r="L276" s="7">
        <v>55.58</v>
      </c>
      <c r="M276" s="7">
        <v>-0.11</v>
      </c>
      <c r="N276" s="7">
        <v>91733.0</v>
      </c>
      <c r="O276" s="7">
        <v>6345929.0</v>
      </c>
      <c r="P276" s="7" t="s">
        <v>411</v>
      </c>
      <c r="Q276" s="7">
        <v>5003.81</v>
      </c>
      <c r="R276" s="3">
        <f t="shared" si="1"/>
        <v>10000</v>
      </c>
    </row>
    <row r="277" ht="22.5" customHeight="1">
      <c r="B277" s="7" t="s">
        <v>279</v>
      </c>
      <c r="C277" s="7">
        <v>68940.0</v>
      </c>
      <c r="D277" s="7">
        <v>327952.0</v>
      </c>
      <c r="E277" s="7">
        <v>1.5155667E7</v>
      </c>
      <c r="F277" s="7">
        <v>1.483463E7</v>
      </c>
      <c r="G277" s="7">
        <v>3.7857912E7</v>
      </c>
      <c r="H277" s="7">
        <v>4.818212257E9</v>
      </c>
      <c r="I277" s="7">
        <v>512797.0</v>
      </c>
      <c r="J277" s="7">
        <v>428128.0</v>
      </c>
      <c r="K277" s="7">
        <v>84669.0</v>
      </c>
      <c r="L277" s="7">
        <v>59.51</v>
      </c>
      <c r="M277" s="7">
        <v>-0.09</v>
      </c>
      <c r="N277" s="7">
        <v>112974.0</v>
      </c>
      <c r="O277" s="7">
        <v>6011348.0</v>
      </c>
      <c r="P277" s="7" t="s">
        <v>411</v>
      </c>
      <c r="Q277" s="7">
        <v>5003.83</v>
      </c>
      <c r="R277" s="3">
        <f t="shared" si="1"/>
        <v>10000</v>
      </c>
    </row>
    <row r="278" ht="22.5" customHeight="1">
      <c r="B278" s="7" t="s">
        <v>247</v>
      </c>
      <c r="C278" s="7">
        <v>68940.0</v>
      </c>
      <c r="D278" s="7">
        <v>310541.0</v>
      </c>
      <c r="E278" s="7">
        <v>1.2055439E7</v>
      </c>
      <c r="F278" s="7">
        <v>1.1789653E7</v>
      </c>
      <c r="G278" s="7">
        <v>2.8590895E7</v>
      </c>
      <c r="H278" s="7">
        <v>4.991367972E9</v>
      </c>
      <c r="I278" s="7">
        <v>460678.0</v>
      </c>
      <c r="J278" s="7">
        <v>399737.0</v>
      </c>
      <c r="K278" s="7">
        <v>60941.0</v>
      </c>
      <c r="L278" s="7">
        <v>56.31</v>
      </c>
      <c r="M278" s="7">
        <v>-0.09</v>
      </c>
      <c r="N278" s="7">
        <v>80064.0</v>
      </c>
      <c r="O278" s="7">
        <v>5462255.0</v>
      </c>
      <c r="P278" s="7" t="s">
        <v>411</v>
      </c>
      <c r="Q278" s="7">
        <v>5003.05</v>
      </c>
      <c r="R278" s="3">
        <f t="shared" si="1"/>
        <v>10000</v>
      </c>
    </row>
    <row r="279" ht="22.5" customHeight="1">
      <c r="B279" s="7" t="s">
        <v>280</v>
      </c>
      <c r="C279" s="7">
        <v>69644.0</v>
      </c>
      <c r="D279" s="7">
        <v>368587.0</v>
      </c>
      <c r="E279" s="7">
        <v>1.2461377E7</v>
      </c>
      <c r="F279" s="7">
        <v>1.2173627E7</v>
      </c>
      <c r="G279" s="7">
        <v>3.2302825E7</v>
      </c>
      <c r="H279" s="7">
        <v>4.066296166E9</v>
      </c>
      <c r="I279" s="7">
        <v>444852.0</v>
      </c>
      <c r="J279" s="7">
        <v>387454.0</v>
      </c>
      <c r="K279" s="7">
        <v>57398.0</v>
      </c>
      <c r="L279" s="7">
        <v>80.93</v>
      </c>
      <c r="M279" s="7">
        <v>-0.09</v>
      </c>
      <c r="N279" s="7">
        <v>78003.0</v>
      </c>
      <c r="O279" s="7">
        <v>6201026.0</v>
      </c>
      <c r="P279" s="7" t="s">
        <v>411</v>
      </c>
      <c r="Q279" s="7">
        <v>5003.76</v>
      </c>
      <c r="R279" s="3">
        <f t="shared" si="1"/>
        <v>10000</v>
      </c>
    </row>
    <row r="280" ht="22.5" customHeight="1">
      <c r="B280" s="7" t="s">
        <v>219</v>
      </c>
      <c r="C280" s="7">
        <v>489685.0</v>
      </c>
      <c r="D280" s="7">
        <v>8702447.0</v>
      </c>
      <c r="E280" s="7">
        <v>1526487.0</v>
      </c>
      <c r="F280" s="7">
        <v>1189105.0</v>
      </c>
      <c r="G280" s="7">
        <v>1.7969449E7</v>
      </c>
      <c r="H280" s="7">
        <v>9.166293211E9</v>
      </c>
      <c r="I280" s="7">
        <v>27842.0</v>
      </c>
      <c r="J280" s="7">
        <v>22820.0</v>
      </c>
      <c r="K280" s="7">
        <v>5022.0</v>
      </c>
      <c r="L280" s="7">
        <v>1413.07</v>
      </c>
      <c r="M280" s="7">
        <v>-0.07</v>
      </c>
      <c r="N280" s="7">
        <v>6905.0</v>
      </c>
      <c r="O280" s="7">
        <v>2728777.0</v>
      </c>
      <c r="P280" s="7" t="s">
        <v>411</v>
      </c>
      <c r="Q280" s="7">
        <v>5003.51</v>
      </c>
      <c r="R280" s="3">
        <f t="shared" si="1"/>
        <v>10000</v>
      </c>
    </row>
    <row r="281" ht="22.5" customHeight="1">
      <c r="B281" s="7" t="s">
        <v>281</v>
      </c>
      <c r="C281" s="7">
        <v>8527.0</v>
      </c>
      <c r="D281" s="7">
        <v>25482.0</v>
      </c>
      <c r="E281" s="7">
        <v>1.3382961E7</v>
      </c>
      <c r="F281" s="7">
        <v>1.3382946E7</v>
      </c>
      <c r="G281" s="7">
        <v>1.3389722E7</v>
      </c>
      <c r="H281" s="7">
        <v>1.2277484015E10</v>
      </c>
      <c r="I281" s="7">
        <v>160062.0</v>
      </c>
      <c r="J281" s="7">
        <v>120644.0</v>
      </c>
      <c r="K281" s="7">
        <v>39418.0</v>
      </c>
      <c r="L281" s="7">
        <v>22.81</v>
      </c>
      <c r="M281" s="7">
        <v>0.0</v>
      </c>
      <c r="N281" s="7">
        <v>64087.0</v>
      </c>
      <c r="O281" s="7">
        <v>5113443.0</v>
      </c>
      <c r="P281" s="7" t="s">
        <v>411</v>
      </c>
      <c r="Q281" s="7">
        <v>5003.83</v>
      </c>
      <c r="R281" s="3">
        <f t="shared" si="1"/>
        <v>10000</v>
      </c>
    </row>
    <row r="282" ht="22.5" customHeight="1">
      <c r="B282" s="7" t="s">
        <v>244</v>
      </c>
      <c r="C282" s="7">
        <v>513.0</v>
      </c>
      <c r="D282" s="7">
        <v>1424.0</v>
      </c>
      <c r="E282" s="7">
        <v>2.8954337E7</v>
      </c>
      <c r="F282" s="7">
        <v>2.8789346E7</v>
      </c>
      <c r="G282" s="7">
        <v>3.3553524E7</v>
      </c>
      <c r="H282" s="7">
        <v>7.26425692E8</v>
      </c>
      <c r="I282" s="7">
        <v>1423911.0</v>
      </c>
      <c r="J282" s="7">
        <v>1265307.0</v>
      </c>
      <c r="K282" s="7">
        <v>158604.0</v>
      </c>
      <c r="L282" s="7">
        <v>21.25</v>
      </c>
      <c r="M282" s="7">
        <v>-0.03</v>
      </c>
      <c r="N282" s="7">
        <v>188019.0</v>
      </c>
      <c r="O282" s="7">
        <v>1.5042283E7</v>
      </c>
      <c r="P282" s="7" t="s">
        <v>411</v>
      </c>
      <c r="Q282" s="7">
        <v>5004.03</v>
      </c>
      <c r="R282" s="3">
        <f t="shared" si="1"/>
        <v>10000</v>
      </c>
    </row>
    <row r="283" ht="22.5" customHeight="1">
      <c r="B283" s="7" t="s">
        <v>283</v>
      </c>
      <c r="C283" s="7">
        <v>621.0</v>
      </c>
      <c r="D283" s="7">
        <v>1733.0</v>
      </c>
      <c r="E283" s="7">
        <v>2.8465401E7</v>
      </c>
      <c r="F283" s="7">
        <v>2.8318224E7</v>
      </c>
      <c r="G283" s="7">
        <v>3.7573703E7</v>
      </c>
      <c r="H283" s="7">
        <v>6.4380454E8</v>
      </c>
      <c r="I283" s="7">
        <v>1431514.0</v>
      </c>
      <c r="J283" s="7">
        <v>1278469.0</v>
      </c>
      <c r="K283" s="7">
        <v>153045.0</v>
      </c>
      <c r="L283" s="7">
        <v>24.15</v>
      </c>
      <c r="M283" s="7">
        <v>-0.04</v>
      </c>
      <c r="N283" s="7">
        <v>182694.0</v>
      </c>
      <c r="O283" s="7">
        <v>1.4523125E7</v>
      </c>
      <c r="P283" s="7" t="s">
        <v>411</v>
      </c>
      <c r="Q283" s="7">
        <v>5004.05</v>
      </c>
      <c r="R283" s="3">
        <f t="shared" si="1"/>
        <v>10000</v>
      </c>
    </row>
    <row r="284" ht="22.5" customHeight="1">
      <c r="B284" s="7" t="s">
        <v>284</v>
      </c>
      <c r="C284" s="7">
        <v>15232.0</v>
      </c>
      <c r="D284" s="7">
        <v>134756.0</v>
      </c>
      <c r="E284" s="7">
        <v>1.7511459E7</v>
      </c>
      <c r="F284" s="7">
        <v>1.7319561E7</v>
      </c>
      <c r="G284" s="7">
        <v>2.2770672E7</v>
      </c>
      <c r="H284" s="7">
        <v>9.422928597E9</v>
      </c>
      <c r="I284" s="7">
        <v>632178.0</v>
      </c>
      <c r="J284" s="7">
        <v>484099.0</v>
      </c>
      <c r="K284" s="7">
        <v>148079.0</v>
      </c>
      <c r="L284" s="7">
        <v>16.68</v>
      </c>
      <c r="M284" s="7">
        <v>-0.05</v>
      </c>
      <c r="N284" s="7">
        <v>177932.0</v>
      </c>
      <c r="O284" s="7">
        <v>5379744.0</v>
      </c>
      <c r="P284" s="7" t="s">
        <v>411</v>
      </c>
      <c r="Q284" s="7">
        <v>5004.03</v>
      </c>
      <c r="R284" s="3">
        <f t="shared" si="1"/>
        <v>10000</v>
      </c>
    </row>
    <row r="285" ht="22.5" customHeight="1">
      <c r="B285" s="7" t="s">
        <v>285</v>
      </c>
      <c r="C285" s="7">
        <v>4660.0</v>
      </c>
      <c r="D285" s="7">
        <v>13676.0</v>
      </c>
      <c r="E285" s="7">
        <v>1.7597047E7</v>
      </c>
      <c r="F285" s="7">
        <v>1.7487503E7</v>
      </c>
      <c r="G285" s="7">
        <v>2.1566485E7</v>
      </c>
      <c r="H285" s="7">
        <v>2.561958805E9</v>
      </c>
      <c r="I285" s="7">
        <v>684723.0</v>
      </c>
      <c r="J285" s="7">
        <v>535457.0</v>
      </c>
      <c r="K285" s="7">
        <v>149266.0</v>
      </c>
      <c r="L285" s="7">
        <v>45.5</v>
      </c>
      <c r="M285" s="7">
        <v>-0.02</v>
      </c>
      <c r="N285" s="7">
        <v>179078.0</v>
      </c>
      <c r="O285" s="7">
        <v>5282006.0</v>
      </c>
      <c r="P285" s="7" t="s">
        <v>411</v>
      </c>
      <c r="Q285" s="7">
        <v>5004.07</v>
      </c>
      <c r="R285" s="3">
        <f t="shared" si="1"/>
        <v>10000</v>
      </c>
    </row>
    <row r="286" ht="22.5" customHeight="1">
      <c r="B286" s="7" t="s">
        <v>286</v>
      </c>
      <c r="C286" s="7">
        <v>3633.0</v>
      </c>
      <c r="D286" s="7">
        <v>10625.0</v>
      </c>
      <c r="E286" s="7">
        <v>1.9020808E7</v>
      </c>
      <c r="F286" s="7">
        <v>1.8765351E7</v>
      </c>
      <c r="G286" s="7">
        <v>2.7115922E7</v>
      </c>
      <c r="H286" s="7">
        <v>3.792358087E9</v>
      </c>
      <c r="I286" s="7">
        <v>830212.0</v>
      </c>
      <c r="J286" s="7">
        <v>683248.0</v>
      </c>
      <c r="K286" s="7">
        <v>146964.0</v>
      </c>
      <c r="L286" s="7">
        <v>45.38</v>
      </c>
      <c r="M286" s="7">
        <v>-0.02</v>
      </c>
      <c r="N286" s="7">
        <v>176847.0</v>
      </c>
      <c r="O286" s="7">
        <v>6379764.0</v>
      </c>
      <c r="P286" s="7" t="s">
        <v>411</v>
      </c>
      <c r="Q286" s="7">
        <v>5004.06</v>
      </c>
      <c r="R286" s="3">
        <f t="shared" si="1"/>
        <v>10000</v>
      </c>
    </row>
    <row r="287" ht="22.5" customHeight="1">
      <c r="B287" s="7" t="s">
        <v>287</v>
      </c>
      <c r="C287" s="7">
        <v>97.0</v>
      </c>
      <c r="D287" s="7">
        <v>204.0</v>
      </c>
      <c r="E287" s="7">
        <v>3.0101744E7</v>
      </c>
      <c r="F287" s="7">
        <v>2.9885647E7</v>
      </c>
      <c r="G287" s="7">
        <v>3.5790238E7</v>
      </c>
      <c r="H287" s="7">
        <v>4.30003941E8</v>
      </c>
      <c r="I287" s="7">
        <v>1768546.0</v>
      </c>
      <c r="J287" s="7">
        <v>1615865.0</v>
      </c>
      <c r="K287" s="7">
        <v>152681.0</v>
      </c>
      <c r="L287" s="7">
        <v>18.59</v>
      </c>
      <c r="M287" s="7">
        <v>-0.03</v>
      </c>
      <c r="N287" s="7">
        <v>182327.0</v>
      </c>
      <c r="O287" s="7">
        <v>1.4880348E7</v>
      </c>
      <c r="P287" s="7" t="s">
        <v>411</v>
      </c>
      <c r="Q287" s="7">
        <v>5003.99</v>
      </c>
      <c r="R287" s="3">
        <f t="shared" si="1"/>
        <v>10000</v>
      </c>
    </row>
    <row r="288" ht="22.5" customHeight="1">
      <c r="B288" s="7" t="s">
        <v>288</v>
      </c>
      <c r="C288" s="7">
        <v>708290.0</v>
      </c>
      <c r="D288" s="7">
        <v>5425469.0</v>
      </c>
      <c r="E288" s="7">
        <v>3939614.0</v>
      </c>
      <c r="F288" s="7">
        <v>3768812.0</v>
      </c>
      <c r="G288" s="7">
        <v>5.1717319E7</v>
      </c>
      <c r="H288" s="7">
        <v>5.923146611E9</v>
      </c>
      <c r="I288" s="7">
        <v>104062.0</v>
      </c>
      <c r="J288" s="7">
        <v>91873.0</v>
      </c>
      <c r="K288" s="7">
        <v>12189.0</v>
      </c>
      <c r="L288" s="7">
        <v>222.71</v>
      </c>
      <c r="M288" s="7">
        <v>-0.16</v>
      </c>
      <c r="N288" s="7">
        <v>20157.0</v>
      </c>
      <c r="O288" s="7">
        <v>6596847.0</v>
      </c>
      <c r="P288" s="7" t="s">
        <v>411</v>
      </c>
      <c r="Q288" s="7">
        <v>5003.91</v>
      </c>
      <c r="R288" s="3">
        <f t="shared" si="1"/>
        <v>10000</v>
      </c>
    </row>
    <row r="289" ht="22.5" customHeight="1">
      <c r="B289" s="7" t="s">
        <v>289</v>
      </c>
      <c r="C289" s="7">
        <v>6154.0</v>
      </c>
      <c r="D289" s="7">
        <v>18364.0</v>
      </c>
      <c r="E289" s="7">
        <v>1.5601155E7</v>
      </c>
      <c r="F289" s="7">
        <v>1.5473574E7</v>
      </c>
      <c r="G289" s="7">
        <v>1.928491E7</v>
      </c>
      <c r="H289" s="7">
        <v>3.18217508E9</v>
      </c>
      <c r="I289" s="7">
        <v>657748.0</v>
      </c>
      <c r="J289" s="7">
        <v>516292.0</v>
      </c>
      <c r="K289" s="7">
        <v>141456.0</v>
      </c>
      <c r="L289" s="7">
        <v>51.52</v>
      </c>
      <c r="M289" s="7">
        <v>-0.02</v>
      </c>
      <c r="N289" s="7">
        <v>168965.0</v>
      </c>
      <c r="O289" s="7">
        <v>4036187.0</v>
      </c>
      <c r="P289" s="7" t="s">
        <v>411</v>
      </c>
      <c r="Q289" s="7">
        <v>5004.06</v>
      </c>
      <c r="R289" s="3">
        <f t="shared" si="1"/>
        <v>10000</v>
      </c>
    </row>
    <row r="290" ht="22.5" customHeight="1">
      <c r="B290" s="7" t="s">
        <v>290</v>
      </c>
      <c r="C290" s="7">
        <v>3018.0</v>
      </c>
      <c r="D290" s="7">
        <v>8982.0</v>
      </c>
      <c r="E290" s="7">
        <v>1.7953317E7</v>
      </c>
      <c r="F290" s="7">
        <v>1.7807297E7</v>
      </c>
      <c r="G290" s="7">
        <v>2.2029866E7</v>
      </c>
      <c r="H290" s="7">
        <v>2.059841426E9</v>
      </c>
      <c r="I290" s="7">
        <v>772766.0</v>
      </c>
      <c r="J290" s="7">
        <v>611350.0</v>
      </c>
      <c r="K290" s="7">
        <v>161416.0</v>
      </c>
      <c r="L290" s="7">
        <v>36.6</v>
      </c>
      <c r="M290" s="7">
        <v>-0.03</v>
      </c>
      <c r="N290" s="7">
        <v>190669.0</v>
      </c>
      <c r="O290" s="7">
        <v>5396613.0</v>
      </c>
      <c r="P290" s="7" t="s">
        <v>411</v>
      </c>
      <c r="Q290" s="7">
        <v>5004.06</v>
      </c>
      <c r="R290" s="3">
        <f t="shared" si="1"/>
        <v>10000</v>
      </c>
    </row>
    <row r="291" ht="22.5" customHeight="1">
      <c r="B291" s="7" t="s">
        <v>291</v>
      </c>
      <c r="C291" s="7">
        <v>4838.0</v>
      </c>
      <c r="D291" s="7">
        <v>14428.0</v>
      </c>
      <c r="E291" s="7">
        <v>1.3704298E7</v>
      </c>
      <c r="F291" s="7">
        <v>1.3590112E7</v>
      </c>
      <c r="G291" s="7">
        <v>1.8193138E7</v>
      </c>
      <c r="H291" s="7">
        <v>1.941687587E9</v>
      </c>
      <c r="I291" s="7">
        <v>599489.0</v>
      </c>
      <c r="J291" s="7">
        <v>484864.0</v>
      </c>
      <c r="K291" s="7">
        <v>114625.0</v>
      </c>
      <c r="L291" s="7">
        <v>47.32</v>
      </c>
      <c r="M291" s="7">
        <v>-0.03</v>
      </c>
      <c r="N291" s="7">
        <v>137008.0</v>
      </c>
      <c r="O291" s="7">
        <v>4140138.0</v>
      </c>
      <c r="P291" s="7" t="s">
        <v>411</v>
      </c>
      <c r="Q291" s="7">
        <v>5004.07</v>
      </c>
      <c r="R291" s="3">
        <f t="shared" si="1"/>
        <v>10000</v>
      </c>
    </row>
    <row r="292" ht="22.5" customHeight="1">
      <c r="B292" s="7" t="s">
        <v>292</v>
      </c>
      <c r="C292" s="7">
        <v>7193.0</v>
      </c>
      <c r="D292" s="7">
        <v>21469.0</v>
      </c>
      <c r="E292" s="7">
        <v>1.575464E7</v>
      </c>
      <c r="F292" s="7">
        <v>1.5593748E7</v>
      </c>
      <c r="G292" s="7">
        <v>2.1471205E7</v>
      </c>
      <c r="H292" s="7">
        <v>2.511785479E9</v>
      </c>
      <c r="I292" s="7">
        <v>622174.0</v>
      </c>
      <c r="J292" s="7">
        <v>490184.0</v>
      </c>
      <c r="K292" s="7">
        <v>131990.0</v>
      </c>
      <c r="L292" s="7">
        <v>63.76</v>
      </c>
      <c r="M292" s="7">
        <v>-0.03</v>
      </c>
      <c r="N292" s="7">
        <v>160379.0</v>
      </c>
      <c r="O292" s="7">
        <v>4114924.0</v>
      </c>
      <c r="P292" s="7" t="s">
        <v>411</v>
      </c>
      <c r="Q292" s="7">
        <v>5004.04</v>
      </c>
      <c r="R292" s="3">
        <f t="shared" si="1"/>
        <v>10000</v>
      </c>
    </row>
    <row r="293" ht="22.5" customHeight="1">
      <c r="B293" s="7" t="s">
        <v>293</v>
      </c>
      <c r="C293" s="7">
        <v>4000.0</v>
      </c>
      <c r="D293" s="7">
        <v>11914.0</v>
      </c>
      <c r="E293" s="7">
        <v>1.6390536E7</v>
      </c>
      <c r="F293" s="7">
        <v>1.6237238E7</v>
      </c>
      <c r="G293" s="7">
        <v>2.1134037E7</v>
      </c>
      <c r="H293" s="7">
        <v>1.959833418E9</v>
      </c>
      <c r="I293" s="7">
        <v>641520.0</v>
      </c>
      <c r="J293" s="7">
        <v>489566.0</v>
      </c>
      <c r="K293" s="7">
        <v>151954.0</v>
      </c>
      <c r="L293" s="7">
        <v>45.33</v>
      </c>
      <c r="M293" s="7">
        <v>-0.03</v>
      </c>
      <c r="N293" s="7">
        <v>181588.0</v>
      </c>
      <c r="O293" s="7">
        <v>4141588.0</v>
      </c>
      <c r="P293" s="7" t="s">
        <v>411</v>
      </c>
      <c r="Q293" s="7">
        <v>5004.05</v>
      </c>
      <c r="R293" s="3">
        <f t="shared" si="1"/>
        <v>10000</v>
      </c>
    </row>
    <row r="294" ht="22.5" customHeight="1">
      <c r="B294" s="7" t="s">
        <v>294</v>
      </c>
      <c r="C294" s="7">
        <v>4249.0</v>
      </c>
      <c r="D294" s="7">
        <v>12662.0</v>
      </c>
      <c r="E294" s="7">
        <v>1.3332423E7</v>
      </c>
      <c r="F294" s="7">
        <v>1.320295E7</v>
      </c>
      <c r="G294" s="7">
        <v>1.7781485E7</v>
      </c>
      <c r="H294" s="7">
        <v>1.532209249E9</v>
      </c>
      <c r="I294" s="7">
        <v>609974.0</v>
      </c>
      <c r="J294" s="7">
        <v>503885.0</v>
      </c>
      <c r="K294" s="7">
        <v>106089.0</v>
      </c>
      <c r="L294" s="7">
        <v>46.75</v>
      </c>
      <c r="M294" s="7">
        <v>-0.03</v>
      </c>
      <c r="N294" s="7">
        <v>127580.0</v>
      </c>
      <c r="O294" s="7">
        <v>4091056.0</v>
      </c>
      <c r="P294" s="7" t="s">
        <v>411</v>
      </c>
      <c r="Q294" s="7">
        <v>5004.07</v>
      </c>
      <c r="R294" s="3">
        <f t="shared" si="1"/>
        <v>10000</v>
      </c>
    </row>
    <row r="295" ht="22.5" customHeight="1">
      <c r="B295" s="7" t="s">
        <v>295</v>
      </c>
      <c r="C295" s="7">
        <v>5550.0</v>
      </c>
      <c r="D295" s="7">
        <v>16552.0</v>
      </c>
      <c r="E295" s="7">
        <v>1.6362035E7</v>
      </c>
      <c r="F295" s="7">
        <v>1.6195098E7</v>
      </c>
      <c r="G295" s="7">
        <v>2.1869232E7</v>
      </c>
      <c r="H295" s="7">
        <v>2.122063646E9</v>
      </c>
      <c r="I295" s="7">
        <v>645467.0</v>
      </c>
      <c r="J295" s="7">
        <v>505740.0</v>
      </c>
      <c r="K295" s="7">
        <v>139727.0</v>
      </c>
      <c r="L295" s="7">
        <v>53.54</v>
      </c>
      <c r="M295" s="7">
        <v>-0.03</v>
      </c>
      <c r="N295" s="7">
        <v>169783.0</v>
      </c>
      <c r="O295" s="7">
        <v>4089850.0</v>
      </c>
      <c r="P295" s="7" t="s">
        <v>411</v>
      </c>
      <c r="Q295" s="7">
        <v>5004.06</v>
      </c>
      <c r="R295" s="3">
        <f t="shared" si="1"/>
        <v>10000</v>
      </c>
    </row>
    <row r="296" ht="22.5" customHeight="1">
      <c r="B296" s="7" t="s">
        <v>296</v>
      </c>
      <c r="C296" s="7">
        <v>7282.0</v>
      </c>
      <c r="D296" s="7">
        <v>21738.0</v>
      </c>
      <c r="E296" s="7">
        <v>1.6549924E7</v>
      </c>
      <c r="F296" s="7">
        <v>1.6402689E7</v>
      </c>
      <c r="G296" s="7">
        <v>2.1633079E7</v>
      </c>
      <c r="H296" s="7">
        <v>3.325750807E9</v>
      </c>
      <c r="I296" s="7">
        <v>644516.0</v>
      </c>
      <c r="J296" s="7">
        <v>497423.0</v>
      </c>
      <c r="K296" s="7">
        <v>147093.0</v>
      </c>
      <c r="L296" s="7">
        <v>54.03</v>
      </c>
      <c r="M296" s="7">
        <v>-0.03</v>
      </c>
      <c r="N296" s="7">
        <v>176936.0</v>
      </c>
      <c r="O296" s="7">
        <v>4273336.0</v>
      </c>
      <c r="P296" s="7" t="s">
        <v>411</v>
      </c>
      <c r="Q296" s="7">
        <v>5004.07</v>
      </c>
      <c r="R296" s="3">
        <f t="shared" si="1"/>
        <v>10000</v>
      </c>
    </row>
    <row r="297" ht="22.5" customHeight="1">
      <c r="B297" s="7" t="s">
        <v>297</v>
      </c>
      <c r="C297" s="7">
        <v>3278.0</v>
      </c>
      <c r="D297" s="7">
        <v>9760.0</v>
      </c>
      <c r="E297" s="7">
        <v>1.4132216E7</v>
      </c>
      <c r="F297" s="7">
        <v>1.4005507E7</v>
      </c>
      <c r="G297" s="7">
        <v>1.8373994E7</v>
      </c>
      <c r="H297" s="7">
        <v>1.799104129E9</v>
      </c>
      <c r="I297" s="7">
        <v>654868.0</v>
      </c>
      <c r="J297" s="7">
        <v>524995.0</v>
      </c>
      <c r="K297" s="7">
        <v>129873.0</v>
      </c>
      <c r="L297" s="7">
        <v>31.38</v>
      </c>
      <c r="M297" s="7">
        <v>-0.03</v>
      </c>
      <c r="N297" s="7">
        <v>153032.0</v>
      </c>
      <c r="O297" s="7">
        <v>4036106.0</v>
      </c>
      <c r="P297" s="7" t="s">
        <v>411</v>
      </c>
      <c r="Q297" s="7">
        <v>5004.07</v>
      </c>
      <c r="R297" s="3">
        <f t="shared" si="1"/>
        <v>10000</v>
      </c>
    </row>
    <row r="298" ht="22.5" customHeight="1">
      <c r="B298" s="7" t="s">
        <v>298</v>
      </c>
      <c r="C298" s="7">
        <v>3096.0</v>
      </c>
      <c r="D298" s="7">
        <v>9215.0</v>
      </c>
      <c r="E298" s="7">
        <v>1.4527576E7</v>
      </c>
      <c r="F298" s="7">
        <v>1.4403671E7</v>
      </c>
      <c r="G298" s="7">
        <v>1.8187199E7</v>
      </c>
      <c r="H298" s="7">
        <v>1.721216496E9</v>
      </c>
      <c r="I298" s="7">
        <v>626927.0</v>
      </c>
      <c r="J298" s="7">
        <v>492792.0</v>
      </c>
      <c r="K298" s="7">
        <v>134135.0</v>
      </c>
      <c r="L298" s="7">
        <v>34.47</v>
      </c>
      <c r="M298" s="7">
        <v>-0.03</v>
      </c>
      <c r="N298" s="7">
        <v>158429.0</v>
      </c>
      <c r="O298" s="7">
        <v>4114017.0</v>
      </c>
      <c r="P298" s="7" t="s">
        <v>411</v>
      </c>
      <c r="Q298" s="7">
        <v>5004.06</v>
      </c>
      <c r="R298" s="3">
        <f t="shared" si="1"/>
        <v>10000</v>
      </c>
    </row>
    <row r="299" ht="22.5" customHeight="1">
      <c r="B299" s="7" t="s">
        <v>299</v>
      </c>
      <c r="C299" s="7">
        <v>4136.0</v>
      </c>
      <c r="D299" s="7">
        <v>12323.0</v>
      </c>
      <c r="E299" s="7">
        <v>1.8009597E7</v>
      </c>
      <c r="F299" s="7">
        <v>1.7839132E7</v>
      </c>
      <c r="G299" s="7">
        <v>2.390579E7</v>
      </c>
      <c r="H299" s="7">
        <v>2.201958046E9</v>
      </c>
      <c r="I299" s="7">
        <v>782887.0</v>
      </c>
      <c r="J299" s="7">
        <v>634313.0</v>
      </c>
      <c r="K299" s="7">
        <v>148574.0</v>
      </c>
      <c r="L299" s="7">
        <v>36.85</v>
      </c>
      <c r="M299" s="7">
        <v>-0.03</v>
      </c>
      <c r="N299" s="7">
        <v>178322.0</v>
      </c>
      <c r="O299" s="7">
        <v>5373178.0</v>
      </c>
      <c r="P299" s="7" t="s">
        <v>411</v>
      </c>
      <c r="Q299" s="7">
        <v>5004.06</v>
      </c>
      <c r="R299" s="3">
        <f t="shared" si="1"/>
        <v>10000</v>
      </c>
    </row>
    <row r="300" ht="22.5" customHeight="1">
      <c r="B300" s="7" t="s">
        <v>300</v>
      </c>
      <c r="C300" s="7">
        <v>6576.0</v>
      </c>
      <c r="D300" s="7">
        <v>19630.0</v>
      </c>
      <c r="E300" s="7">
        <v>1.3210871E7</v>
      </c>
      <c r="F300" s="7">
        <v>1.3081801E7</v>
      </c>
      <c r="G300" s="7">
        <v>1.8334873E7</v>
      </c>
      <c r="H300" s="7">
        <v>2.443293569E9</v>
      </c>
      <c r="I300" s="7">
        <v>585967.0</v>
      </c>
      <c r="J300" s="7">
        <v>482485.0</v>
      </c>
      <c r="K300" s="7">
        <v>103482.0</v>
      </c>
      <c r="L300" s="7">
        <v>46.22</v>
      </c>
      <c r="M300" s="7">
        <v>-0.03</v>
      </c>
      <c r="N300" s="7">
        <v>124682.0</v>
      </c>
      <c r="O300" s="7">
        <v>4182753.0</v>
      </c>
      <c r="P300" s="7" t="s">
        <v>411</v>
      </c>
      <c r="Q300" s="7">
        <v>5004.06</v>
      </c>
      <c r="R300" s="3">
        <f t="shared" si="1"/>
        <v>10000</v>
      </c>
    </row>
    <row r="301" ht="22.5" customHeight="1">
      <c r="B301" s="7" t="s">
        <v>301</v>
      </c>
      <c r="C301" s="7">
        <v>3001.0</v>
      </c>
      <c r="D301" s="7">
        <v>8931.0</v>
      </c>
      <c r="E301" s="7">
        <v>1.4007491E7</v>
      </c>
      <c r="F301" s="7">
        <v>1.3904533E7</v>
      </c>
      <c r="G301" s="7">
        <v>1.7808763E7</v>
      </c>
      <c r="H301" s="7">
        <v>1.478044106E9</v>
      </c>
      <c r="I301" s="7">
        <v>604693.0</v>
      </c>
      <c r="J301" s="7">
        <v>473124.0</v>
      </c>
      <c r="K301" s="7">
        <v>131569.0</v>
      </c>
      <c r="L301" s="7">
        <v>33.6</v>
      </c>
      <c r="M301" s="7">
        <v>-0.03</v>
      </c>
      <c r="N301" s="7">
        <v>154263.0</v>
      </c>
      <c r="O301" s="7">
        <v>4202237.0</v>
      </c>
      <c r="P301" s="7" t="s">
        <v>411</v>
      </c>
      <c r="Q301" s="7">
        <v>5004.08</v>
      </c>
      <c r="R301" s="3">
        <f t="shared" si="1"/>
        <v>10000</v>
      </c>
    </row>
    <row r="302" ht="22.5" customHeight="1">
      <c r="B302" s="7" t="s">
        <v>302</v>
      </c>
      <c r="C302" s="7">
        <v>4344.0</v>
      </c>
      <c r="D302" s="7">
        <v>12948.0</v>
      </c>
      <c r="E302" s="7">
        <v>1.7208709E7</v>
      </c>
      <c r="F302" s="7">
        <v>1.7042237E7</v>
      </c>
      <c r="G302" s="7">
        <v>2.2368906E7</v>
      </c>
      <c r="H302" s="7">
        <v>2.251371264E9</v>
      </c>
      <c r="I302" s="7">
        <v>717605.0</v>
      </c>
      <c r="J302" s="7">
        <v>568313.0</v>
      </c>
      <c r="K302" s="7">
        <v>149292.0</v>
      </c>
      <c r="L302" s="7">
        <v>35.72</v>
      </c>
      <c r="M302" s="7">
        <v>-0.03</v>
      </c>
      <c r="N302" s="7">
        <v>179024.0</v>
      </c>
      <c r="O302" s="7">
        <v>4749585.0</v>
      </c>
      <c r="P302" s="7" t="s">
        <v>411</v>
      </c>
      <c r="Q302" s="7">
        <v>5004.07</v>
      </c>
      <c r="R302" s="3">
        <f t="shared" si="1"/>
        <v>10000</v>
      </c>
    </row>
    <row r="303" ht="22.5" customHeight="1">
      <c r="B303" s="7" t="s">
        <v>303</v>
      </c>
      <c r="C303" s="7">
        <v>4699.0</v>
      </c>
      <c r="D303" s="7">
        <v>14013.0</v>
      </c>
      <c r="E303" s="7">
        <v>1.8731245E7</v>
      </c>
      <c r="F303" s="7">
        <v>1.8558343E7</v>
      </c>
      <c r="G303" s="7">
        <v>2.7327692E7</v>
      </c>
      <c r="H303" s="7">
        <v>2.1521714E9</v>
      </c>
      <c r="I303" s="7">
        <v>787202.0</v>
      </c>
      <c r="J303" s="7">
        <v>637135.0</v>
      </c>
      <c r="K303" s="7">
        <v>150067.0</v>
      </c>
      <c r="L303" s="7">
        <v>42.5</v>
      </c>
      <c r="M303" s="7">
        <v>-0.04</v>
      </c>
      <c r="N303" s="7">
        <v>179774.0</v>
      </c>
      <c r="O303" s="7">
        <v>6187655.0</v>
      </c>
      <c r="P303" s="7" t="s">
        <v>411</v>
      </c>
      <c r="Q303" s="7">
        <v>5004.03</v>
      </c>
      <c r="R303" s="3">
        <f t="shared" si="1"/>
        <v>10000</v>
      </c>
    </row>
    <row r="304" ht="22.5" customHeight="1">
      <c r="B304" s="7" t="s">
        <v>304</v>
      </c>
      <c r="C304" s="7">
        <v>4292.0</v>
      </c>
      <c r="D304" s="7">
        <v>12790.0</v>
      </c>
      <c r="E304" s="7">
        <v>1.9395025E7</v>
      </c>
      <c r="F304" s="7">
        <v>1.9238838E7</v>
      </c>
      <c r="G304" s="7">
        <v>2.5621949E7</v>
      </c>
      <c r="H304" s="7">
        <v>2.205496381E9</v>
      </c>
      <c r="I304" s="7">
        <v>902499.0</v>
      </c>
      <c r="J304" s="7">
        <v>748033.0</v>
      </c>
      <c r="K304" s="7">
        <v>154466.0</v>
      </c>
      <c r="L304" s="7">
        <v>45.87</v>
      </c>
      <c r="M304" s="7">
        <v>-0.03</v>
      </c>
      <c r="N304" s="7">
        <v>183996.0</v>
      </c>
      <c r="O304" s="7">
        <v>6446956.0</v>
      </c>
      <c r="P304" s="7" t="s">
        <v>411</v>
      </c>
      <c r="Q304" s="7">
        <v>5004.04</v>
      </c>
      <c r="R304" s="3">
        <f t="shared" si="1"/>
        <v>10000</v>
      </c>
    </row>
    <row r="305" ht="22.5" customHeight="1">
      <c r="B305" s="7" t="s">
        <v>305</v>
      </c>
      <c r="C305" s="7">
        <v>5418.0</v>
      </c>
      <c r="D305" s="7">
        <v>16168.0</v>
      </c>
      <c r="E305" s="7">
        <v>1.3281139E7</v>
      </c>
      <c r="F305" s="7">
        <v>1.3172627E7</v>
      </c>
      <c r="G305" s="7">
        <v>1.7804974E7</v>
      </c>
      <c r="H305" s="7">
        <v>2.085825943E9</v>
      </c>
      <c r="I305" s="7">
        <v>606514.0</v>
      </c>
      <c r="J305" s="7">
        <v>493886.0</v>
      </c>
      <c r="K305" s="7">
        <v>112628.0</v>
      </c>
      <c r="L305" s="7">
        <v>48.45</v>
      </c>
      <c r="M305" s="7">
        <v>-0.03</v>
      </c>
      <c r="N305" s="7">
        <v>133708.0</v>
      </c>
      <c r="O305" s="7">
        <v>4144088.0</v>
      </c>
      <c r="P305" s="7" t="s">
        <v>411</v>
      </c>
      <c r="Q305" s="7">
        <v>5004.06</v>
      </c>
      <c r="R305" s="3">
        <f t="shared" si="1"/>
        <v>10000</v>
      </c>
    </row>
    <row r="306" ht="22.5" customHeight="1">
      <c r="B306" s="7" t="s">
        <v>306</v>
      </c>
      <c r="C306" s="7">
        <v>5702.0</v>
      </c>
      <c r="D306" s="7">
        <v>17010.0</v>
      </c>
      <c r="E306" s="7">
        <v>1.4431646E7</v>
      </c>
      <c r="F306" s="7">
        <v>1.4292495E7</v>
      </c>
      <c r="G306" s="7">
        <v>1.9828039E7</v>
      </c>
      <c r="H306" s="7">
        <v>2.073955849E9</v>
      </c>
      <c r="I306" s="7">
        <v>608286.0</v>
      </c>
      <c r="J306" s="7">
        <v>490123.0</v>
      </c>
      <c r="K306" s="7">
        <v>118163.0</v>
      </c>
      <c r="L306" s="7">
        <v>56.08</v>
      </c>
      <c r="M306" s="7">
        <v>-0.03</v>
      </c>
      <c r="N306" s="7">
        <v>142784.0</v>
      </c>
      <c r="O306" s="7">
        <v>4118282.0</v>
      </c>
      <c r="P306" s="7" t="s">
        <v>411</v>
      </c>
      <c r="Q306" s="7">
        <v>5004.07</v>
      </c>
      <c r="R306" s="3">
        <f t="shared" si="1"/>
        <v>10000</v>
      </c>
    </row>
    <row r="307" ht="22.5" customHeight="1">
      <c r="B307" s="7" t="s">
        <v>308</v>
      </c>
      <c r="C307" s="7">
        <v>39544.0</v>
      </c>
      <c r="D307" s="7">
        <v>294276.0</v>
      </c>
      <c r="E307" s="7">
        <v>1.8489345E7</v>
      </c>
      <c r="F307" s="7">
        <v>1.8047114E7</v>
      </c>
      <c r="G307" s="7">
        <v>5.1170174E7</v>
      </c>
      <c r="H307" s="7">
        <v>3.455771521E9</v>
      </c>
      <c r="I307" s="7">
        <v>691076.0</v>
      </c>
      <c r="J307" s="7">
        <v>599823.0</v>
      </c>
      <c r="K307" s="7">
        <v>91253.0</v>
      </c>
      <c r="L307" s="7">
        <v>22.89</v>
      </c>
      <c r="M307" s="7">
        <v>-0.1</v>
      </c>
      <c r="N307" s="7">
        <v>123447.0</v>
      </c>
      <c r="O307" s="7">
        <v>9636660.0</v>
      </c>
      <c r="P307" s="7" t="s">
        <v>411</v>
      </c>
      <c r="Q307" s="7">
        <v>5003.88</v>
      </c>
      <c r="R307" s="3">
        <f t="shared" si="1"/>
        <v>10000</v>
      </c>
    </row>
    <row r="308" ht="22.5" customHeight="1">
      <c r="B308" s="7" t="s">
        <v>309</v>
      </c>
      <c r="C308" s="7">
        <v>1534.0</v>
      </c>
      <c r="D308" s="7">
        <v>132295.0</v>
      </c>
      <c r="E308" s="7">
        <v>1.8939247E7</v>
      </c>
      <c r="F308" s="7">
        <v>1.8501599E7</v>
      </c>
      <c r="G308" s="7">
        <v>2.9633197E7</v>
      </c>
      <c r="H308" s="7">
        <v>2.238214988E9</v>
      </c>
      <c r="I308" s="7">
        <v>524316.0</v>
      </c>
      <c r="J308" s="7">
        <v>395945.0</v>
      </c>
      <c r="K308" s="7">
        <v>128371.0</v>
      </c>
      <c r="L308" s="7">
        <v>76.42</v>
      </c>
      <c r="M308" s="7">
        <v>-0.05</v>
      </c>
      <c r="N308" s="7">
        <v>158785.0</v>
      </c>
      <c r="O308" s="7">
        <v>8097063.0</v>
      </c>
      <c r="P308" s="7" t="s">
        <v>411</v>
      </c>
      <c r="Q308" s="7">
        <v>5004.04</v>
      </c>
      <c r="R308" s="3">
        <f t="shared" si="1"/>
        <v>10000</v>
      </c>
    </row>
    <row r="309" ht="22.5" customHeight="1">
      <c r="B309" s="7" t="s">
        <v>310</v>
      </c>
      <c r="C309" s="7">
        <v>32402.0</v>
      </c>
      <c r="D309" s="7">
        <v>97364.0</v>
      </c>
      <c r="E309" s="7">
        <v>4656749.0</v>
      </c>
      <c r="F309" s="7">
        <v>4644220.0</v>
      </c>
      <c r="G309" s="7">
        <v>5191262.0</v>
      </c>
      <c r="H309" s="7">
        <v>9.498600649E9</v>
      </c>
      <c r="I309" s="7">
        <v>159051.0</v>
      </c>
      <c r="J309" s="7">
        <v>108383.0</v>
      </c>
      <c r="K309" s="7">
        <v>50668.0</v>
      </c>
      <c r="L309" s="7">
        <v>58.12</v>
      </c>
      <c r="M309" s="7">
        <v>-0.01</v>
      </c>
      <c r="N309" s="7">
        <v>57601.0</v>
      </c>
      <c r="O309" s="7">
        <v>1632636.0</v>
      </c>
      <c r="P309" s="7" t="s">
        <v>411</v>
      </c>
      <c r="Q309" s="7">
        <v>5004.04</v>
      </c>
      <c r="R309" s="3">
        <f t="shared" si="1"/>
        <v>10000</v>
      </c>
    </row>
    <row r="310" ht="22.5" customHeight="1">
      <c r="B310" s="7" t="s">
        <v>311</v>
      </c>
      <c r="C310" s="7">
        <v>69641.0</v>
      </c>
      <c r="D310" s="7">
        <v>226367.0</v>
      </c>
      <c r="E310" s="7">
        <v>1887994.0</v>
      </c>
      <c r="F310" s="7">
        <v>1864667.0</v>
      </c>
      <c r="G310" s="7">
        <v>5307436.0</v>
      </c>
      <c r="H310" s="7">
        <v>8.893024775E9</v>
      </c>
      <c r="I310" s="7">
        <v>91321.0</v>
      </c>
      <c r="J310" s="7">
        <v>83273.0</v>
      </c>
      <c r="K310" s="7">
        <v>8048.0</v>
      </c>
      <c r="L310" s="7">
        <v>106.0</v>
      </c>
      <c r="M310" s="7">
        <v>-0.06</v>
      </c>
      <c r="N310" s="7">
        <v>9966.0</v>
      </c>
      <c r="O310" s="7">
        <v>1135718.0</v>
      </c>
      <c r="P310" s="7" t="s">
        <v>411</v>
      </c>
      <c r="Q310" s="7">
        <v>5004.01</v>
      </c>
      <c r="R310" s="3">
        <f t="shared" si="1"/>
        <v>10000</v>
      </c>
    </row>
    <row r="311" ht="22.5" customHeight="1">
      <c r="B311" s="7" t="s">
        <v>313</v>
      </c>
      <c r="C311" s="7">
        <v>81920.0</v>
      </c>
      <c r="D311" s="7">
        <v>1.6496017E7</v>
      </c>
      <c r="E311" s="7">
        <v>7597542.0</v>
      </c>
      <c r="F311" s="7">
        <v>6857587.0</v>
      </c>
      <c r="G311" s="7">
        <v>2.96024322E8</v>
      </c>
      <c r="H311" s="7">
        <v>4.427653166E9</v>
      </c>
      <c r="I311" s="7">
        <v>269752.0</v>
      </c>
      <c r="J311" s="7">
        <v>243155.0</v>
      </c>
      <c r="K311" s="7">
        <v>26597.0</v>
      </c>
      <c r="L311" s="7">
        <v>317.19</v>
      </c>
      <c r="M311" s="7">
        <v>-0.08</v>
      </c>
      <c r="N311" s="7">
        <v>33483.0</v>
      </c>
      <c r="O311" s="7">
        <v>6.2321504E7</v>
      </c>
      <c r="P311" s="7" t="s">
        <v>411</v>
      </c>
      <c r="Q311" s="7">
        <v>5003.88</v>
      </c>
      <c r="R311" s="3">
        <f t="shared" si="1"/>
        <v>10000</v>
      </c>
    </row>
    <row r="312" ht="22.5" customHeight="1">
      <c r="B312" s="7" t="s">
        <v>150</v>
      </c>
      <c r="C312" s="7">
        <v>77824.0</v>
      </c>
      <c r="D312" s="7">
        <v>282013.0</v>
      </c>
      <c r="E312" s="7">
        <v>7770078.0</v>
      </c>
      <c r="F312" s="7">
        <v>7574101.0</v>
      </c>
      <c r="G312" s="7">
        <v>1.16693963E8</v>
      </c>
      <c r="H312" s="7">
        <v>2.4295282185E10</v>
      </c>
      <c r="I312" s="7">
        <v>332683.0</v>
      </c>
      <c r="J312" s="7">
        <v>315114.0</v>
      </c>
      <c r="K312" s="7">
        <v>17569.0</v>
      </c>
      <c r="L312" s="7">
        <v>73.96</v>
      </c>
      <c r="M312" s="7">
        <v>-0.11</v>
      </c>
      <c r="N312" s="7">
        <v>25821.0</v>
      </c>
      <c r="O312" s="7">
        <v>9890303.0</v>
      </c>
      <c r="P312" s="7" t="s">
        <v>411</v>
      </c>
      <c r="Q312" s="7">
        <v>5004.01</v>
      </c>
      <c r="R312" s="3">
        <f t="shared" si="1"/>
        <v>10000</v>
      </c>
    </row>
    <row r="313" ht="22.5" customHeight="1">
      <c r="B313" s="7" t="s">
        <v>261</v>
      </c>
      <c r="C313" s="7">
        <v>264264.0</v>
      </c>
      <c r="D313" s="7">
        <v>895141.0</v>
      </c>
      <c r="E313" s="7">
        <v>3634122.0</v>
      </c>
      <c r="F313" s="7">
        <v>3548338.0</v>
      </c>
      <c r="G313" s="7">
        <v>7.2521945E7</v>
      </c>
      <c r="H313" s="7">
        <v>2.2630702276E10</v>
      </c>
      <c r="I313" s="7">
        <v>117232.0</v>
      </c>
      <c r="J313" s="7">
        <v>104553.0</v>
      </c>
      <c r="K313" s="7">
        <v>12679.0</v>
      </c>
      <c r="L313" s="7">
        <v>73.69</v>
      </c>
      <c r="M313" s="7">
        <v>-0.09</v>
      </c>
      <c r="N313" s="7">
        <v>19618.0</v>
      </c>
      <c r="O313" s="7">
        <v>4316557.0</v>
      </c>
      <c r="P313" s="7" t="s">
        <v>411</v>
      </c>
      <c r="Q313" s="7">
        <v>5004.03</v>
      </c>
      <c r="R313" s="3">
        <f t="shared" si="1"/>
        <v>10000</v>
      </c>
    </row>
    <row r="314" ht="22.5" customHeight="1">
      <c r="B314" s="7" t="s">
        <v>315</v>
      </c>
      <c r="C314" s="7">
        <v>505648.0</v>
      </c>
      <c r="D314" s="7">
        <v>1677281.0</v>
      </c>
      <c r="E314" s="7">
        <v>1844633.0</v>
      </c>
      <c r="F314" s="7">
        <v>1789375.0</v>
      </c>
      <c r="G314" s="7">
        <v>8.0955076E7</v>
      </c>
      <c r="H314" s="7">
        <v>2.4522247839E10</v>
      </c>
      <c r="I314" s="7">
        <v>97118.0</v>
      </c>
      <c r="J314" s="7">
        <v>93762.0</v>
      </c>
      <c r="K314" s="7">
        <v>3356.0</v>
      </c>
      <c r="L314" s="7">
        <v>64.56</v>
      </c>
      <c r="M314" s="7">
        <v>-0.14</v>
      </c>
      <c r="N314" s="7">
        <v>5462.0</v>
      </c>
      <c r="O314" s="7">
        <v>5163562.0</v>
      </c>
      <c r="P314" s="7" t="s">
        <v>411</v>
      </c>
      <c r="Q314" s="7">
        <v>5003.98</v>
      </c>
      <c r="R314" s="3">
        <f t="shared" si="1"/>
        <v>10000</v>
      </c>
    </row>
    <row r="315" ht="22.5" customHeight="1">
      <c r="B315" s="7" t="s">
        <v>317</v>
      </c>
      <c r="C315" s="7">
        <v>70675.0</v>
      </c>
      <c r="D315" s="7">
        <v>106388.0</v>
      </c>
      <c r="E315" s="7">
        <v>1.715631E7</v>
      </c>
      <c r="F315" s="7">
        <v>1.6776621E7</v>
      </c>
      <c r="G315" s="7">
        <v>1.30580749E8</v>
      </c>
      <c r="H315" s="7">
        <v>3.299750003E9</v>
      </c>
      <c r="I315" s="7">
        <v>491771.0</v>
      </c>
      <c r="J315" s="7">
        <v>418670.0</v>
      </c>
      <c r="K315" s="7">
        <v>73101.0</v>
      </c>
      <c r="L315" s="7">
        <v>91.85</v>
      </c>
      <c r="M315" s="7">
        <v>-0.1</v>
      </c>
      <c r="N315" s="7">
        <v>106040.0</v>
      </c>
      <c r="O315" s="7">
        <v>1.4093144E7</v>
      </c>
      <c r="P315" s="7" t="s">
        <v>411</v>
      </c>
      <c r="Q315" s="7">
        <v>5004.05</v>
      </c>
      <c r="R315" s="3">
        <f t="shared" si="1"/>
        <v>10000</v>
      </c>
    </row>
    <row r="316" ht="22.5" customHeight="1">
      <c r="B316" s="7" t="s">
        <v>318</v>
      </c>
      <c r="C316" s="7">
        <v>111475.0</v>
      </c>
      <c r="D316" s="7">
        <v>138053.0</v>
      </c>
      <c r="E316" s="7">
        <v>1.8452352E7</v>
      </c>
      <c r="F316" s="7">
        <v>1.799939E7</v>
      </c>
      <c r="G316" s="7">
        <v>1.87304615E8</v>
      </c>
      <c r="H316" s="7">
        <v>3.290322378E9</v>
      </c>
      <c r="I316" s="7">
        <v>578657.0</v>
      </c>
      <c r="J316" s="7">
        <v>519497.0</v>
      </c>
      <c r="K316" s="7">
        <v>59160.0</v>
      </c>
      <c r="L316" s="7">
        <v>73.68</v>
      </c>
      <c r="M316" s="7">
        <v>-0.12</v>
      </c>
      <c r="N316" s="7">
        <v>92688.0</v>
      </c>
      <c r="O316" s="7">
        <v>2.1861933E7</v>
      </c>
      <c r="P316" s="7" t="s">
        <v>411</v>
      </c>
      <c r="Q316" s="7">
        <v>5004.03</v>
      </c>
      <c r="R316" s="3">
        <f t="shared" si="1"/>
        <v>10000</v>
      </c>
    </row>
    <row r="317" ht="22.5" customHeight="1">
      <c r="B317" s="7" t="s">
        <v>319</v>
      </c>
      <c r="C317" s="7">
        <v>168019.0</v>
      </c>
      <c r="D317" s="7">
        <v>173814.0</v>
      </c>
      <c r="E317" s="7">
        <v>1.8441129E7</v>
      </c>
      <c r="F317" s="7">
        <v>1.7972531E7</v>
      </c>
      <c r="G317" s="7">
        <v>2.25128105E8</v>
      </c>
      <c r="H317" s="7">
        <v>3.665934243E9</v>
      </c>
      <c r="I317" s="7">
        <v>598661.0</v>
      </c>
      <c r="J317" s="7">
        <v>543003.0</v>
      </c>
      <c r="K317" s="7">
        <v>55658.0</v>
      </c>
      <c r="L317" s="7">
        <v>71.69</v>
      </c>
      <c r="M317" s="7">
        <v>-0.13</v>
      </c>
      <c r="N317" s="7">
        <v>89340.0</v>
      </c>
      <c r="O317" s="7">
        <v>2.7717273E7</v>
      </c>
      <c r="P317" s="7" t="s">
        <v>411</v>
      </c>
      <c r="Q317" s="7">
        <v>5003.94</v>
      </c>
      <c r="R317" s="3">
        <f t="shared" si="1"/>
        <v>10000</v>
      </c>
    </row>
    <row r="318" ht="22.5" customHeight="1">
      <c r="B318" s="7" t="s">
        <v>320</v>
      </c>
      <c r="C318" s="7">
        <v>243955.0</v>
      </c>
      <c r="D318" s="7">
        <v>213707.0</v>
      </c>
      <c r="E318" s="7">
        <v>1.9333976E7</v>
      </c>
      <c r="F318" s="7">
        <v>1.8819265E7</v>
      </c>
      <c r="G318" s="7">
        <v>2.95376624E8</v>
      </c>
      <c r="H318" s="7">
        <v>4.402314507E9</v>
      </c>
      <c r="I318" s="7">
        <v>694636.0</v>
      </c>
      <c r="J318" s="7">
        <v>641262.0</v>
      </c>
      <c r="K318" s="7">
        <v>53374.0</v>
      </c>
      <c r="L318" s="7">
        <v>69.53</v>
      </c>
      <c r="M318" s="7">
        <v>-0.14</v>
      </c>
      <c r="N318" s="7">
        <v>87156.0</v>
      </c>
      <c r="O318" s="7">
        <v>3.8048324E7</v>
      </c>
      <c r="P318" s="7" t="s">
        <v>411</v>
      </c>
      <c r="Q318" s="7">
        <v>5003.97</v>
      </c>
      <c r="R318" s="3">
        <f t="shared" si="1"/>
        <v>10000</v>
      </c>
    </row>
    <row r="319" ht="22.5" customHeight="1">
      <c r="B319" s="7" t="s">
        <v>321</v>
      </c>
      <c r="C319" s="7">
        <v>344469.0</v>
      </c>
      <c r="D319" s="7">
        <v>286016.0</v>
      </c>
      <c r="E319" s="7">
        <v>1.9877352E7</v>
      </c>
      <c r="F319" s="7">
        <v>1.9329863E7</v>
      </c>
      <c r="G319" s="7">
        <v>3.52923986E8</v>
      </c>
      <c r="H319" s="7">
        <v>5.243677539E9</v>
      </c>
      <c r="I319" s="7">
        <v>740777.0</v>
      </c>
      <c r="J319" s="7">
        <v>689749.0</v>
      </c>
      <c r="K319" s="7">
        <v>51028.0</v>
      </c>
      <c r="L319" s="7">
        <v>67.76</v>
      </c>
      <c r="M319" s="7">
        <v>-0.15</v>
      </c>
      <c r="N319" s="7">
        <v>84911.0</v>
      </c>
      <c r="O319" s="7">
        <v>4.9430951E7</v>
      </c>
      <c r="P319" s="7" t="s">
        <v>411</v>
      </c>
      <c r="Q319" s="7">
        <v>5004.0</v>
      </c>
      <c r="R319" s="3">
        <f t="shared" si="1"/>
        <v>10000</v>
      </c>
    </row>
    <row r="320" ht="22.5" customHeight="1">
      <c r="B320" s="7" t="s">
        <v>322</v>
      </c>
      <c r="C320" s="7">
        <v>141985.0</v>
      </c>
      <c r="D320" s="7">
        <v>634173.0</v>
      </c>
      <c r="E320" s="7">
        <v>1.1469464E7</v>
      </c>
      <c r="F320" s="7">
        <v>1.1218494E7</v>
      </c>
      <c r="G320" s="7">
        <v>5.4156903E7</v>
      </c>
      <c r="H320" s="7">
        <v>7.602848871E9</v>
      </c>
      <c r="I320" s="7">
        <v>517839.0</v>
      </c>
      <c r="J320" s="7">
        <v>479307.0</v>
      </c>
      <c r="K320" s="7">
        <v>38532.0</v>
      </c>
      <c r="L320" s="7">
        <v>58.46</v>
      </c>
      <c r="M320" s="7">
        <v>-0.12</v>
      </c>
      <c r="N320" s="7">
        <v>56699.0</v>
      </c>
      <c r="O320" s="7">
        <v>7105088.0</v>
      </c>
      <c r="P320" s="7" t="s">
        <v>411</v>
      </c>
      <c r="Q320" s="7">
        <v>5003.98</v>
      </c>
      <c r="R320" s="3">
        <f t="shared" si="1"/>
        <v>10000</v>
      </c>
    </row>
    <row r="321" ht="22.5" customHeight="1">
      <c r="B321" s="7" t="s">
        <v>323</v>
      </c>
      <c r="C321" s="7">
        <v>59794.0</v>
      </c>
      <c r="D321" s="7">
        <v>243931.0</v>
      </c>
      <c r="E321" s="7">
        <v>1.1099427E7</v>
      </c>
      <c r="F321" s="7">
        <v>1.0913786E7</v>
      </c>
      <c r="G321" s="7">
        <v>3.3303921E7</v>
      </c>
      <c r="H321" s="7">
        <v>2.856457185E9</v>
      </c>
      <c r="I321" s="7">
        <v>530374.0</v>
      </c>
      <c r="J321" s="7">
        <v>481699.0</v>
      </c>
      <c r="K321" s="7">
        <v>48675.0</v>
      </c>
      <c r="L321" s="7">
        <v>54.13</v>
      </c>
      <c r="M321" s="7">
        <v>-0.1</v>
      </c>
      <c r="N321" s="7">
        <v>65185.0</v>
      </c>
      <c r="O321" s="7">
        <v>4857893.0</v>
      </c>
      <c r="P321" s="7" t="s">
        <v>411</v>
      </c>
      <c r="Q321" s="7">
        <v>5003.99</v>
      </c>
      <c r="R321" s="3">
        <f t="shared" si="1"/>
        <v>10000</v>
      </c>
    </row>
    <row r="322" ht="22.5" customHeight="1">
      <c r="B322" s="7" t="s">
        <v>327</v>
      </c>
      <c r="C322" s="7">
        <v>7021.0</v>
      </c>
      <c r="D322" s="7">
        <v>95854.0</v>
      </c>
      <c r="E322" s="7">
        <v>1.4679579E7</v>
      </c>
      <c r="F322" s="7">
        <v>1.4521071E7</v>
      </c>
      <c r="G322" s="7">
        <v>2.3363189E7</v>
      </c>
      <c r="H322" s="7">
        <v>4.156376791E9</v>
      </c>
      <c r="I322" s="7">
        <v>524620.0</v>
      </c>
      <c r="J322" s="7">
        <v>410321.0</v>
      </c>
      <c r="K322" s="7">
        <v>114299.0</v>
      </c>
      <c r="L322" s="7">
        <v>25.93</v>
      </c>
      <c r="M322" s="7">
        <v>-0.06</v>
      </c>
      <c r="N322" s="7">
        <v>139916.0</v>
      </c>
      <c r="O322" s="7">
        <v>4583505.0</v>
      </c>
      <c r="P322" s="7" t="s">
        <v>411</v>
      </c>
      <c r="Q322" s="7">
        <v>5004.0</v>
      </c>
      <c r="R322" s="3">
        <f t="shared" si="1"/>
        <v>10000</v>
      </c>
    </row>
    <row r="323" ht="22.5" customHeight="1">
      <c r="B323" s="7" t="s">
        <v>259</v>
      </c>
      <c r="C323" s="7">
        <v>4680.0</v>
      </c>
      <c r="D323" s="7">
        <v>39640.0</v>
      </c>
      <c r="E323" s="7">
        <v>1.6923881E7</v>
      </c>
      <c r="F323" s="7">
        <v>1.656271E7</v>
      </c>
      <c r="G323" s="7">
        <v>1.07052433E8</v>
      </c>
      <c r="H323" s="7">
        <v>4.83586181E9</v>
      </c>
      <c r="I323" s="7">
        <v>553902.0</v>
      </c>
      <c r="J323" s="7">
        <v>454187.0</v>
      </c>
      <c r="K323" s="7">
        <v>99715.0</v>
      </c>
      <c r="L323" s="7">
        <v>98.53</v>
      </c>
      <c r="M323" s="7">
        <v>-0.1</v>
      </c>
      <c r="N323" s="7">
        <v>131548.0</v>
      </c>
      <c r="O323" s="7">
        <v>1.0594919E7</v>
      </c>
      <c r="P323" s="7" t="s">
        <v>411</v>
      </c>
      <c r="Q323" s="7">
        <v>5004.01</v>
      </c>
      <c r="R323" s="3">
        <f t="shared" si="1"/>
        <v>10000</v>
      </c>
    </row>
    <row r="324" ht="22.5" customHeight="1">
      <c r="B324" s="7" t="s">
        <v>325</v>
      </c>
      <c r="C324" s="7">
        <v>126152.0</v>
      </c>
      <c r="D324" s="7">
        <v>1297025.0</v>
      </c>
      <c r="E324" s="7">
        <v>6330627.0</v>
      </c>
      <c r="F324" s="7">
        <v>4117735.0</v>
      </c>
      <c r="G324" s="7">
        <v>3.53996023E8</v>
      </c>
      <c r="H324" s="7">
        <v>1.1278318046E10</v>
      </c>
      <c r="I324" s="7">
        <v>156719.0</v>
      </c>
      <c r="J324" s="7">
        <v>148468.0</v>
      </c>
      <c r="K324" s="7">
        <v>8251.0</v>
      </c>
      <c r="L324" s="7">
        <v>478.68</v>
      </c>
      <c r="M324" s="7">
        <v>-0.19</v>
      </c>
      <c r="N324" s="7">
        <v>16324.0</v>
      </c>
      <c r="O324" s="7">
        <v>4.0354246E7</v>
      </c>
      <c r="P324" s="7" t="s">
        <v>411</v>
      </c>
      <c r="Q324" s="7">
        <v>5004.12</v>
      </c>
      <c r="R324" s="3">
        <f t="shared" si="1"/>
        <v>10000</v>
      </c>
    </row>
    <row r="325" ht="22.5" customHeight="1">
      <c r="B325" s="7" t="s">
        <v>326</v>
      </c>
      <c r="C325" s="7">
        <v>189446.0</v>
      </c>
      <c r="D325" s="7">
        <v>2004246.0</v>
      </c>
      <c r="E325" s="7">
        <v>6388295.0</v>
      </c>
      <c r="F325" s="7">
        <v>3837931.0</v>
      </c>
      <c r="G325" s="7">
        <v>4.11511035E8</v>
      </c>
      <c r="H325" s="7">
        <v>1.3209499844E10</v>
      </c>
      <c r="I325" s="7">
        <v>143831.0</v>
      </c>
      <c r="J325" s="7">
        <v>136483.0</v>
      </c>
      <c r="K325" s="7">
        <v>7348.0</v>
      </c>
      <c r="L325" s="7">
        <v>509.71</v>
      </c>
      <c r="M325" s="7">
        <v>-0.18</v>
      </c>
      <c r="N325" s="7">
        <v>15151.0</v>
      </c>
      <c r="O325" s="7">
        <v>4.8020709E7</v>
      </c>
      <c r="P325" s="7" t="s">
        <v>411</v>
      </c>
      <c r="Q325" s="7">
        <v>5003.83</v>
      </c>
      <c r="R325" s="3">
        <f t="shared" si="1"/>
        <v>10000</v>
      </c>
    </row>
    <row r="326" ht="22.5" customHeight="1">
      <c r="B326" s="7" t="s">
        <v>329</v>
      </c>
      <c r="C326" s="7">
        <v>6300.0</v>
      </c>
      <c r="D326" s="7">
        <v>114816.0</v>
      </c>
      <c r="E326" s="7">
        <v>3.262681E7</v>
      </c>
      <c r="F326" s="7">
        <v>3.2364072E7</v>
      </c>
      <c r="G326" s="7">
        <v>3.7488625E7</v>
      </c>
      <c r="H326" s="7">
        <v>2.25605677E9</v>
      </c>
      <c r="I326" s="7">
        <v>1324798.0</v>
      </c>
      <c r="J326" s="7">
        <v>1150214.0</v>
      </c>
      <c r="K326" s="7">
        <v>174584.0</v>
      </c>
      <c r="L326" s="7">
        <v>52.43</v>
      </c>
      <c r="M326" s="7">
        <v>-0.03</v>
      </c>
      <c r="N326" s="7">
        <v>203055.0</v>
      </c>
      <c r="O326" s="7">
        <v>1.920867E7</v>
      </c>
      <c r="P326" s="7" t="s">
        <v>411</v>
      </c>
      <c r="Q326" s="7">
        <v>5003.85</v>
      </c>
      <c r="R326" s="3">
        <f t="shared" si="1"/>
        <v>10000</v>
      </c>
    </row>
    <row r="327" ht="22.5" customHeight="1">
      <c r="B327" s="7" t="s">
        <v>330</v>
      </c>
      <c r="C327" s="7">
        <v>28147.0</v>
      </c>
      <c r="D327" s="7">
        <v>108399.0</v>
      </c>
      <c r="E327" s="7">
        <v>1.0486223E7</v>
      </c>
      <c r="F327" s="7">
        <v>1.0034046E7</v>
      </c>
      <c r="G327" s="7">
        <v>1.31370591E8</v>
      </c>
      <c r="H327" s="7">
        <v>6.906400064E9</v>
      </c>
      <c r="I327" s="7">
        <v>543079.0</v>
      </c>
      <c r="J327" s="7">
        <v>518882.0</v>
      </c>
      <c r="K327" s="7">
        <v>24197.0</v>
      </c>
      <c r="L327" s="7">
        <v>180.21</v>
      </c>
      <c r="M327" s="7">
        <v>-0.15</v>
      </c>
      <c r="N327" s="7">
        <v>39730.0</v>
      </c>
      <c r="O327" s="7">
        <v>6755557.0</v>
      </c>
      <c r="P327" s="7" t="s">
        <v>411</v>
      </c>
      <c r="Q327" s="7">
        <v>5003.96</v>
      </c>
      <c r="R327" s="3">
        <f t="shared" si="1"/>
        <v>10000</v>
      </c>
    </row>
    <row r="328" ht="22.5" customHeight="1">
      <c r="B328" s="7" t="s">
        <v>331</v>
      </c>
      <c r="C328" s="7">
        <v>36809.0</v>
      </c>
      <c r="D328" s="7">
        <v>142448.0</v>
      </c>
      <c r="E328" s="7">
        <v>8119214.0</v>
      </c>
      <c r="F328" s="7">
        <v>7636639.0</v>
      </c>
      <c r="G328" s="7">
        <v>2.82717687E8</v>
      </c>
      <c r="H328" s="7">
        <v>8.475733807E9</v>
      </c>
      <c r="I328" s="7">
        <v>505041.0</v>
      </c>
      <c r="J328" s="7">
        <v>493411.0</v>
      </c>
      <c r="K328" s="7">
        <v>11630.0</v>
      </c>
      <c r="L328" s="7">
        <v>205.33</v>
      </c>
      <c r="M328" s="7">
        <v>-0.2</v>
      </c>
      <c r="N328" s="7">
        <v>20132.0</v>
      </c>
      <c r="O328" s="7">
        <v>1.3210496E7</v>
      </c>
      <c r="P328" s="7" t="s">
        <v>411</v>
      </c>
      <c r="Q328" s="7">
        <v>5003.98</v>
      </c>
      <c r="R328" s="3">
        <f t="shared" si="1"/>
        <v>10000</v>
      </c>
    </row>
    <row r="329" ht="22.5" customHeight="1">
      <c r="B329" s="7" t="s">
        <v>332</v>
      </c>
      <c r="C329" s="7">
        <v>8590.0</v>
      </c>
      <c r="D329" s="7">
        <v>65144.0</v>
      </c>
      <c r="E329" s="7">
        <v>1.4584535E7</v>
      </c>
      <c r="F329" s="7">
        <v>1.4188029E7</v>
      </c>
      <c r="G329" s="7">
        <v>1.85016144E8</v>
      </c>
      <c r="H329" s="7">
        <v>2.525986747E9</v>
      </c>
      <c r="I329" s="7">
        <v>423565.0</v>
      </c>
      <c r="J329" s="7">
        <v>372618.0</v>
      </c>
      <c r="K329" s="7">
        <v>50947.0</v>
      </c>
      <c r="L329" s="7">
        <v>101.6</v>
      </c>
      <c r="M329" s="7">
        <v>-0.16</v>
      </c>
      <c r="N329" s="7">
        <v>78899.0</v>
      </c>
      <c r="O329" s="7">
        <v>2.2310104E7</v>
      </c>
      <c r="P329" s="7" t="s">
        <v>411</v>
      </c>
      <c r="Q329" s="7">
        <v>5003.89</v>
      </c>
      <c r="R329" s="3">
        <f t="shared" si="1"/>
        <v>10000</v>
      </c>
    </row>
    <row r="330" ht="22.5" customHeight="1">
      <c r="B330" s="7" t="s">
        <v>333</v>
      </c>
      <c r="C330" s="7">
        <v>8591.0</v>
      </c>
      <c r="D330" s="7">
        <v>65154.0</v>
      </c>
      <c r="E330" s="7">
        <v>1.7046426E7</v>
      </c>
      <c r="F330" s="7">
        <v>1.6588251E7</v>
      </c>
      <c r="G330" s="7">
        <v>2.08487931E8</v>
      </c>
      <c r="H330" s="7">
        <v>2.892790645E9</v>
      </c>
      <c r="I330" s="7">
        <v>469078.0</v>
      </c>
      <c r="J330" s="7">
        <v>410103.0</v>
      </c>
      <c r="K330" s="7">
        <v>58975.0</v>
      </c>
      <c r="L330" s="7">
        <v>95.94</v>
      </c>
      <c r="M330" s="7">
        <v>-0.15</v>
      </c>
      <c r="N330" s="7">
        <v>92526.0</v>
      </c>
      <c r="O330" s="7">
        <v>2.4903543E7</v>
      </c>
      <c r="P330" s="7" t="s">
        <v>411</v>
      </c>
      <c r="Q330" s="7">
        <v>5003.99</v>
      </c>
      <c r="R330" s="3">
        <f t="shared" si="1"/>
        <v>10000</v>
      </c>
    </row>
    <row r="331" ht="22.5" customHeight="1">
      <c r="B331" s="7" t="s">
        <v>334</v>
      </c>
      <c r="C331" s="7">
        <v>24975.0</v>
      </c>
      <c r="D331" s="7">
        <v>111780.0</v>
      </c>
      <c r="E331" s="7">
        <v>2.8342445E7</v>
      </c>
      <c r="F331" s="7">
        <v>2.7678555E7</v>
      </c>
      <c r="G331" s="7">
        <v>3.8665125E8</v>
      </c>
      <c r="H331" s="7">
        <v>6.954632131E9</v>
      </c>
      <c r="I331" s="7">
        <v>1760807.0</v>
      </c>
      <c r="J331" s="7">
        <v>1699926.0</v>
      </c>
      <c r="K331" s="7">
        <v>60881.0</v>
      </c>
      <c r="L331" s="7">
        <v>59.19</v>
      </c>
      <c r="M331" s="7">
        <v>-0.16</v>
      </c>
      <c r="N331" s="7">
        <v>94390.0</v>
      </c>
      <c r="O331" s="7">
        <v>2.8019453E7</v>
      </c>
      <c r="P331" s="7" t="s">
        <v>411</v>
      </c>
      <c r="Q331" s="7">
        <v>5003.98</v>
      </c>
      <c r="R331" s="3">
        <f t="shared" si="1"/>
        <v>10000</v>
      </c>
    </row>
    <row r="332" ht="22.5" customHeight="1">
      <c r="B332" s="7" t="s">
        <v>335</v>
      </c>
      <c r="C332" s="7">
        <v>26541.0</v>
      </c>
      <c r="D332" s="7">
        <v>117126.0</v>
      </c>
      <c r="E332" s="7">
        <v>2.5531627E7</v>
      </c>
      <c r="F332" s="7">
        <v>2.5087515E7</v>
      </c>
      <c r="G332" s="7">
        <v>2.4645352E8</v>
      </c>
      <c r="H332" s="7">
        <v>4.954674342E9</v>
      </c>
      <c r="I332" s="7">
        <v>1204950.0</v>
      </c>
      <c r="J332" s="7">
        <v>1141212.0</v>
      </c>
      <c r="K332" s="7">
        <v>63738.0</v>
      </c>
      <c r="L332" s="7">
        <v>60.7</v>
      </c>
      <c r="M332" s="7">
        <v>-0.14</v>
      </c>
      <c r="N332" s="7">
        <v>97147.0</v>
      </c>
      <c r="O332" s="7">
        <v>2.457548E7</v>
      </c>
      <c r="P332" s="7" t="s">
        <v>411</v>
      </c>
      <c r="Q332" s="7">
        <v>5004.01</v>
      </c>
      <c r="R332" s="3">
        <f t="shared" si="1"/>
        <v>10000</v>
      </c>
    </row>
    <row r="333" ht="22.5" customHeight="1">
      <c r="B333" s="7" t="s">
        <v>336</v>
      </c>
      <c r="C333" s="7">
        <v>26541.0</v>
      </c>
      <c r="D333" s="7">
        <v>117126.0</v>
      </c>
      <c r="E333" s="7">
        <v>2.8845482E7</v>
      </c>
      <c r="F333" s="7">
        <v>2.8306794E7</v>
      </c>
      <c r="G333" s="7">
        <v>3.07635683E8</v>
      </c>
      <c r="H333" s="7">
        <v>5.785936443E9</v>
      </c>
      <c r="I333" s="7">
        <v>1494198.0</v>
      </c>
      <c r="J333" s="7">
        <v>1431145.0</v>
      </c>
      <c r="K333" s="7">
        <v>63053.0</v>
      </c>
      <c r="L333" s="7">
        <v>56.93</v>
      </c>
      <c r="M333" s="7">
        <v>-0.15</v>
      </c>
      <c r="N333" s="7">
        <v>96490.0</v>
      </c>
      <c r="O333" s="7">
        <v>3.1534611E7</v>
      </c>
      <c r="P333" s="7" t="s">
        <v>411</v>
      </c>
      <c r="Q333" s="7">
        <v>5004.02</v>
      </c>
      <c r="R333" s="3">
        <f t="shared" si="1"/>
        <v>10000</v>
      </c>
    </row>
    <row r="334" ht="22.5" customHeight="1">
      <c r="B334" s="7" t="s">
        <v>337</v>
      </c>
      <c r="C334" s="7">
        <v>26541.0</v>
      </c>
      <c r="D334" s="7">
        <v>117126.0</v>
      </c>
      <c r="E334" s="7">
        <v>2.8063872E7</v>
      </c>
      <c r="F334" s="7">
        <v>2.7554461E7</v>
      </c>
      <c r="G334" s="7">
        <v>2.88291264E8</v>
      </c>
      <c r="H334" s="7">
        <v>5.443949802E9</v>
      </c>
      <c r="I334" s="7">
        <v>1404163.0</v>
      </c>
      <c r="J334" s="7">
        <v>1339974.0</v>
      </c>
      <c r="K334" s="7">
        <v>64189.0</v>
      </c>
      <c r="L334" s="7">
        <v>58.87</v>
      </c>
      <c r="M334" s="7">
        <v>-0.14</v>
      </c>
      <c r="N334" s="7">
        <v>97579.0</v>
      </c>
      <c r="O334" s="7">
        <v>2.9147128E7</v>
      </c>
      <c r="P334" s="7" t="s">
        <v>411</v>
      </c>
      <c r="Q334" s="7">
        <v>5003.97</v>
      </c>
      <c r="R334" s="3">
        <f t="shared" si="1"/>
        <v>10000</v>
      </c>
    </row>
    <row r="335" ht="22.5" customHeight="1">
      <c r="B335" s="7" t="s">
        <v>338</v>
      </c>
      <c r="C335" s="7">
        <v>26541.0</v>
      </c>
      <c r="D335" s="7">
        <v>117126.0</v>
      </c>
      <c r="E335" s="7">
        <v>3.0306619E7</v>
      </c>
      <c r="F335" s="7">
        <v>2.9741626E7</v>
      </c>
      <c r="G335" s="7">
        <v>3.18946031E8</v>
      </c>
      <c r="H335" s="7">
        <v>5.907250917E9</v>
      </c>
      <c r="I335" s="7">
        <v>1543187.0</v>
      </c>
      <c r="J335" s="7">
        <v>1477025.0</v>
      </c>
      <c r="K335" s="7">
        <v>66162.0</v>
      </c>
      <c r="L335" s="7">
        <v>57.41</v>
      </c>
      <c r="M335" s="7">
        <v>-0.14</v>
      </c>
      <c r="N335" s="7">
        <v>99466.0</v>
      </c>
      <c r="O335" s="7">
        <v>3.3160056E7</v>
      </c>
      <c r="P335" s="7" t="s">
        <v>411</v>
      </c>
      <c r="Q335" s="7">
        <v>5003.98</v>
      </c>
      <c r="R335" s="3">
        <f t="shared" si="1"/>
        <v>10000</v>
      </c>
    </row>
    <row r="336" ht="22.5" customHeight="1">
      <c r="B336" s="7" t="s">
        <v>339</v>
      </c>
      <c r="C336" s="7">
        <v>26541.0</v>
      </c>
      <c r="D336" s="7">
        <v>117126.0</v>
      </c>
      <c r="E336" s="7">
        <v>2.7057275E7</v>
      </c>
      <c r="F336" s="7">
        <v>2.656888E7</v>
      </c>
      <c r="G336" s="7">
        <v>2.55242705E8</v>
      </c>
      <c r="H336" s="7">
        <v>5.199018038E9</v>
      </c>
      <c r="I336" s="7">
        <v>1194980.0</v>
      </c>
      <c r="J336" s="7">
        <v>1131657.0</v>
      </c>
      <c r="K336" s="7">
        <v>63323.0</v>
      </c>
      <c r="L336" s="7">
        <v>61.73</v>
      </c>
      <c r="M336" s="7">
        <v>-0.14</v>
      </c>
      <c r="N336" s="7">
        <v>96748.0</v>
      </c>
      <c r="O336" s="7">
        <v>2.8483025E7</v>
      </c>
      <c r="P336" s="7" t="s">
        <v>411</v>
      </c>
      <c r="Q336" s="7">
        <v>5004.02</v>
      </c>
      <c r="R336" s="3">
        <f t="shared" si="1"/>
        <v>10000</v>
      </c>
    </row>
    <row r="337" ht="22.5" customHeight="1">
      <c r="B337" s="7" t="s">
        <v>340</v>
      </c>
      <c r="C337" s="7">
        <v>26541.0</v>
      </c>
      <c r="D337" s="7">
        <v>117126.0</v>
      </c>
      <c r="E337" s="7">
        <v>2.5425385E7</v>
      </c>
      <c r="F337" s="7">
        <v>2.4970047E7</v>
      </c>
      <c r="G337" s="7">
        <v>2.51400728E8</v>
      </c>
      <c r="H337" s="7">
        <v>4.973020875E9</v>
      </c>
      <c r="I337" s="7">
        <v>1204427.0</v>
      </c>
      <c r="J337" s="7">
        <v>1140445.0</v>
      </c>
      <c r="K337" s="7">
        <v>63982.0</v>
      </c>
      <c r="L337" s="7">
        <v>61.21</v>
      </c>
      <c r="M337" s="7">
        <v>-0.14</v>
      </c>
      <c r="N337" s="7">
        <v>97380.0</v>
      </c>
      <c r="O337" s="7">
        <v>2.5015752E7</v>
      </c>
      <c r="P337" s="7" t="s">
        <v>411</v>
      </c>
      <c r="Q337" s="7">
        <v>5004.04</v>
      </c>
      <c r="R337" s="3">
        <f t="shared" si="1"/>
        <v>10000</v>
      </c>
    </row>
    <row r="338" ht="22.5" customHeight="1">
      <c r="B338" s="7" t="s">
        <v>341</v>
      </c>
      <c r="C338" s="7">
        <v>26541.0</v>
      </c>
      <c r="D338" s="7">
        <v>117126.0</v>
      </c>
      <c r="E338" s="7">
        <v>2.4444876E7</v>
      </c>
      <c r="F338" s="7">
        <v>2.4031031E7</v>
      </c>
      <c r="G338" s="7">
        <v>2.28812499E8</v>
      </c>
      <c r="H338" s="7">
        <v>4.635163392E9</v>
      </c>
      <c r="I338" s="7">
        <v>1144354.0</v>
      </c>
      <c r="J338" s="7">
        <v>1079004.0</v>
      </c>
      <c r="K338" s="7">
        <v>65350.0</v>
      </c>
      <c r="L338" s="7">
        <v>62.67</v>
      </c>
      <c r="M338" s="7">
        <v>-0.13</v>
      </c>
      <c r="N338" s="7">
        <v>98687.0</v>
      </c>
      <c r="O338" s="7">
        <v>2.1656344E7</v>
      </c>
      <c r="P338" s="7" t="s">
        <v>411</v>
      </c>
      <c r="Q338" s="7">
        <v>5004.0</v>
      </c>
      <c r="R338" s="3">
        <f t="shared" si="1"/>
        <v>10000</v>
      </c>
    </row>
    <row r="339" ht="22.5" customHeight="1">
      <c r="B339" s="7" t="s">
        <v>342</v>
      </c>
      <c r="C339" s="7">
        <v>26541.0</v>
      </c>
      <c r="D339" s="7">
        <v>117126.0</v>
      </c>
      <c r="E339" s="7">
        <v>2.8962493E7</v>
      </c>
      <c r="F339" s="7">
        <v>2.8443432E7</v>
      </c>
      <c r="G339" s="7">
        <v>2.867977E8</v>
      </c>
      <c r="H339" s="7">
        <v>5.479770243E9</v>
      </c>
      <c r="I339" s="7">
        <v>1397136.0</v>
      </c>
      <c r="J339" s="7">
        <v>1334118.0</v>
      </c>
      <c r="K339" s="7">
        <v>63018.0</v>
      </c>
      <c r="L339" s="7">
        <v>58.45</v>
      </c>
      <c r="M339" s="7">
        <v>-0.14</v>
      </c>
      <c r="N339" s="7">
        <v>96458.0</v>
      </c>
      <c r="O339" s="7">
        <v>3.0286777E7</v>
      </c>
      <c r="P339" s="7" t="s">
        <v>411</v>
      </c>
      <c r="Q339" s="7">
        <v>5004.0</v>
      </c>
      <c r="R339" s="3">
        <f t="shared" si="1"/>
        <v>10000</v>
      </c>
    </row>
    <row r="340" ht="22.5" customHeight="1">
      <c r="B340" s="7" t="s">
        <v>343</v>
      </c>
      <c r="C340" s="7">
        <v>26541.0</v>
      </c>
      <c r="D340" s="7">
        <v>117126.0</v>
      </c>
      <c r="E340" s="7">
        <v>2.9564465E7</v>
      </c>
      <c r="F340" s="7">
        <v>2.9032086E7</v>
      </c>
      <c r="G340" s="7">
        <v>2.99076724E8</v>
      </c>
      <c r="H340" s="7">
        <v>5.658869591E9</v>
      </c>
      <c r="I340" s="7">
        <v>1464815.0</v>
      </c>
      <c r="J340" s="7">
        <v>1400426.0</v>
      </c>
      <c r="K340" s="7">
        <v>64389.0</v>
      </c>
      <c r="L340" s="7">
        <v>58.88</v>
      </c>
      <c r="M340" s="7">
        <v>-0.14</v>
      </c>
      <c r="N340" s="7">
        <v>97770.0</v>
      </c>
      <c r="O340" s="7">
        <v>3.087253E7</v>
      </c>
      <c r="P340" s="7" t="s">
        <v>411</v>
      </c>
      <c r="Q340" s="7">
        <v>5003.99</v>
      </c>
      <c r="R340" s="3">
        <f t="shared" si="1"/>
        <v>10000</v>
      </c>
    </row>
    <row r="341" ht="22.5" customHeight="1">
      <c r="B341" s="7" t="s">
        <v>344</v>
      </c>
      <c r="C341" s="7">
        <v>26541.0</v>
      </c>
      <c r="D341" s="7">
        <v>117126.0</v>
      </c>
      <c r="E341" s="7">
        <v>2.3934718E7</v>
      </c>
      <c r="F341" s="7">
        <v>2.3507578E7</v>
      </c>
      <c r="G341" s="7">
        <v>2.17772651E8</v>
      </c>
      <c r="H341" s="7">
        <v>4.572123846E9</v>
      </c>
      <c r="I341" s="7">
        <v>1023902.0</v>
      </c>
      <c r="J341" s="7">
        <v>958638.0</v>
      </c>
      <c r="K341" s="7">
        <v>65264.0</v>
      </c>
      <c r="L341" s="7">
        <v>65.21</v>
      </c>
      <c r="M341" s="7">
        <v>-0.13</v>
      </c>
      <c r="N341" s="7">
        <v>98606.0</v>
      </c>
      <c r="O341" s="7">
        <v>2.2245982E7</v>
      </c>
      <c r="P341" s="7" t="s">
        <v>411</v>
      </c>
      <c r="Q341" s="7">
        <v>5004.02</v>
      </c>
      <c r="R341" s="3">
        <f t="shared" si="1"/>
        <v>10000</v>
      </c>
    </row>
    <row r="342" ht="22.5" customHeight="1">
      <c r="B342" s="7" t="s">
        <v>345</v>
      </c>
      <c r="C342" s="7">
        <v>26541.0</v>
      </c>
      <c r="D342" s="7">
        <v>117126.0</v>
      </c>
      <c r="E342" s="7">
        <v>2.2893372E7</v>
      </c>
      <c r="F342" s="7">
        <v>2.2486153E7</v>
      </c>
      <c r="G342" s="7">
        <v>2.08433282E8</v>
      </c>
      <c r="H342" s="7">
        <v>4.350447786E9</v>
      </c>
      <c r="I342" s="7">
        <v>996839.0</v>
      </c>
      <c r="J342" s="7">
        <v>931844.0</v>
      </c>
      <c r="K342" s="7">
        <v>64995.0</v>
      </c>
      <c r="L342" s="7">
        <v>67.82</v>
      </c>
      <c r="M342" s="7">
        <v>-0.13</v>
      </c>
      <c r="N342" s="7">
        <v>98346.0</v>
      </c>
      <c r="O342" s="7">
        <v>2.008013E7</v>
      </c>
      <c r="P342" s="7" t="s">
        <v>411</v>
      </c>
      <c r="Q342" s="7">
        <v>5004.01</v>
      </c>
      <c r="R342" s="3">
        <f t="shared" si="1"/>
        <v>10000</v>
      </c>
    </row>
    <row r="343" ht="22.5" customHeight="1">
      <c r="B343" s="7" t="s">
        <v>346</v>
      </c>
      <c r="C343" s="7">
        <v>26541.0</v>
      </c>
      <c r="D343" s="7">
        <v>117126.0</v>
      </c>
      <c r="E343" s="7">
        <v>2.4227179E7</v>
      </c>
      <c r="F343" s="7">
        <v>2.3791064E7</v>
      </c>
      <c r="G343" s="7">
        <v>2.36390393E8</v>
      </c>
      <c r="H343" s="7">
        <v>4.733524747E9</v>
      </c>
      <c r="I343" s="7">
        <v>1150501.0</v>
      </c>
      <c r="J343" s="7">
        <v>1085110.0</v>
      </c>
      <c r="K343" s="7">
        <v>65391.0</v>
      </c>
      <c r="L343" s="7">
        <v>63.99</v>
      </c>
      <c r="M343" s="7">
        <v>-0.13</v>
      </c>
      <c r="N343" s="7">
        <v>98725.0</v>
      </c>
      <c r="O343" s="7">
        <v>2.2149582E7</v>
      </c>
      <c r="P343" s="7" t="s">
        <v>411</v>
      </c>
      <c r="Q343" s="7">
        <v>5004.0</v>
      </c>
      <c r="R343" s="3">
        <f t="shared" si="1"/>
        <v>10000</v>
      </c>
    </row>
    <row r="344" ht="22.5" customHeight="1">
      <c r="B344" s="7" t="s">
        <v>347</v>
      </c>
      <c r="C344" s="7">
        <v>26541.0</v>
      </c>
      <c r="D344" s="7">
        <v>117126.0</v>
      </c>
      <c r="E344" s="7">
        <v>2.8992429E7</v>
      </c>
      <c r="F344" s="7">
        <v>2.8453005E7</v>
      </c>
      <c r="G344" s="7">
        <v>3.15331699E8</v>
      </c>
      <c r="H344" s="7">
        <v>5.793738711E9</v>
      </c>
      <c r="I344" s="7">
        <v>1558593.0</v>
      </c>
      <c r="J344" s="7">
        <v>1493682.0</v>
      </c>
      <c r="K344" s="7">
        <v>64911.0</v>
      </c>
      <c r="L344" s="7">
        <v>58.34</v>
      </c>
      <c r="M344" s="7">
        <v>-0.15</v>
      </c>
      <c r="N344" s="7">
        <v>98269.0</v>
      </c>
      <c r="O344" s="7">
        <v>3.0068389E7</v>
      </c>
      <c r="P344" s="7" t="s">
        <v>411</v>
      </c>
      <c r="Q344" s="7">
        <v>5003.99</v>
      </c>
      <c r="R344" s="3">
        <f t="shared" si="1"/>
        <v>10000</v>
      </c>
    </row>
    <row r="345" ht="22.5" customHeight="1">
      <c r="B345" s="7" t="s">
        <v>348</v>
      </c>
      <c r="C345" s="7">
        <v>26541.0</v>
      </c>
      <c r="D345" s="7">
        <v>117126.0</v>
      </c>
      <c r="E345" s="7">
        <v>3.129121E7</v>
      </c>
      <c r="F345" s="7">
        <v>3.0696695E7</v>
      </c>
      <c r="G345" s="7">
        <v>3.4604687E8</v>
      </c>
      <c r="H345" s="7">
        <v>6.28749708E9</v>
      </c>
      <c r="I345" s="7">
        <v>1699886.0</v>
      </c>
      <c r="J345" s="7">
        <v>1636357.0</v>
      </c>
      <c r="K345" s="7">
        <v>63529.0</v>
      </c>
      <c r="L345" s="7">
        <v>57.1</v>
      </c>
      <c r="M345" s="7">
        <v>-0.15</v>
      </c>
      <c r="N345" s="7">
        <v>96943.0</v>
      </c>
      <c r="O345" s="7">
        <v>3.4600295E7</v>
      </c>
      <c r="P345" s="7" t="s">
        <v>411</v>
      </c>
      <c r="Q345" s="7">
        <v>5003.97</v>
      </c>
      <c r="R345" s="3">
        <f t="shared" si="1"/>
        <v>10000</v>
      </c>
    </row>
    <row r="346" ht="22.5" customHeight="1">
      <c r="B346" s="7" t="s">
        <v>349</v>
      </c>
      <c r="C346" s="7">
        <v>26541.0</v>
      </c>
      <c r="D346" s="7">
        <v>117126.0</v>
      </c>
      <c r="E346" s="7">
        <v>2.7064681E7</v>
      </c>
      <c r="F346" s="7">
        <v>2.6563966E7</v>
      </c>
      <c r="G346" s="7">
        <v>2.61282975E8</v>
      </c>
      <c r="H346" s="7">
        <v>5.260021975E9</v>
      </c>
      <c r="I346" s="7">
        <v>1229556.0</v>
      </c>
      <c r="J346" s="7">
        <v>1164821.0</v>
      </c>
      <c r="K346" s="7">
        <v>64735.0</v>
      </c>
      <c r="L346" s="7">
        <v>60.45</v>
      </c>
      <c r="M346" s="7">
        <v>-0.14</v>
      </c>
      <c r="N346" s="7">
        <v>98099.0</v>
      </c>
      <c r="O346" s="7">
        <v>2.8460328E7</v>
      </c>
      <c r="P346" s="7" t="s">
        <v>411</v>
      </c>
      <c r="Q346" s="7">
        <v>5003.98</v>
      </c>
      <c r="R346" s="3">
        <f t="shared" si="1"/>
        <v>10000</v>
      </c>
    </row>
    <row r="347" ht="22.5" customHeight="1">
      <c r="B347" s="7" t="s">
        <v>350</v>
      </c>
      <c r="C347" s="7">
        <v>26541.0</v>
      </c>
      <c r="D347" s="7">
        <v>117126.0</v>
      </c>
      <c r="E347" s="7">
        <v>2.461521E7</v>
      </c>
      <c r="F347" s="7">
        <v>2.417629E7</v>
      </c>
      <c r="G347" s="7">
        <v>2.27794349E8</v>
      </c>
      <c r="H347" s="7">
        <v>4.730943655E9</v>
      </c>
      <c r="I347" s="7">
        <v>1066375.0</v>
      </c>
      <c r="J347" s="7">
        <v>1003033.0</v>
      </c>
      <c r="K347" s="7">
        <v>63342.0</v>
      </c>
      <c r="L347" s="7">
        <v>63.21</v>
      </c>
      <c r="M347" s="7">
        <v>-0.13</v>
      </c>
      <c r="N347" s="7">
        <v>96767.0</v>
      </c>
      <c r="O347" s="7">
        <v>2.3826388E7</v>
      </c>
      <c r="P347" s="7" t="s">
        <v>411</v>
      </c>
      <c r="Q347" s="7">
        <v>5004.01</v>
      </c>
      <c r="R347" s="3">
        <f t="shared" si="1"/>
        <v>10000</v>
      </c>
    </row>
    <row r="348" ht="22.5" customHeight="1">
      <c r="B348" s="7" t="s">
        <v>351</v>
      </c>
      <c r="C348" s="7">
        <v>26541.0</v>
      </c>
      <c r="D348" s="7">
        <v>117126.0</v>
      </c>
      <c r="E348" s="7">
        <v>2.8283129E7</v>
      </c>
      <c r="F348" s="7">
        <v>2.7755438E7</v>
      </c>
      <c r="G348" s="7">
        <v>2.9861464E8</v>
      </c>
      <c r="H348" s="7">
        <v>5.647342581E9</v>
      </c>
      <c r="I348" s="7">
        <v>1445708.0</v>
      </c>
      <c r="J348" s="7">
        <v>1381415.0</v>
      </c>
      <c r="K348" s="7">
        <v>64293.0</v>
      </c>
      <c r="L348" s="7">
        <v>58.33</v>
      </c>
      <c r="M348" s="7">
        <v>-0.14</v>
      </c>
      <c r="N348" s="7">
        <v>97674.0</v>
      </c>
      <c r="O348" s="7">
        <v>3.0225821E7</v>
      </c>
      <c r="P348" s="7" t="s">
        <v>411</v>
      </c>
      <c r="Q348" s="7">
        <v>5004.03</v>
      </c>
      <c r="R348" s="3">
        <f t="shared" si="1"/>
        <v>10000</v>
      </c>
    </row>
    <row r="349" ht="22.5" customHeight="1">
      <c r="B349" s="7" t="s">
        <v>352</v>
      </c>
      <c r="C349" s="7">
        <v>26541.0</v>
      </c>
      <c r="D349" s="7">
        <v>117126.0</v>
      </c>
      <c r="E349" s="7">
        <v>2.4209791E7</v>
      </c>
      <c r="F349" s="7">
        <v>2.3814358E7</v>
      </c>
      <c r="G349" s="7">
        <v>2.06334973E8</v>
      </c>
      <c r="H349" s="7">
        <v>4.325687231E9</v>
      </c>
      <c r="I349" s="7">
        <v>1038552.0</v>
      </c>
      <c r="J349" s="7">
        <v>970556.0</v>
      </c>
      <c r="K349" s="7">
        <v>67996.0</v>
      </c>
      <c r="L349" s="7">
        <v>65.09</v>
      </c>
      <c r="M349" s="7">
        <v>-0.12</v>
      </c>
      <c r="N349" s="7">
        <v>101221.0</v>
      </c>
      <c r="O349" s="7">
        <v>2.0434656E7</v>
      </c>
      <c r="P349" s="7" t="s">
        <v>411</v>
      </c>
      <c r="Q349" s="7">
        <v>5003.9</v>
      </c>
      <c r="R349" s="3">
        <f t="shared" si="1"/>
        <v>10000</v>
      </c>
    </row>
    <row r="350" ht="22.5" customHeight="1">
      <c r="B350" s="7" t="s">
        <v>353</v>
      </c>
      <c r="C350" s="7">
        <v>26541.0</v>
      </c>
      <c r="D350" s="7">
        <v>117126.0</v>
      </c>
      <c r="E350" s="7">
        <v>2.6068159E7</v>
      </c>
      <c r="F350" s="7">
        <v>2.5589084E7</v>
      </c>
      <c r="G350" s="7">
        <v>2.57925268E8</v>
      </c>
      <c r="H350" s="7">
        <v>5.006645368E9</v>
      </c>
      <c r="I350" s="7">
        <v>1250704.0</v>
      </c>
      <c r="J350" s="7">
        <v>1184720.0</v>
      </c>
      <c r="K350" s="7">
        <v>65984.0</v>
      </c>
      <c r="L350" s="7">
        <v>62.32</v>
      </c>
      <c r="M350" s="7">
        <v>-0.14</v>
      </c>
      <c r="N350" s="7">
        <v>99291.0</v>
      </c>
      <c r="O350" s="7">
        <v>2.496637E7</v>
      </c>
      <c r="P350" s="7" t="s">
        <v>411</v>
      </c>
      <c r="Q350" s="7">
        <v>5003.95</v>
      </c>
      <c r="R350" s="3">
        <f t="shared" si="1"/>
        <v>10000</v>
      </c>
    </row>
    <row r="351" ht="22.5" customHeight="1">
      <c r="B351" s="7" t="s">
        <v>354</v>
      </c>
      <c r="C351" s="7">
        <v>26541.0</v>
      </c>
      <c r="D351" s="7">
        <v>117126.0</v>
      </c>
      <c r="E351" s="7">
        <v>2.3074519E7</v>
      </c>
      <c r="F351" s="7">
        <v>2.2662077E7</v>
      </c>
      <c r="G351" s="7">
        <v>2.15219745E8</v>
      </c>
      <c r="H351" s="7">
        <v>4.5038884E9</v>
      </c>
      <c r="I351" s="7">
        <v>1032260.0</v>
      </c>
      <c r="J351" s="7">
        <v>967055.0</v>
      </c>
      <c r="K351" s="7">
        <v>65205.0</v>
      </c>
      <c r="L351" s="7">
        <v>66.1</v>
      </c>
      <c r="M351" s="7">
        <v>-0.13</v>
      </c>
      <c r="N351" s="7">
        <v>98545.0</v>
      </c>
      <c r="O351" s="7">
        <v>2.0234484E7</v>
      </c>
      <c r="P351" s="7" t="s">
        <v>411</v>
      </c>
      <c r="Q351" s="7">
        <v>5004.0</v>
      </c>
      <c r="R351" s="3">
        <f t="shared" si="1"/>
        <v>10000</v>
      </c>
    </row>
    <row r="352" ht="22.5" customHeight="1">
      <c r="B352" s="7" t="s">
        <v>355</v>
      </c>
      <c r="C352" s="7">
        <v>26541.0</v>
      </c>
      <c r="D352" s="7">
        <v>117153.0</v>
      </c>
      <c r="E352" s="7">
        <v>2.6115095E7</v>
      </c>
      <c r="F352" s="7">
        <v>2.5504273E7</v>
      </c>
      <c r="G352" s="7">
        <v>3.83720838E8</v>
      </c>
      <c r="H352" s="7">
        <v>7.506024971E9</v>
      </c>
      <c r="I352" s="7">
        <v>1670292.0</v>
      </c>
      <c r="J352" s="7">
        <v>1614693.0</v>
      </c>
      <c r="K352" s="7">
        <v>55599.0</v>
      </c>
      <c r="L352" s="7">
        <v>61.54</v>
      </c>
      <c r="M352" s="7">
        <v>-0.16</v>
      </c>
      <c r="N352" s="7">
        <v>89329.0</v>
      </c>
      <c r="O352" s="7">
        <v>2.2542004E7</v>
      </c>
      <c r="P352" s="7" t="s">
        <v>411</v>
      </c>
      <c r="Q352" s="7">
        <v>5004.01</v>
      </c>
      <c r="R352" s="3">
        <f t="shared" si="1"/>
        <v>10000</v>
      </c>
    </row>
    <row r="353" ht="22.5" customHeight="1">
      <c r="B353" s="7" t="s">
        <v>356</v>
      </c>
      <c r="C353" s="7">
        <v>4656.0</v>
      </c>
      <c r="D353" s="7">
        <v>13868.0</v>
      </c>
      <c r="E353" s="7">
        <v>9409767.0</v>
      </c>
      <c r="F353" s="7">
        <v>9273788.0</v>
      </c>
      <c r="G353" s="7">
        <v>1.8819765E7</v>
      </c>
      <c r="H353" s="7">
        <v>2.016992645E9</v>
      </c>
      <c r="I353" s="7">
        <v>509361.0</v>
      </c>
      <c r="J353" s="7">
        <v>454246.0</v>
      </c>
      <c r="K353" s="7">
        <v>55115.0</v>
      </c>
      <c r="L353" s="7">
        <v>40.57</v>
      </c>
      <c r="M353" s="7">
        <v>-0.06</v>
      </c>
      <c r="N353" s="7">
        <v>65834.0</v>
      </c>
      <c r="O353" s="7">
        <v>4346622.0</v>
      </c>
      <c r="P353" s="7" t="s">
        <v>411</v>
      </c>
      <c r="Q353" s="7">
        <v>5004.03</v>
      </c>
      <c r="R353" s="3">
        <f t="shared" si="1"/>
        <v>10000</v>
      </c>
    </row>
    <row r="354" ht="22.5" customHeight="1">
      <c r="B354" s="7" t="s">
        <v>357</v>
      </c>
      <c r="C354" s="7">
        <v>3366.0</v>
      </c>
      <c r="D354" s="7">
        <v>362797.0</v>
      </c>
      <c r="E354" s="7">
        <v>3.2475449E7</v>
      </c>
      <c r="F354" s="7">
        <v>3.1925271E7</v>
      </c>
      <c r="G354" s="7">
        <v>4.6077333E7</v>
      </c>
      <c r="H354" s="7">
        <v>2.81214083E9</v>
      </c>
      <c r="I354" s="7">
        <v>1282914.0</v>
      </c>
      <c r="J354" s="7">
        <v>1115130.0</v>
      </c>
      <c r="K354" s="7">
        <v>167784.0</v>
      </c>
      <c r="L354" s="7">
        <v>70.97</v>
      </c>
      <c r="M354" s="7">
        <v>-0.04</v>
      </c>
      <c r="N354" s="7">
        <v>196460.0</v>
      </c>
      <c r="O354" s="7">
        <v>1.9878707E7</v>
      </c>
      <c r="P354" s="7" t="s">
        <v>411</v>
      </c>
      <c r="Q354" s="7">
        <v>5003.94</v>
      </c>
      <c r="R354" s="3">
        <f t="shared" si="1"/>
        <v>10000</v>
      </c>
    </row>
    <row r="355" ht="22.5" customHeight="1">
      <c r="B355" s="7" t="s">
        <v>358</v>
      </c>
      <c r="C355" s="7">
        <v>302737.0</v>
      </c>
      <c r="D355" s="7">
        <v>1309727.0</v>
      </c>
      <c r="E355" s="7">
        <v>1283163.0</v>
      </c>
      <c r="F355" s="7">
        <v>1256825.0</v>
      </c>
      <c r="G355" s="7">
        <v>2130945.0</v>
      </c>
      <c r="H355" s="7">
        <v>1.3487611421E10</v>
      </c>
      <c r="I355" s="7">
        <v>64381.0</v>
      </c>
      <c r="J355" s="7">
        <v>57253.0</v>
      </c>
      <c r="K355" s="7">
        <v>7128.0</v>
      </c>
      <c r="L355" s="7">
        <v>52.45</v>
      </c>
      <c r="M355" s="7">
        <v>-0.04</v>
      </c>
      <c r="N355" s="7">
        <v>9086.0</v>
      </c>
      <c r="O355" s="7">
        <v>712799.0</v>
      </c>
      <c r="P355" s="7" t="s">
        <v>411</v>
      </c>
      <c r="Q355" s="7">
        <v>5003.9</v>
      </c>
      <c r="R355" s="3">
        <f t="shared" si="1"/>
        <v>10000</v>
      </c>
    </row>
    <row r="356" ht="22.5" customHeight="1">
      <c r="B356" s="7" t="s">
        <v>359</v>
      </c>
      <c r="C356" s="7">
        <v>1315.0</v>
      </c>
      <c r="D356" s="7">
        <v>5254.0</v>
      </c>
      <c r="E356" s="7">
        <v>2.4353676E7</v>
      </c>
      <c r="F356" s="7">
        <v>2.4144183E7</v>
      </c>
      <c r="G356" s="7">
        <v>3.7304724E7</v>
      </c>
      <c r="H356" s="7">
        <v>1.808032443E9</v>
      </c>
      <c r="I356" s="7">
        <v>1212154.0</v>
      </c>
      <c r="J356" s="7">
        <v>1061412.0</v>
      </c>
      <c r="K356" s="7">
        <v>150742.0</v>
      </c>
      <c r="L356" s="7">
        <v>22.92</v>
      </c>
      <c r="M356" s="7">
        <v>-0.05</v>
      </c>
      <c r="N356" s="7">
        <v>180467.0</v>
      </c>
      <c r="O356" s="7">
        <v>1.043753E7</v>
      </c>
      <c r="P356" s="7" t="s">
        <v>411</v>
      </c>
      <c r="Q356" s="7">
        <v>5004.0</v>
      </c>
      <c r="R356" s="3">
        <f t="shared" si="1"/>
        <v>10000</v>
      </c>
    </row>
    <row r="357" ht="22.5" customHeight="1">
      <c r="B357" s="7" t="s">
        <v>360</v>
      </c>
      <c r="C357" s="7">
        <v>188962.0</v>
      </c>
      <c r="D357" s="7">
        <v>825894.0</v>
      </c>
      <c r="E357" s="7">
        <v>6540031.0</v>
      </c>
      <c r="F357" s="7">
        <v>6199539.0</v>
      </c>
      <c r="G357" s="7">
        <v>5.0414722E7</v>
      </c>
      <c r="H357" s="7">
        <v>7.275213318E9</v>
      </c>
      <c r="I357" s="7">
        <v>251411.0</v>
      </c>
      <c r="J357" s="7">
        <v>224732.0</v>
      </c>
      <c r="K357" s="7">
        <v>26679.0</v>
      </c>
      <c r="L357" s="7">
        <v>284.6</v>
      </c>
      <c r="M357" s="7">
        <v>-0.09</v>
      </c>
      <c r="N357" s="7">
        <v>34450.0</v>
      </c>
      <c r="O357" s="7">
        <v>4206038.0</v>
      </c>
      <c r="P357" s="7" t="s">
        <v>411</v>
      </c>
      <c r="Q357" s="7">
        <v>5003.92</v>
      </c>
      <c r="R357" s="3">
        <f t="shared" si="1"/>
        <v>10000</v>
      </c>
    </row>
    <row r="358" ht="22.5" customHeight="1">
      <c r="B358" s="7" t="s">
        <v>361</v>
      </c>
      <c r="C358" s="7">
        <v>164158.0</v>
      </c>
      <c r="D358" s="7">
        <v>717440.0</v>
      </c>
      <c r="E358" s="7">
        <v>1.5231935E7</v>
      </c>
      <c r="F358" s="7">
        <v>1.472077E7</v>
      </c>
      <c r="G358" s="7">
        <v>6.8400331E7</v>
      </c>
      <c r="H358" s="7">
        <v>7.998942667E9</v>
      </c>
      <c r="I358" s="7">
        <v>459306.0</v>
      </c>
      <c r="J358" s="7">
        <v>354467.0</v>
      </c>
      <c r="K358" s="7">
        <v>104839.0</v>
      </c>
      <c r="L358" s="7">
        <v>141.36</v>
      </c>
      <c r="M358" s="7">
        <v>-0.06</v>
      </c>
      <c r="N358" s="7">
        <v>132341.0</v>
      </c>
      <c r="O358" s="7">
        <v>5115107.0</v>
      </c>
      <c r="P358" s="7" t="s">
        <v>411</v>
      </c>
      <c r="Q358" s="7">
        <v>5003.92</v>
      </c>
      <c r="R358" s="3">
        <f t="shared" si="1"/>
        <v>10000</v>
      </c>
    </row>
    <row r="359" ht="22.5" customHeight="1">
      <c r="B359" s="7" t="s">
        <v>147</v>
      </c>
      <c r="C359" s="7">
        <v>252328.0</v>
      </c>
      <c r="D359" s="7">
        <v>1169843.0</v>
      </c>
      <c r="E359" s="7">
        <v>8561073.0</v>
      </c>
      <c r="F359" s="7">
        <v>8157865.0</v>
      </c>
      <c r="G359" s="7">
        <v>9.1047705E7</v>
      </c>
      <c r="H359" s="7">
        <v>1.1669120797E10</v>
      </c>
      <c r="I359" s="7">
        <v>401512.0</v>
      </c>
      <c r="J359" s="7">
        <v>371634.0</v>
      </c>
      <c r="K359" s="7">
        <v>29878.0</v>
      </c>
      <c r="L359" s="7">
        <v>222.45</v>
      </c>
      <c r="M359" s="7">
        <v>-0.11</v>
      </c>
      <c r="N359" s="7">
        <v>38755.0</v>
      </c>
      <c r="O359" s="7">
        <v>6825736.0</v>
      </c>
      <c r="P359" s="7" t="s">
        <v>411</v>
      </c>
      <c r="Q359" s="7">
        <v>5003.93</v>
      </c>
      <c r="R359" s="3">
        <f t="shared" si="1"/>
        <v>10000</v>
      </c>
    </row>
    <row r="360" ht="22.5" customHeight="1">
      <c r="B360" s="7" t="s">
        <v>362</v>
      </c>
      <c r="C360" s="7">
        <v>262368.0</v>
      </c>
      <c r="D360" s="7">
        <v>1226585.0</v>
      </c>
      <c r="E360" s="7">
        <v>9768099.0</v>
      </c>
      <c r="F360" s="7">
        <v>9333479.0</v>
      </c>
      <c r="G360" s="7">
        <v>1.14056784E8</v>
      </c>
      <c r="H360" s="7">
        <v>1.3502631263E10</v>
      </c>
      <c r="I360" s="7">
        <v>431392.0</v>
      </c>
      <c r="J360" s="7">
        <v>389681.0</v>
      </c>
      <c r="K360" s="7">
        <v>41711.0</v>
      </c>
      <c r="L360" s="7">
        <v>240.71</v>
      </c>
      <c r="M360" s="7">
        <v>-0.1</v>
      </c>
      <c r="N360" s="7">
        <v>54050.0</v>
      </c>
      <c r="O360" s="7">
        <v>7111016.0</v>
      </c>
      <c r="P360" s="7" t="s">
        <v>411</v>
      </c>
      <c r="Q360" s="7">
        <v>5003.89</v>
      </c>
      <c r="R360" s="3">
        <f t="shared" si="1"/>
        <v>10000</v>
      </c>
    </row>
    <row r="361" ht="22.5" customHeight="1">
      <c r="B361" s="7" t="s">
        <v>363</v>
      </c>
      <c r="C361" s="7">
        <v>480.0</v>
      </c>
      <c r="D361" s="7">
        <v>3632.0</v>
      </c>
      <c r="E361" s="7">
        <v>2.7285819E7</v>
      </c>
      <c r="F361" s="7">
        <v>2.7090483E7</v>
      </c>
      <c r="G361" s="7">
        <v>3.2238238E7</v>
      </c>
      <c r="H361" s="7">
        <v>4.77770196E8</v>
      </c>
      <c r="I361" s="7">
        <v>1143323.0</v>
      </c>
      <c r="J361" s="7">
        <v>950440.0</v>
      </c>
      <c r="K361" s="7">
        <v>192883.0</v>
      </c>
      <c r="L361" s="7">
        <v>65.28</v>
      </c>
      <c r="M361" s="7">
        <v>-0.03</v>
      </c>
      <c r="N361" s="7">
        <v>220482.0</v>
      </c>
      <c r="O361" s="7">
        <v>1.3783744E7</v>
      </c>
      <c r="P361" s="7" t="s">
        <v>411</v>
      </c>
      <c r="Q361" s="7">
        <v>5003.98</v>
      </c>
      <c r="R361" s="3">
        <f t="shared" si="1"/>
        <v>10000</v>
      </c>
    </row>
    <row r="362" ht="22.5" customHeight="1">
      <c r="B362" s="7" t="s">
        <v>364</v>
      </c>
      <c r="C362" s="7">
        <v>840.0</v>
      </c>
      <c r="D362" s="7">
        <v>8442.0</v>
      </c>
      <c r="E362" s="7">
        <v>2.9847367E7</v>
      </c>
      <c r="F362" s="7">
        <v>2.9628467E7</v>
      </c>
      <c r="G362" s="7">
        <v>3.4457011E7</v>
      </c>
      <c r="H362" s="7">
        <v>7.16143676E8</v>
      </c>
      <c r="I362" s="7">
        <v>1035760.0</v>
      </c>
      <c r="J362" s="7">
        <v>843392.0</v>
      </c>
      <c r="K362" s="7">
        <v>192368.0</v>
      </c>
      <c r="L362" s="7">
        <v>119.29</v>
      </c>
      <c r="M362" s="7">
        <v>-0.03</v>
      </c>
      <c r="N362" s="7">
        <v>219996.0</v>
      </c>
      <c r="O362" s="7">
        <v>1.6972602E7</v>
      </c>
      <c r="P362" s="7" t="s">
        <v>411</v>
      </c>
      <c r="Q362" s="7">
        <v>5003.88</v>
      </c>
      <c r="R362" s="3">
        <f t="shared" si="1"/>
        <v>10000</v>
      </c>
    </row>
    <row r="363" ht="22.5" customHeight="1">
      <c r="B363" s="7" t="s">
        <v>365</v>
      </c>
      <c r="C363" s="7">
        <v>5000.0</v>
      </c>
      <c r="D363" s="7">
        <v>21250.0</v>
      </c>
      <c r="E363" s="7">
        <v>2.4372676E7</v>
      </c>
      <c r="F363" s="7">
        <v>2.3759829E7</v>
      </c>
      <c r="G363" s="7">
        <v>6.3881922E7</v>
      </c>
      <c r="H363" s="7">
        <v>4.562211087E9</v>
      </c>
      <c r="I363" s="7">
        <v>1083346.0</v>
      </c>
      <c r="J363" s="7">
        <v>958091.0</v>
      </c>
      <c r="K363" s="7">
        <v>125255.0</v>
      </c>
      <c r="L363" s="7">
        <v>32.69</v>
      </c>
      <c r="M363" s="7">
        <v>-0.07</v>
      </c>
      <c r="N363" s="7">
        <v>155973.0</v>
      </c>
      <c r="O363" s="7">
        <v>1.1474406E7</v>
      </c>
      <c r="P363" s="7" t="s">
        <v>411</v>
      </c>
      <c r="Q363" s="7">
        <v>5003.94</v>
      </c>
      <c r="R363" s="3">
        <f t="shared" si="1"/>
        <v>10000</v>
      </c>
    </row>
    <row r="364" ht="22.5" customHeight="1">
      <c r="B364" s="7" t="s">
        <v>366</v>
      </c>
      <c r="C364" s="7">
        <v>3220.0</v>
      </c>
      <c r="D364" s="7">
        <v>59525.0</v>
      </c>
      <c r="E364" s="7">
        <v>9380694.0</v>
      </c>
      <c r="F364" s="7">
        <v>9250882.0</v>
      </c>
      <c r="G364" s="7">
        <v>1.6477148E7</v>
      </c>
      <c r="H364" s="7">
        <v>2.460156016E9</v>
      </c>
      <c r="I364" s="7">
        <v>353199.0</v>
      </c>
      <c r="J364" s="7">
        <v>297422.0</v>
      </c>
      <c r="K364" s="7">
        <v>55777.0</v>
      </c>
      <c r="L364" s="7">
        <v>55.74</v>
      </c>
      <c r="M364" s="7">
        <v>-0.05</v>
      </c>
      <c r="N364" s="7">
        <v>66363.0</v>
      </c>
      <c r="O364" s="7">
        <v>4791834.0</v>
      </c>
      <c r="P364" s="7" t="s">
        <v>411</v>
      </c>
      <c r="Q364" s="7">
        <v>5003.87</v>
      </c>
      <c r="R364" s="3">
        <f t="shared" si="1"/>
        <v>10000</v>
      </c>
    </row>
    <row r="365" ht="22.5" customHeight="1">
      <c r="B365" s="7" t="s">
        <v>367</v>
      </c>
      <c r="C365" s="7">
        <v>1740.0</v>
      </c>
      <c r="D365" s="7">
        <v>104640.0</v>
      </c>
      <c r="E365" s="7">
        <v>2.1137528E7</v>
      </c>
      <c r="F365" s="7">
        <v>2.0828394E7</v>
      </c>
      <c r="G365" s="7">
        <v>4.6402674E7</v>
      </c>
      <c r="H365" s="7">
        <v>1.534894682E9</v>
      </c>
      <c r="I365" s="7">
        <v>974627.0</v>
      </c>
      <c r="J365" s="7">
        <v>844452.0</v>
      </c>
      <c r="K365" s="7">
        <v>130175.0</v>
      </c>
      <c r="L365" s="7">
        <v>30.58</v>
      </c>
      <c r="M365" s="7">
        <v>-0.07</v>
      </c>
      <c r="N365" s="7">
        <v>160666.0</v>
      </c>
      <c r="O365" s="7">
        <v>8426914.0</v>
      </c>
      <c r="P365" s="7" t="s">
        <v>411</v>
      </c>
      <c r="Q365" s="7">
        <v>5003.94</v>
      </c>
      <c r="R365" s="3">
        <f t="shared" si="1"/>
        <v>10000</v>
      </c>
    </row>
    <row r="366" ht="22.5" customHeight="1">
      <c r="B366" s="7" t="s">
        <v>368</v>
      </c>
      <c r="C366" s="7">
        <v>2058.0</v>
      </c>
      <c r="D366" s="7">
        <v>133055.0</v>
      </c>
      <c r="E366" s="7">
        <v>2.1266895E7</v>
      </c>
      <c r="F366" s="7">
        <v>2.0970527E7</v>
      </c>
      <c r="G366" s="7">
        <v>4.9689094E7</v>
      </c>
      <c r="H366" s="7">
        <v>1.721047087E9</v>
      </c>
      <c r="I366" s="7">
        <v>911574.0</v>
      </c>
      <c r="J366" s="7">
        <v>778975.0</v>
      </c>
      <c r="K366" s="7">
        <v>132599.0</v>
      </c>
      <c r="L366" s="7">
        <v>37.33</v>
      </c>
      <c r="M366" s="7">
        <v>-0.07</v>
      </c>
      <c r="N366" s="7">
        <v>162961.0</v>
      </c>
      <c r="O366" s="7">
        <v>8801426.0</v>
      </c>
      <c r="P366" s="7" t="s">
        <v>411</v>
      </c>
      <c r="Q366" s="7">
        <v>5003.95</v>
      </c>
      <c r="R366" s="3">
        <f t="shared" si="1"/>
        <v>10000</v>
      </c>
    </row>
    <row r="367" ht="22.5" customHeight="1">
      <c r="B367" s="7" t="s">
        <v>369</v>
      </c>
      <c r="C367" s="7">
        <v>2100.0</v>
      </c>
      <c r="D367" s="7">
        <v>215164.0</v>
      </c>
      <c r="E367" s="7">
        <v>2.2623305E7</v>
      </c>
      <c r="F367" s="7">
        <v>2.2037212E7</v>
      </c>
      <c r="G367" s="7">
        <v>4.1361784E7</v>
      </c>
      <c r="H367" s="7">
        <v>3.365041993E9</v>
      </c>
      <c r="I367" s="7">
        <v>676504.0</v>
      </c>
      <c r="J367" s="7">
        <v>553104.0</v>
      </c>
      <c r="K367" s="7">
        <v>123400.0</v>
      </c>
      <c r="L367" s="7">
        <v>97.57</v>
      </c>
      <c r="M367" s="7">
        <v>-0.06</v>
      </c>
      <c r="N367" s="7">
        <v>154074.0</v>
      </c>
      <c r="O367" s="7">
        <v>1.2053236E7</v>
      </c>
      <c r="P367" s="7" t="s">
        <v>411</v>
      </c>
      <c r="Q367" s="7">
        <v>5003.91</v>
      </c>
      <c r="R367" s="3">
        <f t="shared" si="1"/>
        <v>10000</v>
      </c>
    </row>
    <row r="368" ht="22.5" customHeight="1">
      <c r="B368" s="7" t="s">
        <v>370</v>
      </c>
      <c r="C368" s="7">
        <v>2400.0</v>
      </c>
      <c r="D368" s="7">
        <v>266431.0</v>
      </c>
      <c r="E368" s="7">
        <v>2.721301E7</v>
      </c>
      <c r="F368" s="7">
        <v>2.6462084E7</v>
      </c>
      <c r="G368" s="7">
        <v>5.2270697E7</v>
      </c>
      <c r="H368" s="7">
        <v>3.841824526E9</v>
      </c>
      <c r="I368" s="7">
        <v>758590.0</v>
      </c>
      <c r="J368" s="7">
        <v>635546.0</v>
      </c>
      <c r="K368" s="7">
        <v>123044.0</v>
      </c>
      <c r="L368" s="7">
        <v>128.56</v>
      </c>
      <c r="M368" s="7">
        <v>-0.06</v>
      </c>
      <c r="N368" s="7">
        <v>153761.0</v>
      </c>
      <c r="O368" s="7">
        <v>1.7291145E7</v>
      </c>
      <c r="P368" s="7" t="s">
        <v>411</v>
      </c>
      <c r="Q368" s="7">
        <v>5003.93</v>
      </c>
      <c r="R368" s="3">
        <f t="shared" si="1"/>
        <v>10000</v>
      </c>
    </row>
    <row r="369" ht="22.5" customHeight="1">
      <c r="B369" s="7" t="s">
        <v>371</v>
      </c>
      <c r="C369" s="7">
        <v>1000.0</v>
      </c>
      <c r="D369" s="7">
        <v>21405.0</v>
      </c>
      <c r="E369" s="7">
        <v>1.02344017E8</v>
      </c>
      <c r="F369" s="7">
        <v>7.2261945E7</v>
      </c>
      <c r="G369" s="7">
        <v>9.66877718E8</v>
      </c>
      <c r="H369" s="7">
        <v>1.3635545562E10</v>
      </c>
      <c r="I369" s="7">
        <v>1178595.0</v>
      </c>
      <c r="J369" s="7">
        <v>498132.0</v>
      </c>
      <c r="K369" s="7">
        <v>680463.0</v>
      </c>
      <c r="L369" s="7">
        <v>43.96</v>
      </c>
      <c r="M369" s="7">
        <v>-0.05</v>
      </c>
      <c r="N369" s="7">
        <v>769993.0</v>
      </c>
      <c r="O369" s="7">
        <v>2.91597894E8</v>
      </c>
      <c r="P369" s="7" t="s">
        <v>411</v>
      </c>
      <c r="Q369" s="7">
        <v>5003.87</v>
      </c>
      <c r="R369" s="3">
        <f t="shared" si="1"/>
        <v>10000</v>
      </c>
    </row>
    <row r="370" ht="22.5" customHeight="1">
      <c r="B370" s="7" t="s">
        <v>372</v>
      </c>
      <c r="C370" s="7">
        <v>1740.0</v>
      </c>
      <c r="D370" s="7">
        <v>114011.0</v>
      </c>
      <c r="E370" s="7">
        <v>1.9630269E7</v>
      </c>
      <c r="F370" s="7">
        <v>1.9362436E7</v>
      </c>
      <c r="G370" s="7">
        <v>3.6771208E7</v>
      </c>
      <c r="H370" s="7">
        <v>1.301683521E9</v>
      </c>
      <c r="I370" s="7">
        <v>787642.0</v>
      </c>
      <c r="J370" s="7">
        <v>659124.0</v>
      </c>
      <c r="K370" s="7">
        <v>128518.0</v>
      </c>
      <c r="L370" s="7">
        <v>28.78</v>
      </c>
      <c r="M370" s="7">
        <v>-0.06</v>
      </c>
      <c r="N370" s="7">
        <v>159087.0</v>
      </c>
      <c r="O370" s="7">
        <v>7264905.0</v>
      </c>
      <c r="P370" s="7" t="s">
        <v>411</v>
      </c>
      <c r="Q370" s="7">
        <v>5003.95</v>
      </c>
      <c r="R370" s="3">
        <f t="shared" si="1"/>
        <v>10000</v>
      </c>
    </row>
    <row r="371" ht="22.5" customHeight="1">
      <c r="B371" s="7" t="s">
        <v>373</v>
      </c>
      <c r="C371" s="7">
        <v>1898.0</v>
      </c>
      <c r="D371" s="7">
        <v>128735.0</v>
      </c>
      <c r="E371" s="7">
        <v>2.1448578E7</v>
      </c>
      <c r="F371" s="7">
        <v>2.1161634E7</v>
      </c>
      <c r="G371" s="7">
        <v>4.1051749E7</v>
      </c>
      <c r="H371" s="7">
        <v>1.482618487E9</v>
      </c>
      <c r="I371" s="7">
        <v>885839.0</v>
      </c>
      <c r="J371" s="7">
        <v>753676.0</v>
      </c>
      <c r="K371" s="7">
        <v>132163.0</v>
      </c>
      <c r="L371" s="7">
        <v>31.1</v>
      </c>
      <c r="M371" s="7">
        <v>-0.06</v>
      </c>
      <c r="N371" s="7">
        <v>162583.0</v>
      </c>
      <c r="O371" s="7">
        <v>9006820.0</v>
      </c>
      <c r="P371" s="7" t="s">
        <v>411</v>
      </c>
      <c r="Q371" s="7">
        <v>5003.95</v>
      </c>
      <c r="R371" s="3">
        <f t="shared" si="1"/>
        <v>10000</v>
      </c>
    </row>
    <row r="372" ht="22.5" customHeight="1">
      <c r="B372" s="7" t="s">
        <v>374</v>
      </c>
      <c r="C372" s="7">
        <v>3090.0</v>
      </c>
      <c r="D372" s="7">
        <v>59825.0</v>
      </c>
      <c r="E372" s="7">
        <v>9361612.0</v>
      </c>
      <c r="F372" s="7">
        <v>9277815.0</v>
      </c>
      <c r="G372" s="7">
        <v>1.8239791E7</v>
      </c>
      <c r="H372" s="7">
        <v>1.475802687E9</v>
      </c>
      <c r="I372" s="7">
        <v>505204.0</v>
      </c>
      <c r="J372" s="7">
        <v>457257.0</v>
      </c>
      <c r="K372" s="7">
        <v>47947.0</v>
      </c>
      <c r="L372" s="7">
        <v>24.78</v>
      </c>
      <c r="M372" s="7">
        <v>-0.07</v>
      </c>
      <c r="N372" s="7">
        <v>58784.0</v>
      </c>
      <c r="O372" s="7">
        <v>4155283.0</v>
      </c>
      <c r="P372" s="7" t="s">
        <v>411</v>
      </c>
      <c r="Q372" s="7">
        <v>5003.94</v>
      </c>
      <c r="R372" s="3">
        <f t="shared" si="1"/>
        <v>10000</v>
      </c>
    </row>
    <row r="373" ht="22.5" customHeight="1">
      <c r="B373" s="7" t="s">
        <v>375</v>
      </c>
      <c r="C373" s="7">
        <v>130928.0</v>
      </c>
      <c r="D373" s="7">
        <v>437704.0</v>
      </c>
      <c r="E373" s="7">
        <v>4.2741021E7</v>
      </c>
      <c r="F373" s="7">
        <v>4.2288861E7</v>
      </c>
      <c r="G373" s="7">
        <v>1.43292246E8</v>
      </c>
      <c r="H373" s="7">
        <v>5.321552503E9</v>
      </c>
      <c r="I373" s="7">
        <v>2117677.0</v>
      </c>
      <c r="J373" s="7">
        <v>1877999.0</v>
      </c>
      <c r="K373" s="7">
        <v>239678.0</v>
      </c>
      <c r="L373" s="7">
        <v>46.38</v>
      </c>
      <c r="M373" s="7">
        <v>-0.08</v>
      </c>
      <c r="N373" s="7">
        <v>298379.0</v>
      </c>
      <c r="O373" s="7">
        <v>1.7575109E7</v>
      </c>
      <c r="P373" s="7" t="s">
        <v>411</v>
      </c>
      <c r="Q373" s="7">
        <v>5003.92</v>
      </c>
      <c r="R373" s="3">
        <f t="shared" si="1"/>
        <v>10000</v>
      </c>
    </row>
    <row r="374" ht="22.5" customHeight="1">
      <c r="B374" s="7" t="s">
        <v>376</v>
      </c>
      <c r="C374" s="7">
        <v>773.0</v>
      </c>
      <c r="D374" s="7">
        <v>29353.0</v>
      </c>
      <c r="E374" s="7">
        <v>3.0090025E7</v>
      </c>
      <c r="F374" s="7">
        <v>2.9401077E7</v>
      </c>
      <c r="G374" s="7">
        <v>6.0393216E7</v>
      </c>
      <c r="H374" s="7">
        <v>1.611056465E9</v>
      </c>
      <c r="I374" s="7">
        <v>1320755.0</v>
      </c>
      <c r="J374" s="7">
        <v>1198158.0</v>
      </c>
      <c r="K374" s="7">
        <v>122597.0</v>
      </c>
      <c r="L374" s="7">
        <v>40.82</v>
      </c>
      <c r="M374" s="7">
        <v>-0.07</v>
      </c>
      <c r="N374" s="7">
        <v>153396.0</v>
      </c>
      <c r="O374" s="7">
        <v>1.666402E7</v>
      </c>
      <c r="P374" s="7" t="s">
        <v>411</v>
      </c>
      <c r="Q374" s="7">
        <v>5003.94</v>
      </c>
      <c r="R374" s="3">
        <f t="shared" si="1"/>
        <v>10000</v>
      </c>
    </row>
    <row r="375" ht="22.5" customHeight="1">
      <c r="B375" s="7" t="s">
        <v>377</v>
      </c>
      <c r="C375" s="7">
        <v>109.0</v>
      </c>
      <c r="D375" s="7">
        <v>228.0</v>
      </c>
      <c r="E375" s="7">
        <v>3.1990901E7</v>
      </c>
      <c r="F375" s="7">
        <v>3.1729512E7</v>
      </c>
      <c r="G375" s="7">
        <v>4.347887E7</v>
      </c>
      <c r="H375" s="7">
        <v>4.81917797E8</v>
      </c>
      <c r="I375" s="7">
        <v>1961066.0</v>
      </c>
      <c r="J375" s="7">
        <v>1817996.0</v>
      </c>
      <c r="K375" s="7">
        <v>143070.0</v>
      </c>
      <c r="L375" s="7">
        <v>20.3</v>
      </c>
      <c r="M375" s="7">
        <v>-0.05</v>
      </c>
      <c r="N375" s="7">
        <v>173104.0</v>
      </c>
      <c r="O375" s="7">
        <v>1.6159304E7</v>
      </c>
      <c r="P375" s="7" t="s">
        <v>411</v>
      </c>
      <c r="Q375" s="7">
        <v>5003.93</v>
      </c>
      <c r="R375" s="3">
        <f t="shared" si="1"/>
        <v>10000</v>
      </c>
    </row>
    <row r="376" ht="22.5" customHeight="1">
      <c r="B376" s="7" t="s">
        <v>233</v>
      </c>
      <c r="C376" s="7">
        <v>840.0</v>
      </c>
      <c r="D376" s="7">
        <v>71206.0</v>
      </c>
      <c r="E376" s="7">
        <v>1.2049938E7</v>
      </c>
      <c r="F376" s="7">
        <v>1.1822146E7</v>
      </c>
      <c r="G376" s="7">
        <v>1.5927447E7</v>
      </c>
      <c r="H376" s="7">
        <v>7.43714068E8</v>
      </c>
      <c r="I376" s="7">
        <v>431178.0</v>
      </c>
      <c r="J376" s="7">
        <v>334686.0</v>
      </c>
      <c r="K376" s="7">
        <v>96492.0</v>
      </c>
      <c r="L376" s="7">
        <v>119.99</v>
      </c>
      <c r="M376" s="7">
        <v>-0.04</v>
      </c>
      <c r="N376" s="7">
        <v>113979.0</v>
      </c>
      <c r="O376" s="7">
        <v>5227834.0</v>
      </c>
      <c r="P376" s="7" t="s">
        <v>411</v>
      </c>
      <c r="Q376" s="7">
        <v>5003.95</v>
      </c>
      <c r="R376" s="3">
        <f t="shared" si="1"/>
        <v>10000</v>
      </c>
    </row>
    <row r="377" ht="22.5" customHeight="1">
      <c r="B377" s="7" t="s">
        <v>378</v>
      </c>
      <c r="C377" s="7">
        <v>61377.0</v>
      </c>
      <c r="D377" s="7">
        <v>235249.0</v>
      </c>
      <c r="E377" s="7">
        <v>4340622.0</v>
      </c>
      <c r="F377" s="7">
        <v>4237189.0</v>
      </c>
      <c r="G377" s="7">
        <v>2.3614038E7</v>
      </c>
      <c r="H377" s="7">
        <v>5.7416496E9</v>
      </c>
      <c r="I377" s="7">
        <v>64117.0</v>
      </c>
      <c r="J377" s="7">
        <v>43562.0</v>
      </c>
      <c r="K377" s="7">
        <v>20555.0</v>
      </c>
      <c r="L377" s="7">
        <v>393.5</v>
      </c>
      <c r="M377" s="7">
        <v>-0.05</v>
      </c>
      <c r="N377" s="7">
        <v>28655.0</v>
      </c>
      <c r="O377" s="7">
        <v>2744756.0</v>
      </c>
      <c r="P377" s="7" t="s">
        <v>411</v>
      </c>
      <c r="Q377" s="7">
        <v>5003.95</v>
      </c>
      <c r="R377" s="3">
        <f t="shared" si="1"/>
        <v>10000</v>
      </c>
    </row>
    <row r="378" ht="22.5" customHeight="1">
      <c r="B378" s="7" t="s">
        <v>379</v>
      </c>
      <c r="C378" s="7">
        <v>7916927.0</v>
      </c>
      <c r="D378" s="7">
        <v>3.2591905E7</v>
      </c>
      <c r="E378" s="7">
        <v>1570310.0</v>
      </c>
      <c r="F378" s="7">
        <v>1517002.0</v>
      </c>
      <c r="G378" s="7">
        <v>1.0359831E7</v>
      </c>
      <c r="H378" s="7">
        <v>2.1458029E9</v>
      </c>
      <c r="I378" s="7">
        <v>93178.0</v>
      </c>
      <c r="J378" s="7">
        <v>90491.0</v>
      </c>
      <c r="K378" s="7">
        <v>2687.0</v>
      </c>
      <c r="L378" s="7">
        <v>22.59</v>
      </c>
      <c r="M378" s="7">
        <v>-0.18</v>
      </c>
      <c r="N378" s="7">
        <v>4826.0</v>
      </c>
      <c r="O378" s="7">
        <v>1683558.0</v>
      </c>
      <c r="P378" s="7" t="s">
        <v>411</v>
      </c>
      <c r="Q378" s="7">
        <v>5014.49</v>
      </c>
      <c r="R378" s="3">
        <f t="shared" si="1"/>
        <v>10000</v>
      </c>
    </row>
    <row r="379" ht="22.5" customHeight="1">
      <c r="B379" s="7" t="s">
        <v>382</v>
      </c>
      <c r="C379" s="7">
        <v>36410.0</v>
      </c>
      <c r="D379" s="7">
        <v>115054.0</v>
      </c>
      <c r="E379" s="7">
        <v>1.7348168E7</v>
      </c>
      <c r="F379" s="7">
        <v>1.7027877E7</v>
      </c>
      <c r="G379" s="7">
        <v>4.0964033E7</v>
      </c>
      <c r="H379" s="7">
        <v>4.577563331E9</v>
      </c>
      <c r="I379" s="7">
        <v>622099.0</v>
      </c>
      <c r="J379" s="7">
        <v>512452.0</v>
      </c>
      <c r="K379" s="7">
        <v>109647.0</v>
      </c>
      <c r="L379" s="7">
        <v>63.3</v>
      </c>
      <c r="M379" s="7">
        <v>-0.07</v>
      </c>
      <c r="N379" s="7">
        <v>140922.0</v>
      </c>
      <c r="O379" s="7">
        <v>5440869.0</v>
      </c>
      <c r="P379" s="7" t="s">
        <v>411</v>
      </c>
      <c r="Q379" s="7">
        <v>5004.02</v>
      </c>
      <c r="R379" s="3">
        <f t="shared" si="1"/>
        <v>10000</v>
      </c>
    </row>
    <row r="380" ht="22.5" customHeight="1">
      <c r="B380" s="7" t="s">
        <v>383</v>
      </c>
      <c r="C380" s="7">
        <v>53118.0</v>
      </c>
      <c r="D380" s="7">
        <v>168346.0</v>
      </c>
      <c r="E380" s="7">
        <v>1.7959221E7</v>
      </c>
      <c r="F380" s="7">
        <v>1.7596136E7</v>
      </c>
      <c r="G380" s="7">
        <v>5.8182511E7</v>
      </c>
      <c r="H380" s="7">
        <v>6.84060413E9</v>
      </c>
      <c r="I380" s="7">
        <v>705080.0</v>
      </c>
      <c r="J380" s="7">
        <v>608958.0</v>
      </c>
      <c r="K380" s="7">
        <v>96122.0</v>
      </c>
      <c r="L380" s="7">
        <v>62.08</v>
      </c>
      <c r="M380" s="7">
        <v>-0.09</v>
      </c>
      <c r="N380" s="7">
        <v>128035.0</v>
      </c>
      <c r="O380" s="7">
        <v>6223077.0</v>
      </c>
      <c r="P380" s="7" t="s">
        <v>411</v>
      </c>
      <c r="Q380" s="7">
        <v>5004.02</v>
      </c>
      <c r="R380" s="3">
        <f t="shared" si="1"/>
        <v>10000</v>
      </c>
    </row>
    <row r="381" ht="22.5" customHeight="1">
      <c r="B381" s="7" t="s">
        <v>384</v>
      </c>
      <c r="C381" s="7">
        <v>73074.0</v>
      </c>
      <c r="D381" s="7">
        <v>231921.0</v>
      </c>
      <c r="E381" s="7">
        <v>1.7598653E7</v>
      </c>
      <c r="F381" s="7">
        <v>1.7222605E7</v>
      </c>
      <c r="G381" s="7">
        <v>6.6748452E7</v>
      </c>
      <c r="H381" s="7">
        <v>7.869215697E9</v>
      </c>
      <c r="I381" s="7">
        <v>645770.0</v>
      </c>
      <c r="J381" s="7">
        <v>567115.0</v>
      </c>
      <c r="K381" s="7">
        <v>78655.0</v>
      </c>
      <c r="L381" s="7">
        <v>77.32</v>
      </c>
      <c r="M381" s="7">
        <v>-0.09</v>
      </c>
      <c r="N381" s="7">
        <v>111322.0</v>
      </c>
      <c r="O381" s="7">
        <v>6139411.0</v>
      </c>
      <c r="P381" s="7" t="s">
        <v>411</v>
      </c>
      <c r="Q381" s="7">
        <v>5004.03</v>
      </c>
      <c r="R381" s="3">
        <f t="shared" si="1"/>
        <v>10000</v>
      </c>
    </row>
    <row r="382" ht="22.5" customHeight="1">
      <c r="B382" s="7" t="s">
        <v>388</v>
      </c>
      <c r="C382" s="7">
        <v>9188.0</v>
      </c>
      <c r="D382" s="7">
        <v>81017.0</v>
      </c>
      <c r="E382" s="7">
        <v>1.2212162E7</v>
      </c>
      <c r="F382" s="7">
        <v>1.2034385E7</v>
      </c>
      <c r="G382" s="7">
        <v>2.6153129E7</v>
      </c>
      <c r="H382" s="7">
        <v>2.143594434E9</v>
      </c>
      <c r="I382" s="7">
        <v>437998.0</v>
      </c>
      <c r="J382" s="7">
        <v>358993.0</v>
      </c>
      <c r="K382" s="7">
        <v>79005.0</v>
      </c>
      <c r="L382" s="7">
        <v>29.9</v>
      </c>
      <c r="M382" s="7">
        <v>-0.07</v>
      </c>
      <c r="N382" s="7">
        <v>97957.0</v>
      </c>
      <c r="O382" s="7">
        <v>5413803.0</v>
      </c>
      <c r="P382" s="7" t="s">
        <v>411</v>
      </c>
      <c r="Q382" s="7">
        <v>5004.03</v>
      </c>
      <c r="R382" s="3">
        <f t="shared" si="1"/>
        <v>10000</v>
      </c>
    </row>
    <row r="383" ht="22.5" customHeight="1">
      <c r="B383" s="7" t="s">
        <v>389</v>
      </c>
      <c r="C383" s="7">
        <v>11244.0</v>
      </c>
      <c r="D383" s="7">
        <v>99730.0</v>
      </c>
      <c r="E383" s="7">
        <v>1.1376489E7</v>
      </c>
      <c r="F383" s="7">
        <v>1.1221358E7</v>
      </c>
      <c r="G383" s="7">
        <v>2.6690888E7</v>
      </c>
      <c r="H383" s="7">
        <v>2.212164015E9</v>
      </c>
      <c r="I383" s="7">
        <v>459183.0</v>
      </c>
      <c r="J383" s="7">
        <v>389424.0</v>
      </c>
      <c r="K383" s="7">
        <v>69759.0</v>
      </c>
      <c r="L383" s="7">
        <v>32.43</v>
      </c>
      <c r="M383" s="7">
        <v>-0.08</v>
      </c>
      <c r="N383" s="7">
        <v>86347.0</v>
      </c>
      <c r="O383" s="7">
        <v>5070103.0</v>
      </c>
      <c r="P383" s="7" t="s">
        <v>411</v>
      </c>
      <c r="Q383" s="7">
        <v>5004.02</v>
      </c>
      <c r="R383" s="3">
        <f t="shared" si="1"/>
        <v>10000</v>
      </c>
    </row>
    <row r="384" ht="22.5" customHeight="1">
      <c r="B384" s="7" t="s">
        <v>390</v>
      </c>
      <c r="C384" s="7">
        <v>2929760.0</v>
      </c>
      <c r="D384" s="7">
        <v>6277585.0</v>
      </c>
      <c r="E384" s="7">
        <v>3284307.0</v>
      </c>
      <c r="F384" s="7">
        <v>2954769.0</v>
      </c>
      <c r="G384" s="7">
        <v>3.6260228E7</v>
      </c>
      <c r="H384" s="7">
        <v>3.999908272E9</v>
      </c>
      <c r="I384" s="7">
        <v>66339.0</v>
      </c>
      <c r="J384" s="7">
        <v>49641.0</v>
      </c>
      <c r="K384" s="7">
        <v>16698.0</v>
      </c>
      <c r="L384" s="7">
        <v>548.09</v>
      </c>
      <c r="M384" s="7">
        <v>-0.08</v>
      </c>
      <c r="N384" s="7">
        <v>22172.0</v>
      </c>
      <c r="O384" s="7">
        <v>4078227.0</v>
      </c>
      <c r="P384" s="7" t="s">
        <v>411</v>
      </c>
      <c r="Q384" s="7">
        <v>5003.85</v>
      </c>
      <c r="R384" s="3">
        <f t="shared" si="1"/>
        <v>10000</v>
      </c>
    </row>
    <row r="385" ht="22.5" customHeight="1">
      <c r="B385" s="7" t="s">
        <v>393</v>
      </c>
      <c r="C385" s="7">
        <v>172512.0</v>
      </c>
      <c r="D385" s="7">
        <v>1477968.0</v>
      </c>
      <c r="E385" s="7">
        <v>4522843.0</v>
      </c>
      <c r="F385" s="7">
        <v>3955348.0</v>
      </c>
      <c r="G385" s="7">
        <v>5.1662039E7</v>
      </c>
      <c r="H385" s="7">
        <v>1.3005404841E10</v>
      </c>
      <c r="I385" s="7">
        <v>84692.0</v>
      </c>
      <c r="J385" s="7">
        <v>62910.0</v>
      </c>
      <c r="K385" s="7">
        <v>21782.0</v>
      </c>
      <c r="L385" s="7">
        <v>733.07</v>
      </c>
      <c r="M385" s="7">
        <v>-0.08</v>
      </c>
      <c r="N385" s="7">
        <v>29581.0</v>
      </c>
      <c r="O385" s="7">
        <v>4457329.0</v>
      </c>
      <c r="P385" s="7" t="s">
        <v>411</v>
      </c>
      <c r="Q385" s="7">
        <v>5003.98</v>
      </c>
      <c r="R385" s="3">
        <f t="shared" si="1"/>
        <v>10000</v>
      </c>
    </row>
    <row r="386" ht="22.5" customHeight="1">
      <c r="B386" s="7" t="s">
        <v>394</v>
      </c>
      <c r="C386" s="7">
        <v>2430976.0</v>
      </c>
      <c r="D386" s="7">
        <v>5169846.0</v>
      </c>
      <c r="E386" s="7">
        <v>4832002.0</v>
      </c>
      <c r="F386" s="7">
        <v>4358678.0</v>
      </c>
      <c r="G386" s="7">
        <v>5.3312209E7</v>
      </c>
      <c r="H386" s="7">
        <v>6.237887055E9</v>
      </c>
      <c r="I386" s="7">
        <v>104355.0</v>
      </c>
      <c r="J386" s="7">
        <v>80656.0</v>
      </c>
      <c r="K386" s="7">
        <v>23699.0</v>
      </c>
      <c r="L386" s="7">
        <v>575.54</v>
      </c>
      <c r="M386" s="7">
        <v>-0.07</v>
      </c>
      <c r="N386" s="7">
        <v>31479.0</v>
      </c>
      <c r="O386" s="7">
        <v>5632695.0</v>
      </c>
      <c r="P386" s="7" t="s">
        <v>411</v>
      </c>
      <c r="Q386" s="7">
        <v>5004.22</v>
      </c>
      <c r="R386" s="3">
        <f t="shared" si="1"/>
        <v>10000</v>
      </c>
    </row>
    <row r="387" ht="22.5" customHeight="1">
      <c r="B387" s="7" t="s">
        <v>395</v>
      </c>
      <c r="C387" s="7">
        <v>2734848.0</v>
      </c>
      <c r="D387" s="7">
        <v>5821656.0</v>
      </c>
      <c r="E387" s="7">
        <v>3683107.0</v>
      </c>
      <c r="F387" s="7">
        <v>3288236.0</v>
      </c>
      <c r="G387" s="7">
        <v>4.9659839E7</v>
      </c>
      <c r="H387" s="7">
        <v>4.757842038E9</v>
      </c>
      <c r="I387" s="7">
        <v>73087.0</v>
      </c>
      <c r="J387" s="7">
        <v>54005.0</v>
      </c>
      <c r="K387" s="7">
        <v>19082.0</v>
      </c>
      <c r="L387" s="7">
        <v>599.02</v>
      </c>
      <c r="M387" s="7">
        <v>-0.08</v>
      </c>
      <c r="N387" s="7">
        <v>25707.0</v>
      </c>
      <c r="O387" s="7">
        <v>4838233.0</v>
      </c>
      <c r="P387" s="7" t="s">
        <v>411</v>
      </c>
      <c r="Q387" s="7">
        <v>5003.95</v>
      </c>
      <c r="R387" s="3">
        <f t="shared" si="1"/>
        <v>10000</v>
      </c>
    </row>
    <row r="388" ht="22.5" customHeight="1">
      <c r="B388" s="7" t="s">
        <v>396</v>
      </c>
      <c r="C388" s="7">
        <v>3646464.0</v>
      </c>
      <c r="D388" s="7">
        <v>7777501.0</v>
      </c>
      <c r="E388" s="7">
        <v>4439658.0</v>
      </c>
      <c r="F388" s="7">
        <v>3910217.0</v>
      </c>
      <c r="G388" s="7">
        <v>7.7832856E7</v>
      </c>
      <c r="H388" s="7">
        <v>5.448795765E9</v>
      </c>
      <c r="I388" s="7">
        <v>92668.0</v>
      </c>
      <c r="J388" s="7">
        <v>71487.0</v>
      </c>
      <c r="K388" s="7">
        <v>21181.0</v>
      </c>
      <c r="L388" s="7">
        <v>515.53</v>
      </c>
      <c r="M388" s="7">
        <v>-0.09</v>
      </c>
      <c r="N388" s="7">
        <v>28999.0</v>
      </c>
      <c r="O388" s="7">
        <v>8090836.0</v>
      </c>
      <c r="P388" s="7" t="s">
        <v>411</v>
      </c>
      <c r="Q388" s="7">
        <v>5003.97</v>
      </c>
      <c r="R388" s="3">
        <f t="shared" si="1"/>
        <v>10000</v>
      </c>
    </row>
    <row r="389" ht="22.5" customHeight="1">
      <c r="B389" s="7" t="s">
        <v>397</v>
      </c>
      <c r="C389" s="7">
        <v>3651.0</v>
      </c>
      <c r="D389" s="7">
        <v>926696.0</v>
      </c>
      <c r="E389" s="7">
        <v>1.911044E7</v>
      </c>
      <c r="F389" s="7">
        <v>1.8779814E7</v>
      </c>
      <c r="G389" s="7">
        <v>2.4032475E7</v>
      </c>
      <c r="H389" s="7">
        <v>2.517414443E9</v>
      </c>
      <c r="I389" s="7">
        <v>584511.0</v>
      </c>
      <c r="J389" s="7">
        <v>399494.0</v>
      </c>
      <c r="K389" s="7">
        <v>185017.0</v>
      </c>
      <c r="L389" s="7">
        <v>189.91</v>
      </c>
      <c r="M389" s="7">
        <v>-0.03</v>
      </c>
      <c r="N389" s="7">
        <v>212872.0</v>
      </c>
      <c r="O389" s="7">
        <v>7981627.0</v>
      </c>
      <c r="P389" s="7" t="s">
        <v>411</v>
      </c>
      <c r="Q389" s="7">
        <v>5003.91</v>
      </c>
      <c r="R389" s="3">
        <f t="shared" si="1"/>
        <v>10000</v>
      </c>
    </row>
    <row r="390" ht="22.5" customHeight="1">
      <c r="B390" s="7" t="s">
        <v>398</v>
      </c>
      <c r="C390" s="7">
        <v>13431.0</v>
      </c>
      <c r="D390" s="7">
        <v>335655.0</v>
      </c>
      <c r="E390" s="7">
        <v>1.059856E7</v>
      </c>
      <c r="F390" s="7">
        <v>1.029913E7</v>
      </c>
      <c r="G390" s="7">
        <v>3.3735148E7</v>
      </c>
      <c r="H390" s="7">
        <v>4.133659871E9</v>
      </c>
      <c r="I390" s="7">
        <v>468980.0</v>
      </c>
      <c r="J390" s="7">
        <v>420494.0</v>
      </c>
      <c r="K390" s="7">
        <v>48486.0</v>
      </c>
      <c r="L390" s="7">
        <v>53.54</v>
      </c>
      <c r="M390" s="7">
        <v>-0.09</v>
      </c>
      <c r="N390" s="7">
        <v>63351.0</v>
      </c>
      <c r="O390" s="7">
        <v>4793207.0</v>
      </c>
      <c r="P390" s="7" t="s">
        <v>411</v>
      </c>
      <c r="Q390" s="7">
        <v>5004.01</v>
      </c>
      <c r="R390" s="3">
        <f t="shared" si="1"/>
        <v>10000</v>
      </c>
    </row>
    <row r="391" ht="22.5" customHeight="1">
      <c r="B391" s="7" t="s">
        <v>254</v>
      </c>
      <c r="C391" s="7">
        <v>3906.0</v>
      </c>
      <c r="D391" s="7">
        <v>1.3611728E7</v>
      </c>
      <c r="E391" s="7">
        <v>2.0988853E7</v>
      </c>
      <c r="F391" s="7">
        <v>2.067242E7</v>
      </c>
      <c r="G391" s="7">
        <v>3.43645454E8</v>
      </c>
      <c r="H391" s="7">
        <v>7.15831727E8</v>
      </c>
      <c r="I391" s="7">
        <v>602210.0</v>
      </c>
      <c r="J391" s="7">
        <v>349042.0</v>
      </c>
      <c r="K391" s="7">
        <v>253168.0</v>
      </c>
      <c r="L391" s="7">
        <v>56.87</v>
      </c>
      <c r="M391" s="7">
        <v>-0.02</v>
      </c>
      <c r="N391" s="7">
        <v>277177.0</v>
      </c>
      <c r="O391" s="7">
        <v>1.37875612E8</v>
      </c>
      <c r="P391" s="7" t="s">
        <v>411</v>
      </c>
      <c r="Q391" s="7">
        <v>5003.27</v>
      </c>
      <c r="R391" s="3">
        <f t="shared" si="1"/>
        <v>10000</v>
      </c>
    </row>
    <row r="392" ht="22.5" customHeight="1">
      <c r="B392" s="7" t="s">
        <v>399</v>
      </c>
      <c r="C392" s="7">
        <v>314295.0</v>
      </c>
      <c r="D392" s="7">
        <v>1258522.0</v>
      </c>
      <c r="E392" s="7">
        <v>6110027.0</v>
      </c>
      <c r="F392" s="7">
        <v>5931601.0</v>
      </c>
      <c r="G392" s="7">
        <v>2.3312155E7</v>
      </c>
      <c r="H392" s="7">
        <v>1.0251002158E10</v>
      </c>
      <c r="I392" s="7">
        <v>316830.0</v>
      </c>
      <c r="J392" s="7">
        <v>300741.0</v>
      </c>
      <c r="K392" s="7">
        <v>16089.0</v>
      </c>
      <c r="L392" s="7">
        <v>61.85</v>
      </c>
      <c r="M392" s="7">
        <v>-0.16</v>
      </c>
      <c r="N392" s="7">
        <v>24413.0</v>
      </c>
      <c r="O392" s="7">
        <v>4507254.0</v>
      </c>
      <c r="P392" s="7" t="s">
        <v>411</v>
      </c>
      <c r="Q392" s="7">
        <v>5003.98</v>
      </c>
      <c r="R392" s="3">
        <f t="shared" si="1"/>
        <v>10000</v>
      </c>
    </row>
    <row r="393" ht="22.5" customHeight="1">
      <c r="B393" s="7" t="s">
        <v>400</v>
      </c>
      <c r="C393" s="7">
        <v>302576.0</v>
      </c>
      <c r="D393" s="7">
        <v>1702428.0</v>
      </c>
      <c r="E393" s="7">
        <v>1.9404473E7</v>
      </c>
      <c r="F393" s="7">
        <v>1.8843072E7</v>
      </c>
      <c r="G393" s="7">
        <v>1.240676047E9</v>
      </c>
      <c r="H393" s="7">
        <v>1.3874835158E10</v>
      </c>
      <c r="I393" s="7">
        <v>450014.0</v>
      </c>
      <c r="J393" s="7">
        <v>379338.0</v>
      </c>
      <c r="K393" s="7">
        <v>70676.0</v>
      </c>
      <c r="L393" s="7">
        <v>96.63</v>
      </c>
      <c r="M393" s="7">
        <v>-0.1</v>
      </c>
      <c r="N393" s="7">
        <v>103574.0</v>
      </c>
      <c r="O393" s="7">
        <v>1.4301342E8</v>
      </c>
      <c r="P393" s="7" t="s">
        <v>411</v>
      </c>
      <c r="Q393" s="7">
        <v>5003.97</v>
      </c>
      <c r="R393" s="3">
        <f t="shared" si="1"/>
        <v>10000</v>
      </c>
    </row>
    <row r="394" ht="22.5" customHeight="1">
      <c r="B394" s="7" t="s">
        <v>401</v>
      </c>
      <c r="C394" s="7">
        <v>269416.0</v>
      </c>
      <c r="D394" s="7">
        <v>1214079.0</v>
      </c>
      <c r="E394" s="7">
        <v>2.2580449E7</v>
      </c>
      <c r="F394" s="7">
        <v>2.2136435E7</v>
      </c>
      <c r="G394" s="7">
        <v>4.4776699E7</v>
      </c>
      <c r="H394" s="7">
        <v>6.53859803E9</v>
      </c>
      <c r="I394" s="7">
        <v>883494.0</v>
      </c>
      <c r="J394" s="7">
        <v>760803.0</v>
      </c>
      <c r="K394" s="7">
        <v>122691.0</v>
      </c>
      <c r="L394" s="7">
        <v>44.65</v>
      </c>
      <c r="M394" s="7">
        <v>-0.06</v>
      </c>
      <c r="N394" s="7">
        <v>153395.0</v>
      </c>
      <c r="O394" s="7">
        <v>9990747.0</v>
      </c>
      <c r="P394" s="7" t="s">
        <v>411</v>
      </c>
      <c r="Q394" s="7">
        <v>5003.94</v>
      </c>
      <c r="R394" s="3">
        <f t="shared" si="1"/>
        <v>10000</v>
      </c>
    </row>
    <row r="395" ht="22.5" customHeight="1">
      <c r="B395" s="7" t="s">
        <v>62</v>
      </c>
      <c r="C395" s="7">
        <v>1085.0</v>
      </c>
      <c r="D395" s="7">
        <v>25464.0</v>
      </c>
      <c r="E395" s="7">
        <v>1.0618852E7</v>
      </c>
      <c r="F395" s="7">
        <v>1.0531773E7</v>
      </c>
      <c r="G395" s="7">
        <v>2.0753773E7</v>
      </c>
      <c r="H395" s="7">
        <v>1.490160903E9</v>
      </c>
      <c r="I395" s="7">
        <v>548119.0</v>
      </c>
      <c r="J395" s="7">
        <v>472464.0</v>
      </c>
      <c r="K395" s="7">
        <v>75655.0</v>
      </c>
      <c r="L395" s="7">
        <v>32.03</v>
      </c>
      <c r="M395" s="7">
        <v>-0.07</v>
      </c>
      <c r="N395" s="7">
        <v>89529.0</v>
      </c>
      <c r="O395" s="7">
        <v>4383331.0</v>
      </c>
      <c r="P395" s="7" t="s">
        <v>411</v>
      </c>
      <c r="Q395" s="7">
        <v>5004.0</v>
      </c>
      <c r="R395" s="3">
        <f t="shared" si="1"/>
        <v>10000</v>
      </c>
    </row>
    <row r="396" ht="22.5" customHeight="1">
      <c r="B396" s="7" t="s">
        <v>402</v>
      </c>
      <c r="C396" s="7">
        <v>1110.0</v>
      </c>
      <c r="D396" s="7">
        <v>27596.0</v>
      </c>
      <c r="E396" s="7">
        <v>1.1487368E7</v>
      </c>
      <c r="F396" s="7">
        <v>1.1405179E7</v>
      </c>
      <c r="G396" s="7">
        <v>2.0801529E7</v>
      </c>
      <c r="H396" s="7">
        <v>1.604290066E9</v>
      </c>
      <c r="I396" s="7">
        <v>583370.0</v>
      </c>
      <c r="J396" s="7">
        <v>495998.0</v>
      </c>
      <c r="K396" s="7">
        <v>87372.0</v>
      </c>
      <c r="L396" s="7">
        <v>31.77</v>
      </c>
      <c r="M396" s="7">
        <v>-0.06</v>
      </c>
      <c r="N396" s="7">
        <v>103624.0</v>
      </c>
      <c r="O396" s="7">
        <v>4304073.0</v>
      </c>
      <c r="P396" s="7" t="s">
        <v>411</v>
      </c>
      <c r="Q396" s="7">
        <v>5003.98</v>
      </c>
      <c r="R396" s="3">
        <f t="shared" si="1"/>
        <v>10000</v>
      </c>
    </row>
    <row r="397" ht="22.5" customHeight="1">
      <c r="B397" s="7" t="s">
        <v>403</v>
      </c>
      <c r="C397" s="7">
        <v>2240.0</v>
      </c>
      <c r="D397" s="7">
        <v>8960.0</v>
      </c>
      <c r="E397" s="7">
        <v>1.54846939E8</v>
      </c>
      <c r="F397" s="7">
        <v>1.54795293E8</v>
      </c>
      <c r="G397" s="7">
        <v>8.59103674E8</v>
      </c>
      <c r="H397" s="7">
        <v>1.97435932E9</v>
      </c>
      <c r="I397" s="7">
        <v>7587575.0</v>
      </c>
      <c r="J397" s="7">
        <v>6522645.0</v>
      </c>
      <c r="K397" s="7">
        <v>1064930.0</v>
      </c>
      <c r="L397" s="7">
        <v>21.43</v>
      </c>
      <c r="M397" s="7">
        <v>-0.04</v>
      </c>
      <c r="N397" s="7">
        <v>1244270.0</v>
      </c>
      <c r="O397" s="7">
        <v>1.66003595E8</v>
      </c>
      <c r="P397" s="7" t="s">
        <v>411</v>
      </c>
      <c r="Q397" s="7">
        <v>5003.96</v>
      </c>
      <c r="R397" s="3">
        <f t="shared" si="1"/>
        <v>10000</v>
      </c>
    </row>
    <row r="398" ht="22.5" customHeight="1">
      <c r="B398" s="7" t="s">
        <v>404</v>
      </c>
      <c r="C398" s="7">
        <v>730.0</v>
      </c>
      <c r="D398" s="7">
        <v>43124.0</v>
      </c>
      <c r="E398" s="7">
        <v>1.11200295E8</v>
      </c>
      <c r="F398" s="7">
        <v>8.422421E7</v>
      </c>
      <c r="G398" s="7">
        <v>3.69623415E8</v>
      </c>
      <c r="H398" s="7">
        <v>3.053956852E9</v>
      </c>
      <c r="I398" s="7">
        <v>1573540.0</v>
      </c>
      <c r="J398" s="7">
        <v>1065799.0</v>
      </c>
      <c r="K398" s="7">
        <v>507741.0</v>
      </c>
      <c r="L398" s="7">
        <v>49.57</v>
      </c>
      <c r="M398" s="7">
        <v>-0.05</v>
      </c>
      <c r="N398" s="7">
        <v>629423.0</v>
      </c>
      <c r="O398" s="7">
        <v>2.20182888E8</v>
      </c>
      <c r="P398" s="7" t="s">
        <v>411</v>
      </c>
      <c r="Q398" s="7">
        <v>5003.94</v>
      </c>
      <c r="R398" s="3">
        <f t="shared" si="1"/>
        <v>10000</v>
      </c>
    </row>
    <row r="399" ht="22.5" customHeight="1">
      <c r="B399" s="7" t="s">
        <v>405</v>
      </c>
      <c r="C399" s="7">
        <v>1156.0</v>
      </c>
      <c r="D399" s="7">
        <v>194072.0</v>
      </c>
      <c r="E399" s="7">
        <v>1.9237323E7</v>
      </c>
      <c r="F399" s="7">
        <v>1.8574587E7</v>
      </c>
      <c r="G399" s="7">
        <v>4.1798486E7</v>
      </c>
      <c r="H399" s="7">
        <v>2.675471338E9</v>
      </c>
      <c r="I399" s="7">
        <v>576373.0</v>
      </c>
      <c r="J399" s="7">
        <v>434793.0</v>
      </c>
      <c r="K399" s="7">
        <v>141580.0</v>
      </c>
      <c r="L399" s="7">
        <v>56.85</v>
      </c>
      <c r="M399" s="7">
        <v>-0.06</v>
      </c>
      <c r="N399" s="7">
        <v>171052.0</v>
      </c>
      <c r="O399" s="7">
        <v>1.3072209E7</v>
      </c>
      <c r="P399" s="7" t="s">
        <v>411</v>
      </c>
      <c r="Q399" s="7">
        <v>5003.99</v>
      </c>
      <c r="R399" s="3">
        <f t="shared" si="1"/>
        <v>10000</v>
      </c>
    </row>
    <row r="400" ht="22.5" customHeight="1">
      <c r="B400" s="7" t="s">
        <v>406</v>
      </c>
      <c r="C400" s="7">
        <v>1296.0</v>
      </c>
      <c r="D400" s="7">
        <v>230544.0</v>
      </c>
      <c r="E400" s="7">
        <v>1.9556932E7</v>
      </c>
      <c r="F400" s="7">
        <v>1.8843198E7</v>
      </c>
      <c r="G400" s="7">
        <v>4.554021E7</v>
      </c>
      <c r="H400" s="7">
        <v>2.819646274E9</v>
      </c>
      <c r="I400" s="7">
        <v>577257.0</v>
      </c>
      <c r="J400" s="7">
        <v>443434.0</v>
      </c>
      <c r="K400" s="7">
        <v>133823.0</v>
      </c>
      <c r="L400" s="7">
        <v>62.64</v>
      </c>
      <c r="M400" s="7">
        <v>-0.06</v>
      </c>
      <c r="N400" s="7">
        <v>163661.0</v>
      </c>
      <c r="O400" s="7">
        <v>1.4337225E7</v>
      </c>
      <c r="P400" s="7" t="s">
        <v>411</v>
      </c>
      <c r="Q400" s="7">
        <v>5003.96</v>
      </c>
      <c r="R400" s="3">
        <f t="shared" si="1"/>
        <v>10000</v>
      </c>
    </row>
    <row r="401" ht="22.5" customHeight="1">
      <c r="B401" s="7" t="s">
        <v>407</v>
      </c>
      <c r="C401" s="7">
        <v>382.0</v>
      </c>
      <c r="D401" s="7">
        <v>1018.0</v>
      </c>
      <c r="E401" s="7">
        <v>8.2323737E7</v>
      </c>
      <c r="F401" s="7">
        <v>8.2307006E7</v>
      </c>
      <c r="G401" s="7">
        <v>1.42797018E8</v>
      </c>
      <c r="H401" s="7">
        <v>6.83933513E8</v>
      </c>
      <c r="I401" s="7">
        <v>3095099.0</v>
      </c>
      <c r="J401" s="7">
        <v>2324717.0</v>
      </c>
      <c r="K401" s="7">
        <v>770382.0</v>
      </c>
      <c r="L401" s="7">
        <v>36.35</v>
      </c>
      <c r="M401" s="7">
        <v>-0.04</v>
      </c>
      <c r="N401" s="7">
        <v>883480.0</v>
      </c>
      <c r="O401" s="7">
        <v>4.1398574E7</v>
      </c>
      <c r="P401" s="7" t="s">
        <v>411</v>
      </c>
      <c r="Q401" s="7">
        <v>5003.99</v>
      </c>
      <c r="R401" s="3">
        <f t="shared" si="1"/>
        <v>10000</v>
      </c>
    </row>
    <row r="403">
      <c r="P403" s="4" t="s">
        <v>408</v>
      </c>
      <c r="Q403" s="4" t="s">
        <v>4</v>
      </c>
    </row>
    <row r="404">
      <c r="P404" s="5">
        <f t="shared" ref="P404:Q404" si="2">SUM(Q2:Q401)/400</f>
        <v>2402.1535</v>
      </c>
      <c r="Q404" s="5">
        <f t="shared" si="2"/>
        <v>4100.782925</v>
      </c>
    </row>
    <row r="405">
      <c r="N405" s="4" t="s">
        <v>409</v>
      </c>
      <c r="O405" s="5">
        <f>COUNTIF(P2:P401,"=SAT")</f>
        <v>164</v>
      </c>
    </row>
    <row r="406">
      <c r="N406" s="4" t="s">
        <v>410</v>
      </c>
      <c r="O406" s="5">
        <f>COUNTIF(P2:P401,"=UNSAT")</f>
        <v>100</v>
      </c>
    </row>
    <row r="407">
      <c r="N407" s="4" t="s">
        <v>411</v>
      </c>
      <c r="O407" s="5">
        <f>COUNTIF(P2:P401,"=IND")</f>
        <v>136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</cols>
  <sheetData>
    <row r="1">
      <c r="B1" s="4" t="s">
        <v>425</v>
      </c>
      <c r="C1" s="4" t="s">
        <v>426</v>
      </c>
      <c r="D1" s="4" t="s">
        <v>427</v>
      </c>
      <c r="E1" s="4" t="s">
        <v>428</v>
      </c>
    </row>
    <row r="2">
      <c r="B2" s="4">
        <v>1.0</v>
      </c>
      <c r="C2" s="5">
        <v>0.88</v>
      </c>
      <c r="D2" s="5">
        <v>1.6</v>
      </c>
      <c r="E2" s="5">
        <v>1.08</v>
      </c>
    </row>
    <row r="3">
      <c r="B3" s="4">
        <v>2.0</v>
      </c>
      <c r="C3" s="5">
        <v>1.92</v>
      </c>
      <c r="D3" s="5">
        <v>1.72</v>
      </c>
      <c r="E3" s="5">
        <v>1.15</v>
      </c>
    </row>
    <row r="4">
      <c r="B4" s="4">
        <v>3.0</v>
      </c>
      <c r="C4" s="5">
        <v>2.38</v>
      </c>
      <c r="D4" s="5">
        <v>1.83</v>
      </c>
      <c r="E4" s="5">
        <v>1.23</v>
      </c>
    </row>
    <row r="5">
      <c r="B5" s="4">
        <v>4.0</v>
      </c>
      <c r="C5" s="5">
        <v>4.73</v>
      </c>
      <c r="D5" s="5">
        <v>4.19</v>
      </c>
      <c r="E5" s="5">
        <v>1.28</v>
      </c>
    </row>
    <row r="6">
      <c r="B6" s="4">
        <v>5.0</v>
      </c>
      <c r="C6" s="5">
        <v>5.34</v>
      </c>
      <c r="D6" s="5">
        <v>4.91</v>
      </c>
      <c r="E6" s="5">
        <v>2.31</v>
      </c>
    </row>
    <row r="7">
      <c r="B7" s="4">
        <v>6.0</v>
      </c>
      <c r="C7" s="5">
        <v>7.19</v>
      </c>
      <c r="D7" s="5">
        <v>5.49</v>
      </c>
      <c r="E7" s="5">
        <v>4.96</v>
      </c>
    </row>
    <row r="8">
      <c r="B8" s="4">
        <v>7.0</v>
      </c>
      <c r="C8" s="5">
        <v>8.15</v>
      </c>
      <c r="D8" s="5">
        <v>5.78</v>
      </c>
      <c r="E8" s="5">
        <v>8.04</v>
      </c>
    </row>
    <row r="9">
      <c r="B9" s="4">
        <v>8.0</v>
      </c>
      <c r="C9" s="5">
        <v>8.44</v>
      </c>
      <c r="D9" s="5">
        <v>6.76</v>
      </c>
      <c r="E9" s="5">
        <v>9.57</v>
      </c>
    </row>
    <row r="10">
      <c r="B10" s="4">
        <v>9.0</v>
      </c>
      <c r="C10" s="5">
        <v>10.41</v>
      </c>
      <c r="D10" s="5">
        <v>9.15</v>
      </c>
      <c r="E10" s="5">
        <v>10.75</v>
      </c>
    </row>
    <row r="11">
      <c r="B11" s="4">
        <v>10.0</v>
      </c>
      <c r="C11" s="5">
        <v>10.88</v>
      </c>
      <c r="D11" s="5">
        <v>9.45</v>
      </c>
      <c r="E11" s="5">
        <v>13.66</v>
      </c>
    </row>
    <row r="12">
      <c r="B12" s="4">
        <v>11.0</v>
      </c>
      <c r="C12" s="5">
        <v>11.78</v>
      </c>
      <c r="D12" s="5">
        <v>13.83</v>
      </c>
      <c r="E12" s="5">
        <v>13.99</v>
      </c>
    </row>
    <row r="13">
      <c r="B13" s="4">
        <v>12.0</v>
      </c>
      <c r="C13" s="5">
        <v>14.56</v>
      </c>
      <c r="D13" s="5">
        <v>14.36</v>
      </c>
      <c r="E13" s="5">
        <v>16.55</v>
      </c>
    </row>
    <row r="14">
      <c r="B14" s="4">
        <v>13.0</v>
      </c>
      <c r="C14" s="5">
        <v>14.67</v>
      </c>
      <c r="D14" s="5">
        <v>15.6</v>
      </c>
      <c r="E14" s="5">
        <v>18.42</v>
      </c>
    </row>
    <row r="15">
      <c r="B15" s="4">
        <v>14.0</v>
      </c>
      <c r="C15" s="5">
        <v>14.74</v>
      </c>
      <c r="D15" s="5">
        <v>16.2</v>
      </c>
      <c r="E15" s="5">
        <v>18.5</v>
      </c>
    </row>
    <row r="16">
      <c r="B16" s="4">
        <v>15.0</v>
      </c>
      <c r="C16" s="5">
        <v>15.49</v>
      </c>
      <c r="D16" s="5">
        <v>16.52</v>
      </c>
      <c r="E16" s="5">
        <v>19.6</v>
      </c>
    </row>
    <row r="17">
      <c r="B17" s="4">
        <v>16.0</v>
      </c>
      <c r="C17" s="5">
        <v>15.9</v>
      </c>
      <c r="D17" s="5">
        <v>24.9</v>
      </c>
      <c r="E17" s="5">
        <v>20.81</v>
      </c>
    </row>
    <row r="18">
      <c r="B18" s="4">
        <v>17.0</v>
      </c>
      <c r="C18" s="5">
        <v>16.89</v>
      </c>
      <c r="D18" s="5">
        <v>27.23</v>
      </c>
      <c r="E18" s="5">
        <v>22.15</v>
      </c>
    </row>
    <row r="19">
      <c r="B19" s="4">
        <v>18.0</v>
      </c>
      <c r="C19" s="5">
        <v>20.09</v>
      </c>
      <c r="D19" s="5">
        <v>28.6</v>
      </c>
      <c r="E19" s="5">
        <v>23.53</v>
      </c>
    </row>
    <row r="20">
      <c r="B20" s="4">
        <v>19.0</v>
      </c>
      <c r="C20" s="5">
        <v>20.47</v>
      </c>
      <c r="D20" s="5">
        <v>30.19</v>
      </c>
      <c r="E20" s="5">
        <v>25.75</v>
      </c>
    </row>
    <row r="21">
      <c r="B21" s="4">
        <v>20.0</v>
      </c>
      <c r="C21" s="5">
        <v>20.48</v>
      </c>
      <c r="D21" s="5">
        <v>33.62</v>
      </c>
      <c r="E21" s="5">
        <v>27.2</v>
      </c>
    </row>
    <row r="22">
      <c r="B22" s="4">
        <v>21.0</v>
      </c>
      <c r="C22" s="5">
        <v>21.2</v>
      </c>
      <c r="D22" s="5">
        <v>34.47</v>
      </c>
      <c r="E22" s="5">
        <v>32.16</v>
      </c>
    </row>
    <row r="23">
      <c r="B23" s="4">
        <v>22.0</v>
      </c>
      <c r="C23" s="5">
        <v>22.8</v>
      </c>
      <c r="D23" s="5">
        <v>35.66</v>
      </c>
      <c r="E23" s="5">
        <v>32.21</v>
      </c>
    </row>
    <row r="24">
      <c r="B24" s="4">
        <v>23.0</v>
      </c>
      <c r="C24" s="5">
        <v>24.96</v>
      </c>
      <c r="D24" s="5">
        <v>38.59</v>
      </c>
      <c r="E24" s="5">
        <v>32.98</v>
      </c>
    </row>
    <row r="25">
      <c r="B25" s="4">
        <v>24.0</v>
      </c>
      <c r="C25" s="5">
        <v>27.57</v>
      </c>
      <c r="D25" s="5">
        <v>43.32</v>
      </c>
      <c r="E25" s="5">
        <v>35.68</v>
      </c>
    </row>
    <row r="26">
      <c r="B26" s="4">
        <v>25.0</v>
      </c>
      <c r="C26" s="5">
        <v>28.57</v>
      </c>
      <c r="D26" s="5">
        <v>45.06</v>
      </c>
      <c r="E26" s="5">
        <v>36.63</v>
      </c>
    </row>
    <row r="27">
      <c r="B27" s="4">
        <v>26.0</v>
      </c>
      <c r="C27" s="5">
        <v>28.99</v>
      </c>
      <c r="D27" s="5">
        <v>48.8</v>
      </c>
      <c r="E27" s="5">
        <v>36.93</v>
      </c>
    </row>
    <row r="28">
      <c r="B28" s="4">
        <v>27.0</v>
      </c>
      <c r="C28" s="5">
        <v>29.33</v>
      </c>
      <c r="D28" s="5">
        <v>49.54</v>
      </c>
      <c r="E28" s="5">
        <v>37.38</v>
      </c>
    </row>
    <row r="29">
      <c r="B29" s="4">
        <v>28.0</v>
      </c>
      <c r="C29" s="5">
        <v>30.03</v>
      </c>
      <c r="D29" s="5">
        <v>53.69</v>
      </c>
      <c r="E29" s="5">
        <v>38.45</v>
      </c>
    </row>
    <row r="30">
      <c r="B30" s="4">
        <v>29.0</v>
      </c>
      <c r="C30" s="5">
        <v>32.77</v>
      </c>
      <c r="D30" s="5">
        <v>53.96</v>
      </c>
      <c r="E30" s="5">
        <v>38.69</v>
      </c>
    </row>
    <row r="31">
      <c r="B31" s="4">
        <v>30.0</v>
      </c>
      <c r="C31" s="5">
        <v>35.08</v>
      </c>
      <c r="D31" s="5">
        <v>56.77</v>
      </c>
      <c r="E31" s="5">
        <v>41.14</v>
      </c>
    </row>
    <row r="32">
      <c r="B32" s="4">
        <v>31.0</v>
      </c>
      <c r="C32" s="5">
        <v>36.34</v>
      </c>
      <c r="D32" s="5">
        <v>57.82</v>
      </c>
      <c r="E32" s="5">
        <v>43.15</v>
      </c>
    </row>
    <row r="33">
      <c r="B33" s="4">
        <v>32.0</v>
      </c>
      <c r="C33" s="5">
        <v>38.89</v>
      </c>
      <c r="D33" s="5">
        <v>58.59</v>
      </c>
      <c r="E33" s="5">
        <v>44.83</v>
      </c>
    </row>
    <row r="34">
      <c r="B34" s="4">
        <v>33.0</v>
      </c>
      <c r="C34" s="5">
        <v>40.41</v>
      </c>
      <c r="D34" s="5">
        <v>61.46</v>
      </c>
      <c r="E34" s="5">
        <v>49.08</v>
      </c>
    </row>
    <row r="35">
      <c r="B35" s="4">
        <v>34.0</v>
      </c>
      <c r="C35" s="5">
        <v>42.39</v>
      </c>
      <c r="D35" s="5">
        <v>62.46</v>
      </c>
      <c r="E35" s="5">
        <v>49.55</v>
      </c>
    </row>
    <row r="36">
      <c r="B36" s="4">
        <v>35.0</v>
      </c>
      <c r="C36" s="5">
        <v>43.4</v>
      </c>
      <c r="D36" s="5">
        <v>67.05</v>
      </c>
      <c r="E36" s="5">
        <v>50.66</v>
      </c>
    </row>
    <row r="37">
      <c r="B37" s="4">
        <v>36.0</v>
      </c>
      <c r="C37" s="5">
        <v>44.23</v>
      </c>
      <c r="D37" s="5">
        <v>68.88</v>
      </c>
      <c r="E37" s="5">
        <v>57.61</v>
      </c>
    </row>
    <row r="38">
      <c r="B38" s="4">
        <v>37.0</v>
      </c>
      <c r="C38" s="5">
        <v>45.24</v>
      </c>
      <c r="D38" s="5">
        <v>70.24</v>
      </c>
      <c r="E38" s="5">
        <v>59.29</v>
      </c>
    </row>
    <row r="39">
      <c r="B39" s="4">
        <v>38.0</v>
      </c>
      <c r="C39" s="5">
        <v>45.29</v>
      </c>
      <c r="D39" s="5">
        <v>72.39</v>
      </c>
      <c r="E39" s="5">
        <v>61.75</v>
      </c>
    </row>
    <row r="40">
      <c r="B40" s="4">
        <v>39.0</v>
      </c>
      <c r="C40" s="5">
        <v>59.24</v>
      </c>
      <c r="D40" s="5">
        <v>78.62</v>
      </c>
      <c r="E40" s="5">
        <v>63.35</v>
      </c>
    </row>
    <row r="41">
      <c r="B41" s="4">
        <v>40.0</v>
      </c>
      <c r="C41" s="5">
        <v>61.51</v>
      </c>
      <c r="D41" s="5">
        <v>83.22</v>
      </c>
      <c r="E41" s="5">
        <v>64.48</v>
      </c>
    </row>
    <row r="42">
      <c r="B42" s="4">
        <v>41.0</v>
      </c>
      <c r="C42" s="5">
        <v>71.21</v>
      </c>
      <c r="D42" s="5">
        <v>87.88</v>
      </c>
      <c r="E42" s="5">
        <v>72.61</v>
      </c>
    </row>
    <row r="43">
      <c r="B43" s="4">
        <v>42.0</v>
      </c>
      <c r="C43" s="5">
        <v>72.1</v>
      </c>
      <c r="D43" s="5">
        <v>90.9</v>
      </c>
      <c r="E43" s="5">
        <v>72.78</v>
      </c>
    </row>
    <row r="44">
      <c r="B44" s="4">
        <v>43.0</v>
      </c>
      <c r="C44" s="5">
        <v>74.41</v>
      </c>
      <c r="D44" s="5">
        <v>91.41</v>
      </c>
      <c r="E44" s="5">
        <v>73.48</v>
      </c>
    </row>
    <row r="45">
      <c r="B45" s="4">
        <v>44.0</v>
      </c>
      <c r="C45" s="5">
        <v>76.49</v>
      </c>
      <c r="D45" s="5">
        <v>103.04</v>
      </c>
      <c r="E45" s="5">
        <v>74.79</v>
      </c>
    </row>
    <row r="46">
      <c r="B46" s="4">
        <v>45.0</v>
      </c>
      <c r="C46" s="5">
        <v>78.68</v>
      </c>
      <c r="D46" s="5">
        <v>103.52</v>
      </c>
      <c r="E46" s="5">
        <v>80.15</v>
      </c>
    </row>
    <row r="47">
      <c r="B47" s="4">
        <v>46.0</v>
      </c>
      <c r="C47" s="5">
        <v>80.65</v>
      </c>
      <c r="D47" s="5">
        <v>111.45</v>
      </c>
      <c r="E47" s="5">
        <v>80.97</v>
      </c>
    </row>
    <row r="48">
      <c r="B48" s="4">
        <v>47.0</v>
      </c>
      <c r="C48" s="5">
        <v>83.88</v>
      </c>
      <c r="D48" s="5">
        <v>114.02</v>
      </c>
      <c r="E48" s="5">
        <v>83.42</v>
      </c>
    </row>
    <row r="49">
      <c r="B49" s="4">
        <v>48.0</v>
      </c>
      <c r="C49" s="5">
        <v>90.45</v>
      </c>
      <c r="D49" s="5">
        <v>118.94</v>
      </c>
      <c r="E49" s="5">
        <v>94.6</v>
      </c>
    </row>
    <row r="50">
      <c r="B50" s="4">
        <v>49.0</v>
      </c>
      <c r="C50" s="5">
        <v>91.31</v>
      </c>
      <c r="D50" s="5">
        <v>124.41</v>
      </c>
      <c r="E50" s="5">
        <v>96.34</v>
      </c>
    </row>
    <row r="51">
      <c r="B51" s="4">
        <v>50.0</v>
      </c>
      <c r="C51" s="5">
        <v>93.97</v>
      </c>
      <c r="D51" s="5">
        <v>125.55</v>
      </c>
      <c r="E51" s="5">
        <v>98.0</v>
      </c>
    </row>
    <row r="52">
      <c r="B52" s="4">
        <v>51.0</v>
      </c>
      <c r="C52" s="5">
        <v>94.32</v>
      </c>
      <c r="D52" s="5">
        <v>129.49</v>
      </c>
      <c r="E52" s="5">
        <v>103.9</v>
      </c>
    </row>
    <row r="53">
      <c r="B53" s="4">
        <v>52.0</v>
      </c>
      <c r="C53" s="5">
        <v>95.77</v>
      </c>
      <c r="D53" s="5">
        <v>130.7</v>
      </c>
      <c r="E53" s="5">
        <v>103.98</v>
      </c>
    </row>
    <row r="54">
      <c r="B54" s="4">
        <v>53.0</v>
      </c>
      <c r="C54" s="5">
        <v>99.07</v>
      </c>
      <c r="D54" s="5">
        <v>135.87</v>
      </c>
      <c r="E54" s="5">
        <v>107.78</v>
      </c>
    </row>
    <row r="55">
      <c r="B55" s="4">
        <v>54.0</v>
      </c>
      <c r="C55" s="5">
        <v>113.76</v>
      </c>
      <c r="D55" s="5">
        <v>136.05</v>
      </c>
      <c r="E55" s="5">
        <v>115.8</v>
      </c>
    </row>
    <row r="56">
      <c r="B56" s="4">
        <v>55.0</v>
      </c>
      <c r="C56" s="5">
        <v>114.47</v>
      </c>
      <c r="D56" s="5">
        <v>141.13</v>
      </c>
      <c r="E56" s="5">
        <v>118.35</v>
      </c>
    </row>
    <row r="57">
      <c r="B57" s="4">
        <v>56.0</v>
      </c>
      <c r="C57" s="5">
        <v>116.71</v>
      </c>
      <c r="D57" s="5">
        <v>143.48</v>
      </c>
      <c r="E57" s="5">
        <v>119.04</v>
      </c>
    </row>
    <row r="58">
      <c r="B58" s="4">
        <v>57.0</v>
      </c>
      <c r="C58" s="5">
        <v>124.13</v>
      </c>
      <c r="D58" s="5">
        <v>144.09</v>
      </c>
      <c r="E58" s="5">
        <v>137.84</v>
      </c>
    </row>
    <row r="59">
      <c r="B59" s="4">
        <v>58.0</v>
      </c>
      <c r="C59" s="5">
        <v>128.53</v>
      </c>
      <c r="D59" s="5">
        <v>145.93</v>
      </c>
      <c r="E59" s="5">
        <v>140.37</v>
      </c>
    </row>
    <row r="60">
      <c r="B60" s="4">
        <v>59.0</v>
      </c>
      <c r="C60" s="5">
        <v>129.68</v>
      </c>
      <c r="D60" s="5">
        <v>153.84</v>
      </c>
      <c r="E60" s="5">
        <v>145.96</v>
      </c>
    </row>
    <row r="61">
      <c r="B61" s="4">
        <v>60.0</v>
      </c>
      <c r="C61" s="5">
        <v>133.65</v>
      </c>
      <c r="D61" s="5">
        <v>154.62</v>
      </c>
      <c r="E61" s="5">
        <v>146.55</v>
      </c>
    </row>
    <row r="62">
      <c r="B62" s="4">
        <v>61.0</v>
      </c>
      <c r="C62" s="5">
        <v>136.3</v>
      </c>
      <c r="D62" s="5">
        <v>163.36</v>
      </c>
      <c r="E62" s="5">
        <v>148.68</v>
      </c>
    </row>
    <row r="63">
      <c r="B63" s="4">
        <v>62.0</v>
      </c>
      <c r="C63" s="5">
        <v>136.79</v>
      </c>
      <c r="D63" s="5">
        <v>164.18</v>
      </c>
      <c r="E63" s="5">
        <v>151.06</v>
      </c>
    </row>
    <row r="64">
      <c r="B64" s="4">
        <v>63.0</v>
      </c>
      <c r="C64" s="5">
        <v>138.56</v>
      </c>
      <c r="D64" s="5">
        <v>173.34</v>
      </c>
      <c r="E64" s="5">
        <v>151.2</v>
      </c>
    </row>
    <row r="65">
      <c r="B65" s="4">
        <v>64.0</v>
      </c>
      <c r="C65" s="5">
        <v>140.53</v>
      </c>
      <c r="D65" s="5">
        <v>174.71</v>
      </c>
      <c r="E65" s="5">
        <v>157.39</v>
      </c>
    </row>
    <row r="66">
      <c r="B66" s="4">
        <v>65.0</v>
      </c>
      <c r="C66" s="5">
        <v>141.98</v>
      </c>
      <c r="D66" s="5">
        <v>191.32</v>
      </c>
      <c r="E66" s="5">
        <v>157.83</v>
      </c>
    </row>
    <row r="67">
      <c r="B67" s="4">
        <v>66.0</v>
      </c>
      <c r="C67" s="5">
        <v>152.02</v>
      </c>
      <c r="D67" s="5">
        <v>193.68</v>
      </c>
      <c r="E67" s="5">
        <v>160.02</v>
      </c>
    </row>
    <row r="68">
      <c r="B68" s="4">
        <v>67.0</v>
      </c>
      <c r="C68" s="5">
        <v>152.81</v>
      </c>
      <c r="D68" s="5">
        <v>204.46</v>
      </c>
      <c r="E68" s="5">
        <v>163.13</v>
      </c>
    </row>
    <row r="69">
      <c r="B69" s="4">
        <v>68.0</v>
      </c>
      <c r="C69" s="5">
        <v>153.93</v>
      </c>
      <c r="D69" s="5">
        <v>211.53</v>
      </c>
      <c r="E69" s="5">
        <v>166.62</v>
      </c>
    </row>
    <row r="70">
      <c r="B70" s="4">
        <v>69.0</v>
      </c>
      <c r="C70" s="5">
        <v>154.76</v>
      </c>
      <c r="D70" s="5">
        <v>212.16</v>
      </c>
      <c r="E70" s="5">
        <v>168.98</v>
      </c>
    </row>
    <row r="71">
      <c r="B71" s="4">
        <v>70.0</v>
      </c>
      <c r="C71" s="5">
        <v>166.83</v>
      </c>
      <c r="D71" s="5">
        <v>224.0</v>
      </c>
      <c r="E71" s="5">
        <v>172.25</v>
      </c>
    </row>
    <row r="72">
      <c r="B72" s="4">
        <v>71.0</v>
      </c>
      <c r="C72" s="5">
        <v>167.28</v>
      </c>
      <c r="D72" s="5">
        <v>227.0</v>
      </c>
      <c r="E72" s="5">
        <v>175.12</v>
      </c>
    </row>
    <row r="73">
      <c r="B73" s="4">
        <v>72.0</v>
      </c>
      <c r="C73" s="5">
        <v>168.97</v>
      </c>
      <c r="D73" s="5">
        <v>236.08</v>
      </c>
      <c r="E73" s="5">
        <v>181.45</v>
      </c>
    </row>
    <row r="74">
      <c r="B74" s="4">
        <v>73.0</v>
      </c>
      <c r="C74" s="5">
        <v>175.45</v>
      </c>
      <c r="D74" s="5">
        <v>242.08</v>
      </c>
      <c r="E74" s="5">
        <v>183.18</v>
      </c>
    </row>
    <row r="75">
      <c r="B75" s="4">
        <v>74.0</v>
      </c>
      <c r="C75" s="5">
        <v>182.31</v>
      </c>
      <c r="D75" s="5">
        <v>244.46</v>
      </c>
      <c r="E75" s="5">
        <v>187.79</v>
      </c>
    </row>
    <row r="76">
      <c r="B76" s="4">
        <v>75.0</v>
      </c>
      <c r="C76" s="5">
        <v>185.15</v>
      </c>
      <c r="D76" s="5">
        <v>251.55</v>
      </c>
      <c r="E76" s="5">
        <v>192.44</v>
      </c>
    </row>
    <row r="77">
      <c r="B77" s="4">
        <v>76.0</v>
      </c>
      <c r="C77" s="5">
        <v>185.53</v>
      </c>
      <c r="D77" s="5">
        <v>251.66</v>
      </c>
      <c r="E77" s="5">
        <v>199.17</v>
      </c>
    </row>
    <row r="78">
      <c r="B78" s="4">
        <v>77.0</v>
      </c>
      <c r="C78" s="5">
        <v>186.74</v>
      </c>
      <c r="D78" s="5">
        <v>265.06</v>
      </c>
      <c r="E78" s="5">
        <v>201.5</v>
      </c>
    </row>
    <row r="79">
      <c r="B79" s="4">
        <v>78.0</v>
      </c>
      <c r="C79" s="5">
        <v>188.21</v>
      </c>
      <c r="D79" s="5">
        <v>275.34</v>
      </c>
      <c r="E79" s="5">
        <v>204.29</v>
      </c>
    </row>
    <row r="80">
      <c r="B80" s="4">
        <v>79.0</v>
      </c>
      <c r="C80" s="5">
        <v>189.99</v>
      </c>
      <c r="D80" s="5">
        <v>278.66</v>
      </c>
      <c r="E80" s="5">
        <v>219.4</v>
      </c>
    </row>
    <row r="81">
      <c r="B81" s="4">
        <v>80.0</v>
      </c>
      <c r="C81" s="5">
        <v>197.05</v>
      </c>
      <c r="D81" s="5">
        <v>285.79</v>
      </c>
      <c r="E81" s="5">
        <v>220.23</v>
      </c>
    </row>
    <row r="82">
      <c r="B82" s="4">
        <v>81.0</v>
      </c>
      <c r="C82" s="5">
        <v>197.15</v>
      </c>
      <c r="D82" s="5">
        <v>285.84</v>
      </c>
      <c r="E82" s="5">
        <v>234.94</v>
      </c>
    </row>
    <row r="83">
      <c r="B83" s="4">
        <v>82.0</v>
      </c>
      <c r="C83" s="5">
        <v>198.35</v>
      </c>
      <c r="D83" s="5">
        <v>287.57</v>
      </c>
      <c r="E83" s="5">
        <v>236.18</v>
      </c>
    </row>
    <row r="84">
      <c r="B84" s="4">
        <v>83.0</v>
      </c>
      <c r="C84" s="5">
        <v>200.21</v>
      </c>
      <c r="D84" s="5">
        <v>289.98</v>
      </c>
      <c r="E84" s="5">
        <v>241.28</v>
      </c>
    </row>
    <row r="85">
      <c r="B85" s="4">
        <v>84.0</v>
      </c>
      <c r="C85" s="5">
        <v>203.83</v>
      </c>
      <c r="D85" s="5">
        <v>298.58</v>
      </c>
      <c r="E85" s="5">
        <v>242.71</v>
      </c>
    </row>
    <row r="86">
      <c r="B86" s="4">
        <v>85.0</v>
      </c>
      <c r="C86" s="5">
        <v>206.02</v>
      </c>
      <c r="D86" s="5">
        <v>305.06</v>
      </c>
      <c r="E86" s="5">
        <v>248.85</v>
      </c>
    </row>
    <row r="87">
      <c r="B87" s="4">
        <v>86.0</v>
      </c>
      <c r="C87" s="5">
        <v>206.96</v>
      </c>
      <c r="D87" s="5">
        <v>305.07</v>
      </c>
      <c r="E87" s="5">
        <v>252.61</v>
      </c>
    </row>
    <row r="88">
      <c r="B88" s="4">
        <v>87.0</v>
      </c>
      <c r="C88" s="5">
        <v>209.92</v>
      </c>
      <c r="D88" s="5">
        <v>312.96</v>
      </c>
      <c r="E88" s="5">
        <v>253.24</v>
      </c>
    </row>
    <row r="89">
      <c r="B89" s="4">
        <v>88.0</v>
      </c>
      <c r="C89" s="5">
        <v>213.3</v>
      </c>
      <c r="D89" s="5">
        <v>314.08</v>
      </c>
      <c r="E89" s="5">
        <v>258.15</v>
      </c>
    </row>
    <row r="90">
      <c r="B90" s="4">
        <v>89.0</v>
      </c>
      <c r="C90" s="5">
        <v>216.93</v>
      </c>
      <c r="D90" s="5">
        <v>318.63</v>
      </c>
      <c r="E90" s="5">
        <v>272.74</v>
      </c>
    </row>
    <row r="91">
      <c r="B91" s="4">
        <v>90.0</v>
      </c>
      <c r="C91" s="5">
        <v>219.99</v>
      </c>
      <c r="D91" s="5">
        <v>323.86</v>
      </c>
      <c r="E91" s="5">
        <v>273.83</v>
      </c>
    </row>
    <row r="92">
      <c r="B92" s="4">
        <v>91.0</v>
      </c>
      <c r="C92" s="5">
        <v>220.61</v>
      </c>
      <c r="D92" s="5">
        <v>326.54</v>
      </c>
      <c r="E92" s="5">
        <v>274.75</v>
      </c>
    </row>
    <row r="93">
      <c r="B93" s="4">
        <v>92.0</v>
      </c>
      <c r="C93" s="5">
        <v>221.99</v>
      </c>
      <c r="D93" s="5">
        <v>328.48</v>
      </c>
      <c r="E93" s="5">
        <v>280.03</v>
      </c>
    </row>
    <row r="94">
      <c r="B94" s="4">
        <v>93.0</v>
      </c>
      <c r="C94" s="5">
        <v>226.31</v>
      </c>
      <c r="D94" s="5">
        <v>346.28</v>
      </c>
      <c r="E94" s="5">
        <v>297.37</v>
      </c>
    </row>
    <row r="95">
      <c r="B95" s="4">
        <v>94.0</v>
      </c>
      <c r="C95" s="5">
        <v>227.21</v>
      </c>
      <c r="D95" s="5">
        <v>348.09</v>
      </c>
      <c r="E95" s="5">
        <v>300.68</v>
      </c>
    </row>
    <row r="96">
      <c r="B96" s="4">
        <v>95.0</v>
      </c>
      <c r="C96" s="5">
        <v>232.54</v>
      </c>
      <c r="D96" s="5">
        <v>351.19</v>
      </c>
      <c r="E96" s="5">
        <v>302.38</v>
      </c>
    </row>
    <row r="97">
      <c r="B97" s="4">
        <v>96.0</v>
      </c>
      <c r="C97" s="5">
        <v>242.78</v>
      </c>
      <c r="D97" s="5">
        <v>352.53</v>
      </c>
      <c r="E97" s="5">
        <v>303.11</v>
      </c>
    </row>
    <row r="98">
      <c r="B98" s="4">
        <v>97.0</v>
      </c>
      <c r="C98" s="5">
        <v>243.82</v>
      </c>
      <c r="D98" s="5">
        <v>355.64</v>
      </c>
      <c r="E98" s="5">
        <v>305.87</v>
      </c>
    </row>
    <row r="99">
      <c r="B99" s="4">
        <v>98.0</v>
      </c>
      <c r="C99" s="5">
        <v>252.62</v>
      </c>
      <c r="D99" s="5">
        <v>356.65</v>
      </c>
      <c r="E99" s="5">
        <v>307.9</v>
      </c>
    </row>
    <row r="100">
      <c r="B100" s="4">
        <v>99.0</v>
      </c>
      <c r="C100" s="5">
        <v>252.94</v>
      </c>
      <c r="D100" s="5">
        <v>357.29</v>
      </c>
      <c r="E100" s="5">
        <v>310.7</v>
      </c>
    </row>
    <row r="101">
      <c r="B101" s="4">
        <v>100.0</v>
      </c>
      <c r="C101" s="5">
        <v>254.1</v>
      </c>
      <c r="D101" s="5">
        <v>357.46</v>
      </c>
      <c r="E101" s="5">
        <v>313.06</v>
      </c>
    </row>
    <row r="102">
      <c r="B102" s="4">
        <v>101.0</v>
      </c>
      <c r="C102" s="5">
        <v>257.0</v>
      </c>
      <c r="D102" s="5">
        <v>371.19</v>
      </c>
      <c r="E102" s="5">
        <v>319.31</v>
      </c>
    </row>
    <row r="103">
      <c r="B103" s="4">
        <v>102.0</v>
      </c>
      <c r="C103" s="5">
        <v>263.06</v>
      </c>
      <c r="D103" s="5">
        <v>373.36</v>
      </c>
      <c r="E103" s="5">
        <v>322.67</v>
      </c>
    </row>
    <row r="104">
      <c r="B104" s="4">
        <v>103.0</v>
      </c>
      <c r="C104" s="5">
        <v>264.21</v>
      </c>
      <c r="D104" s="5">
        <v>374.74</v>
      </c>
      <c r="E104" s="5">
        <v>323.53</v>
      </c>
    </row>
    <row r="105">
      <c r="B105" s="4">
        <v>104.0</v>
      </c>
      <c r="C105" s="5">
        <v>267.82</v>
      </c>
      <c r="D105" s="5">
        <v>376.22</v>
      </c>
      <c r="E105" s="5">
        <v>324.69</v>
      </c>
    </row>
    <row r="106">
      <c r="B106" s="4">
        <v>105.0</v>
      </c>
      <c r="C106" s="5">
        <v>275.15</v>
      </c>
      <c r="D106" s="5">
        <v>382.2</v>
      </c>
      <c r="E106" s="5">
        <v>328.65</v>
      </c>
    </row>
    <row r="107">
      <c r="B107" s="4">
        <v>106.0</v>
      </c>
      <c r="C107" s="5">
        <v>276.16</v>
      </c>
      <c r="D107" s="5">
        <v>387.68</v>
      </c>
      <c r="E107" s="5">
        <v>331.12</v>
      </c>
    </row>
    <row r="108">
      <c r="B108" s="4">
        <v>107.0</v>
      </c>
      <c r="C108" s="5">
        <v>277.03</v>
      </c>
      <c r="D108" s="5">
        <v>400.71</v>
      </c>
      <c r="E108" s="5">
        <v>332.39</v>
      </c>
    </row>
    <row r="109">
      <c r="B109" s="4">
        <v>108.0</v>
      </c>
      <c r="C109" s="5">
        <v>278.57</v>
      </c>
      <c r="D109" s="5">
        <v>407.76</v>
      </c>
      <c r="E109" s="5">
        <v>333.87</v>
      </c>
    </row>
    <row r="110">
      <c r="B110" s="4">
        <v>109.0</v>
      </c>
      <c r="C110" s="5">
        <v>279.2</v>
      </c>
      <c r="D110" s="5">
        <v>410.01</v>
      </c>
      <c r="E110" s="5">
        <v>337.68</v>
      </c>
    </row>
    <row r="111">
      <c r="B111" s="4">
        <v>110.0</v>
      </c>
      <c r="C111" s="5">
        <v>286.66</v>
      </c>
      <c r="D111" s="5">
        <v>417.92</v>
      </c>
      <c r="E111" s="5">
        <v>340.28</v>
      </c>
    </row>
    <row r="112">
      <c r="B112" s="4">
        <v>111.0</v>
      </c>
      <c r="C112" s="5">
        <v>302.82</v>
      </c>
      <c r="D112" s="5">
        <v>426.36</v>
      </c>
      <c r="E112" s="5">
        <v>341.14</v>
      </c>
    </row>
    <row r="113">
      <c r="B113" s="4">
        <v>112.0</v>
      </c>
      <c r="C113" s="5">
        <v>308.77</v>
      </c>
      <c r="D113" s="5">
        <v>427.92</v>
      </c>
      <c r="E113" s="5">
        <v>350.18</v>
      </c>
    </row>
    <row r="114">
      <c r="B114" s="4">
        <v>113.0</v>
      </c>
      <c r="C114" s="5">
        <v>309.7</v>
      </c>
      <c r="D114" s="5">
        <v>436.97</v>
      </c>
      <c r="E114" s="5">
        <v>353.91</v>
      </c>
    </row>
    <row r="115">
      <c r="B115" s="4">
        <v>114.0</v>
      </c>
      <c r="C115" s="5">
        <v>315.48</v>
      </c>
      <c r="D115" s="5">
        <v>442.1</v>
      </c>
      <c r="E115" s="5">
        <v>366.42</v>
      </c>
    </row>
    <row r="116">
      <c r="B116" s="4">
        <v>115.0</v>
      </c>
      <c r="C116" s="5">
        <v>320.56</v>
      </c>
      <c r="D116" s="5">
        <v>458.31</v>
      </c>
      <c r="E116" s="5">
        <v>367.77</v>
      </c>
    </row>
    <row r="117">
      <c r="B117" s="4">
        <v>116.0</v>
      </c>
      <c r="C117" s="5">
        <v>324.27</v>
      </c>
      <c r="D117" s="5">
        <v>460.8</v>
      </c>
      <c r="E117" s="5">
        <v>368.83</v>
      </c>
    </row>
    <row r="118">
      <c r="B118" s="4">
        <v>117.0</v>
      </c>
      <c r="C118" s="5">
        <v>328.14</v>
      </c>
      <c r="D118" s="5">
        <v>462.56</v>
      </c>
      <c r="E118" s="5">
        <v>369.98</v>
      </c>
    </row>
    <row r="119">
      <c r="B119" s="4">
        <v>118.0</v>
      </c>
      <c r="C119" s="5">
        <v>330.48</v>
      </c>
      <c r="D119" s="5">
        <v>462.8</v>
      </c>
      <c r="E119" s="5">
        <v>375.09</v>
      </c>
    </row>
    <row r="120">
      <c r="B120" s="4">
        <v>119.0</v>
      </c>
      <c r="C120" s="5">
        <v>354.44</v>
      </c>
      <c r="D120" s="5">
        <v>472.12</v>
      </c>
      <c r="E120" s="5">
        <v>387.56</v>
      </c>
    </row>
    <row r="121">
      <c r="B121" s="4">
        <v>120.0</v>
      </c>
      <c r="C121" s="5">
        <v>357.17</v>
      </c>
      <c r="D121" s="5">
        <v>475.85</v>
      </c>
      <c r="E121" s="5">
        <v>390.71</v>
      </c>
    </row>
    <row r="122">
      <c r="B122" s="4">
        <v>121.0</v>
      </c>
      <c r="C122" s="5">
        <v>396.78</v>
      </c>
      <c r="D122" s="5">
        <v>487.26</v>
      </c>
      <c r="E122" s="5">
        <v>391.47</v>
      </c>
    </row>
    <row r="123">
      <c r="B123" s="4">
        <v>122.0</v>
      </c>
      <c r="C123" s="5">
        <v>398.76</v>
      </c>
      <c r="D123" s="5">
        <v>492.15</v>
      </c>
      <c r="E123" s="5">
        <v>403.03</v>
      </c>
    </row>
    <row r="124">
      <c r="B124" s="4">
        <v>123.0</v>
      </c>
      <c r="C124" s="5">
        <v>402.01</v>
      </c>
      <c r="D124" s="5">
        <v>492.94</v>
      </c>
      <c r="E124" s="5">
        <v>405.28</v>
      </c>
    </row>
    <row r="125">
      <c r="B125" s="4">
        <v>124.0</v>
      </c>
      <c r="C125" s="5">
        <v>403.26</v>
      </c>
      <c r="D125" s="5">
        <v>509.98</v>
      </c>
      <c r="E125" s="5">
        <v>408.3</v>
      </c>
    </row>
    <row r="126">
      <c r="B126" s="4">
        <v>125.0</v>
      </c>
      <c r="C126" s="5">
        <v>407.98</v>
      </c>
      <c r="D126" s="5">
        <v>541.35</v>
      </c>
      <c r="E126" s="5">
        <v>412.7</v>
      </c>
    </row>
    <row r="127">
      <c r="B127" s="4">
        <v>126.0</v>
      </c>
      <c r="C127" s="5">
        <v>410.07</v>
      </c>
      <c r="D127" s="5">
        <v>551.37</v>
      </c>
      <c r="E127" s="5">
        <v>424.82</v>
      </c>
    </row>
    <row r="128">
      <c r="B128" s="4">
        <v>127.0</v>
      </c>
      <c r="C128" s="5">
        <v>412.33</v>
      </c>
      <c r="D128" s="5">
        <v>555.34</v>
      </c>
      <c r="E128" s="5">
        <v>429.11</v>
      </c>
    </row>
    <row r="129">
      <c r="B129" s="4">
        <v>128.0</v>
      </c>
      <c r="C129" s="5">
        <v>414.18</v>
      </c>
      <c r="D129" s="5">
        <v>559.82</v>
      </c>
      <c r="E129" s="5">
        <v>430.69</v>
      </c>
    </row>
    <row r="130">
      <c r="B130" s="4">
        <v>129.0</v>
      </c>
      <c r="C130" s="5">
        <v>416.27</v>
      </c>
      <c r="D130" s="5">
        <v>567.87</v>
      </c>
      <c r="E130" s="5">
        <v>437.24</v>
      </c>
    </row>
    <row r="131">
      <c r="B131" s="4">
        <v>130.0</v>
      </c>
      <c r="C131" s="5">
        <v>419.15</v>
      </c>
      <c r="D131" s="5">
        <v>585.08</v>
      </c>
      <c r="E131" s="5">
        <v>437.52</v>
      </c>
    </row>
    <row r="132">
      <c r="B132" s="4">
        <v>131.0</v>
      </c>
      <c r="C132" s="5">
        <v>433.76</v>
      </c>
      <c r="D132" s="5">
        <v>589.46</v>
      </c>
      <c r="E132" s="5">
        <v>453.25</v>
      </c>
    </row>
    <row r="133">
      <c r="B133" s="4">
        <v>132.0</v>
      </c>
      <c r="C133" s="5">
        <v>434.94</v>
      </c>
      <c r="D133" s="5">
        <v>589.63</v>
      </c>
      <c r="E133" s="5">
        <v>461.94</v>
      </c>
    </row>
    <row r="134">
      <c r="B134" s="4">
        <v>133.0</v>
      </c>
      <c r="C134" s="5">
        <v>457.21</v>
      </c>
      <c r="D134" s="5">
        <v>601.57</v>
      </c>
      <c r="E134" s="5">
        <v>469.84</v>
      </c>
    </row>
    <row r="135">
      <c r="B135" s="4">
        <v>134.0</v>
      </c>
      <c r="C135" s="5">
        <v>462.86</v>
      </c>
      <c r="D135" s="5">
        <v>602.33</v>
      </c>
      <c r="E135" s="5">
        <v>480.01</v>
      </c>
    </row>
    <row r="136">
      <c r="B136" s="4">
        <v>135.0</v>
      </c>
      <c r="C136" s="5">
        <v>479.72</v>
      </c>
      <c r="D136" s="5">
        <v>633.36</v>
      </c>
      <c r="E136" s="5">
        <v>483.67</v>
      </c>
    </row>
    <row r="137">
      <c r="B137" s="4">
        <v>136.0</v>
      </c>
      <c r="C137" s="5">
        <v>488.33</v>
      </c>
      <c r="D137" s="5">
        <v>646.43</v>
      </c>
      <c r="E137" s="5">
        <v>485.35</v>
      </c>
    </row>
    <row r="138">
      <c r="B138" s="4">
        <v>137.0</v>
      </c>
      <c r="C138" s="5">
        <v>493.92</v>
      </c>
      <c r="D138" s="5">
        <v>647.28</v>
      </c>
      <c r="E138" s="5">
        <v>488.21</v>
      </c>
    </row>
    <row r="139">
      <c r="B139" s="4">
        <v>138.0</v>
      </c>
      <c r="C139" s="5">
        <v>510.15</v>
      </c>
      <c r="D139" s="5">
        <v>657.42</v>
      </c>
      <c r="E139" s="5">
        <v>514.83</v>
      </c>
    </row>
    <row r="140">
      <c r="B140" s="4">
        <v>139.0</v>
      </c>
      <c r="C140" s="5">
        <v>510.88</v>
      </c>
      <c r="D140" s="5">
        <v>661.23</v>
      </c>
      <c r="E140" s="5">
        <v>516.0</v>
      </c>
    </row>
    <row r="141">
      <c r="B141" s="4">
        <v>140.0</v>
      </c>
      <c r="C141" s="5">
        <v>527.8</v>
      </c>
      <c r="D141" s="5">
        <v>673.57</v>
      </c>
      <c r="E141" s="5">
        <v>521.51</v>
      </c>
    </row>
    <row r="142">
      <c r="B142" s="4">
        <v>141.0</v>
      </c>
      <c r="C142" s="5">
        <v>543.92</v>
      </c>
      <c r="D142" s="5">
        <v>675.91</v>
      </c>
      <c r="E142" s="5">
        <v>540.13</v>
      </c>
    </row>
    <row r="143">
      <c r="B143" s="4">
        <v>142.0</v>
      </c>
      <c r="C143" s="5">
        <v>545.68</v>
      </c>
      <c r="D143" s="5">
        <v>684.36</v>
      </c>
      <c r="E143" s="5">
        <v>541.03</v>
      </c>
    </row>
    <row r="144">
      <c r="B144" s="4">
        <v>143.0</v>
      </c>
      <c r="C144" s="5">
        <v>590.94</v>
      </c>
      <c r="D144" s="5">
        <v>689.74</v>
      </c>
      <c r="E144" s="5">
        <v>542.37</v>
      </c>
    </row>
    <row r="145">
      <c r="B145" s="4">
        <v>144.0</v>
      </c>
      <c r="C145" s="5">
        <v>592.53</v>
      </c>
      <c r="D145" s="5">
        <v>694.84</v>
      </c>
      <c r="E145" s="5">
        <v>550.11</v>
      </c>
    </row>
    <row r="146">
      <c r="B146" s="4">
        <v>145.0</v>
      </c>
      <c r="C146" s="5">
        <v>594.38</v>
      </c>
      <c r="D146" s="5">
        <v>701.95</v>
      </c>
      <c r="E146" s="5">
        <v>550.74</v>
      </c>
    </row>
    <row r="147">
      <c r="B147" s="4">
        <v>146.0</v>
      </c>
      <c r="C147" s="5">
        <v>595.29</v>
      </c>
      <c r="D147" s="5">
        <v>725.07</v>
      </c>
      <c r="E147" s="5">
        <v>571.22</v>
      </c>
    </row>
    <row r="148">
      <c r="B148" s="4">
        <v>147.0</v>
      </c>
      <c r="C148" s="5">
        <v>599.5</v>
      </c>
      <c r="D148" s="5">
        <v>729.27</v>
      </c>
      <c r="E148" s="5">
        <v>571.34</v>
      </c>
    </row>
    <row r="149">
      <c r="B149" s="4">
        <v>148.0</v>
      </c>
      <c r="C149" s="5">
        <v>601.12</v>
      </c>
      <c r="D149" s="5">
        <v>730.39</v>
      </c>
      <c r="E149" s="5">
        <v>585.41</v>
      </c>
    </row>
    <row r="150">
      <c r="B150" s="4">
        <v>149.0</v>
      </c>
      <c r="C150" s="5">
        <v>604.23</v>
      </c>
      <c r="D150" s="5">
        <v>761.14</v>
      </c>
      <c r="E150" s="5">
        <v>589.78</v>
      </c>
    </row>
    <row r="151">
      <c r="B151" s="4">
        <v>150.0</v>
      </c>
      <c r="C151" s="5">
        <v>612.84</v>
      </c>
      <c r="D151" s="5">
        <v>818.12</v>
      </c>
      <c r="E151" s="5">
        <v>591.55</v>
      </c>
    </row>
    <row r="152">
      <c r="B152" s="4">
        <v>151.0</v>
      </c>
      <c r="C152" s="5">
        <v>617.93</v>
      </c>
      <c r="D152" s="5">
        <v>828.2</v>
      </c>
      <c r="E152" s="5">
        <v>610.74</v>
      </c>
    </row>
    <row r="153">
      <c r="B153" s="4">
        <v>152.0</v>
      </c>
      <c r="C153" s="5">
        <v>641.31</v>
      </c>
      <c r="D153" s="5">
        <v>843.94</v>
      </c>
      <c r="E153" s="5">
        <v>612.36</v>
      </c>
    </row>
    <row r="154">
      <c r="B154" s="4">
        <v>153.0</v>
      </c>
      <c r="C154" s="5">
        <v>647.86</v>
      </c>
      <c r="D154" s="5">
        <v>863.95</v>
      </c>
      <c r="E154" s="5">
        <v>635.08</v>
      </c>
    </row>
    <row r="155">
      <c r="B155" s="4">
        <v>154.0</v>
      </c>
      <c r="C155" s="5">
        <v>659.17</v>
      </c>
      <c r="D155" s="5">
        <v>887.49</v>
      </c>
      <c r="E155" s="5">
        <v>660.5</v>
      </c>
    </row>
    <row r="156">
      <c r="B156" s="4">
        <v>155.0</v>
      </c>
      <c r="C156" s="5">
        <v>669.7</v>
      </c>
      <c r="D156" s="5">
        <v>895.52</v>
      </c>
      <c r="E156" s="5">
        <v>675.4</v>
      </c>
    </row>
    <row r="157">
      <c r="B157" s="4">
        <v>156.0</v>
      </c>
      <c r="C157" s="5">
        <v>673.25</v>
      </c>
      <c r="D157" s="5">
        <v>931.36</v>
      </c>
      <c r="E157" s="5">
        <v>679.95</v>
      </c>
    </row>
    <row r="158">
      <c r="B158" s="4">
        <v>157.0</v>
      </c>
      <c r="C158" s="5">
        <v>684.48</v>
      </c>
      <c r="D158" s="5">
        <v>932.71</v>
      </c>
      <c r="E158" s="5">
        <v>691.99</v>
      </c>
    </row>
    <row r="159">
      <c r="B159" s="4">
        <v>158.0</v>
      </c>
      <c r="C159" s="5">
        <v>689.61</v>
      </c>
      <c r="D159" s="5">
        <v>941.56</v>
      </c>
      <c r="E159" s="5">
        <v>722.01</v>
      </c>
    </row>
    <row r="160">
      <c r="B160" s="4">
        <v>159.0</v>
      </c>
      <c r="C160" s="5">
        <v>714.84</v>
      </c>
      <c r="D160" s="5">
        <v>949.58</v>
      </c>
      <c r="E160" s="5">
        <v>741.91</v>
      </c>
    </row>
    <row r="161">
      <c r="B161" s="4">
        <v>160.0</v>
      </c>
      <c r="C161" s="5">
        <v>728.37</v>
      </c>
      <c r="D161" s="5">
        <v>982.11</v>
      </c>
      <c r="E161" s="5">
        <v>806.26</v>
      </c>
    </row>
    <row r="162">
      <c r="B162" s="4">
        <v>161.0</v>
      </c>
      <c r="C162" s="5">
        <v>736.76</v>
      </c>
      <c r="D162" s="5">
        <v>983.39</v>
      </c>
      <c r="E162" s="5">
        <v>806.44</v>
      </c>
    </row>
    <row r="163">
      <c r="B163" s="4">
        <v>162.0</v>
      </c>
      <c r="C163" s="5">
        <v>737.53</v>
      </c>
      <c r="D163" s="5">
        <v>988.71</v>
      </c>
      <c r="E163" s="5">
        <v>815.94</v>
      </c>
    </row>
    <row r="164">
      <c r="B164" s="4">
        <v>163.0</v>
      </c>
      <c r="C164" s="5">
        <v>752.3</v>
      </c>
      <c r="D164" s="5">
        <v>1008.21</v>
      </c>
      <c r="E164" s="5">
        <v>825.64</v>
      </c>
    </row>
    <row r="165">
      <c r="B165" s="4">
        <v>164.0</v>
      </c>
      <c r="C165" s="5">
        <v>754.44</v>
      </c>
      <c r="D165" s="5">
        <v>1026.44</v>
      </c>
      <c r="E165" s="5">
        <v>852.61</v>
      </c>
    </row>
    <row r="166">
      <c r="B166" s="4">
        <v>165.0</v>
      </c>
      <c r="C166" s="5">
        <v>771.41</v>
      </c>
      <c r="D166" s="5">
        <v>1033.21</v>
      </c>
      <c r="E166" s="5">
        <v>856.76</v>
      </c>
    </row>
    <row r="167">
      <c r="B167" s="4">
        <v>166.0</v>
      </c>
      <c r="C167" s="5">
        <v>795.72</v>
      </c>
      <c r="D167" s="5">
        <v>1034.5</v>
      </c>
      <c r="E167" s="5">
        <v>896.34</v>
      </c>
    </row>
    <row r="168">
      <c r="B168" s="4">
        <v>167.0</v>
      </c>
      <c r="C168" s="5">
        <v>831.25</v>
      </c>
      <c r="D168" s="5">
        <v>1050.64</v>
      </c>
      <c r="E168" s="5">
        <v>898.78</v>
      </c>
    </row>
    <row r="169">
      <c r="B169" s="4">
        <v>168.0</v>
      </c>
      <c r="C169" s="5">
        <v>858.08</v>
      </c>
      <c r="D169" s="5">
        <v>1061.28</v>
      </c>
      <c r="E169" s="5">
        <v>899.83</v>
      </c>
    </row>
    <row r="170">
      <c r="B170" s="4">
        <v>169.0</v>
      </c>
      <c r="C170" s="5">
        <v>874.45</v>
      </c>
      <c r="D170" s="5">
        <v>1093.06</v>
      </c>
      <c r="E170" s="5">
        <v>901.51</v>
      </c>
    </row>
    <row r="171">
      <c r="B171" s="4">
        <v>170.0</v>
      </c>
      <c r="C171" s="5">
        <v>908.32</v>
      </c>
      <c r="D171" s="5">
        <v>1117.79</v>
      </c>
      <c r="E171" s="5">
        <v>906.49</v>
      </c>
    </row>
    <row r="172">
      <c r="B172" s="4">
        <v>171.0</v>
      </c>
      <c r="C172" s="5">
        <v>916.01</v>
      </c>
      <c r="D172" s="5">
        <v>1145.89</v>
      </c>
      <c r="E172" s="5">
        <v>948.22</v>
      </c>
    </row>
    <row r="173">
      <c r="B173" s="4">
        <v>172.0</v>
      </c>
      <c r="C173" s="5">
        <v>920.02</v>
      </c>
      <c r="D173" s="5">
        <v>1146.18</v>
      </c>
      <c r="E173" s="5">
        <v>956.9</v>
      </c>
    </row>
    <row r="174">
      <c r="B174" s="4">
        <v>173.0</v>
      </c>
      <c r="C174" s="5">
        <v>929.46</v>
      </c>
      <c r="D174" s="5">
        <v>1187.54</v>
      </c>
      <c r="E174" s="5">
        <v>979.75</v>
      </c>
    </row>
    <row r="175">
      <c r="B175" s="4">
        <v>174.0</v>
      </c>
      <c r="C175" s="5">
        <v>949.0</v>
      </c>
      <c r="D175" s="5">
        <v>1195.37</v>
      </c>
      <c r="E175" s="5">
        <v>985.11</v>
      </c>
    </row>
    <row r="176">
      <c r="B176" s="4">
        <v>175.0</v>
      </c>
      <c r="C176" s="5">
        <v>961.26</v>
      </c>
      <c r="D176" s="5">
        <v>1214.3</v>
      </c>
      <c r="E176" s="5">
        <v>1049.38</v>
      </c>
    </row>
    <row r="177">
      <c r="B177" s="4">
        <v>176.0</v>
      </c>
      <c r="C177" s="5">
        <v>977.46</v>
      </c>
      <c r="D177" s="5">
        <v>1247.92</v>
      </c>
      <c r="E177" s="5">
        <v>1108.36</v>
      </c>
    </row>
    <row r="178">
      <c r="B178" s="4">
        <v>177.0</v>
      </c>
      <c r="C178" s="5">
        <v>983.17</v>
      </c>
      <c r="D178" s="5">
        <v>1318.58</v>
      </c>
      <c r="E178" s="5">
        <v>1140.21</v>
      </c>
    </row>
    <row r="179">
      <c r="B179" s="4">
        <v>178.0</v>
      </c>
      <c r="C179" s="5">
        <v>1000.45</v>
      </c>
      <c r="D179" s="5">
        <v>1359.68</v>
      </c>
      <c r="E179" s="5">
        <v>1155.42</v>
      </c>
    </row>
    <row r="180">
      <c r="B180" s="4">
        <v>179.0</v>
      </c>
      <c r="C180" s="5">
        <v>1004.36</v>
      </c>
      <c r="D180" s="5">
        <v>1405.46</v>
      </c>
      <c r="E180" s="5">
        <v>1196.8</v>
      </c>
    </row>
    <row r="181">
      <c r="B181" s="4">
        <v>180.0</v>
      </c>
      <c r="C181" s="5">
        <v>1044.05</v>
      </c>
      <c r="D181" s="5">
        <v>1415.9</v>
      </c>
      <c r="E181" s="5">
        <v>1209.88</v>
      </c>
    </row>
    <row r="182">
      <c r="B182" s="4">
        <v>181.0</v>
      </c>
      <c r="C182" s="5">
        <v>1096.43</v>
      </c>
      <c r="D182" s="5">
        <v>1462.37</v>
      </c>
      <c r="E182" s="5">
        <v>1211.74</v>
      </c>
    </row>
    <row r="183">
      <c r="B183" s="4">
        <v>182.0</v>
      </c>
      <c r="C183" s="5">
        <v>1119.12</v>
      </c>
      <c r="D183" s="5">
        <v>1535.7</v>
      </c>
      <c r="E183" s="5">
        <v>1281.62</v>
      </c>
    </row>
    <row r="184">
      <c r="B184" s="4">
        <v>183.0</v>
      </c>
      <c r="C184" s="5">
        <v>1137.26</v>
      </c>
      <c r="D184" s="5">
        <v>1547.34</v>
      </c>
      <c r="E184" s="5">
        <v>1286.65</v>
      </c>
    </row>
    <row r="185">
      <c r="B185" s="4">
        <v>184.0</v>
      </c>
      <c r="C185" s="5">
        <v>1140.49</v>
      </c>
      <c r="D185" s="5">
        <v>1559.52</v>
      </c>
      <c r="E185" s="5">
        <v>1350.92</v>
      </c>
    </row>
    <row r="186">
      <c r="B186" s="4">
        <v>185.0</v>
      </c>
      <c r="C186" s="5">
        <v>1150.28</v>
      </c>
      <c r="D186" s="5">
        <v>1590.62</v>
      </c>
      <c r="E186" s="5">
        <v>1389.77</v>
      </c>
    </row>
    <row r="187">
      <c r="B187" s="4">
        <v>186.0</v>
      </c>
      <c r="C187" s="5">
        <v>1157.06</v>
      </c>
      <c r="D187" s="5">
        <v>1619.81</v>
      </c>
      <c r="E187" s="5">
        <v>1404.54</v>
      </c>
    </row>
    <row r="188">
      <c r="B188" s="4">
        <v>187.0</v>
      </c>
      <c r="C188" s="5">
        <v>1182.09</v>
      </c>
      <c r="D188" s="5">
        <v>1628.27</v>
      </c>
      <c r="E188" s="5">
        <v>1408.32</v>
      </c>
    </row>
    <row r="189">
      <c r="B189" s="4">
        <v>188.0</v>
      </c>
      <c r="C189" s="5">
        <v>1225.71</v>
      </c>
      <c r="D189" s="5">
        <v>1630.19</v>
      </c>
      <c r="E189" s="5">
        <v>1433.65</v>
      </c>
    </row>
    <row r="190">
      <c r="B190" s="4">
        <v>189.0</v>
      </c>
      <c r="C190" s="5">
        <v>1255.8</v>
      </c>
      <c r="D190" s="5">
        <v>1646.11</v>
      </c>
      <c r="E190" s="5">
        <v>1434.45</v>
      </c>
    </row>
    <row r="191">
      <c r="B191" s="4">
        <v>190.0</v>
      </c>
      <c r="C191" s="5">
        <v>1263.88</v>
      </c>
      <c r="D191" s="5">
        <v>1646.67</v>
      </c>
      <c r="E191" s="5">
        <v>1439.66</v>
      </c>
    </row>
    <row r="192">
      <c r="B192" s="4">
        <v>191.0</v>
      </c>
      <c r="C192" s="5">
        <v>1267.73</v>
      </c>
      <c r="D192" s="5">
        <v>1702.47</v>
      </c>
      <c r="E192" s="5">
        <v>1457.14</v>
      </c>
    </row>
    <row r="193">
      <c r="B193" s="4">
        <v>192.0</v>
      </c>
      <c r="C193" s="5">
        <v>1291.27</v>
      </c>
      <c r="D193" s="5">
        <v>1753.31</v>
      </c>
      <c r="E193" s="5">
        <v>1489.63</v>
      </c>
    </row>
    <row r="194">
      <c r="B194" s="4">
        <v>193.0</v>
      </c>
      <c r="C194" s="5">
        <v>1324.53</v>
      </c>
      <c r="D194" s="5">
        <v>1757.33</v>
      </c>
      <c r="E194" s="5">
        <v>1510.03</v>
      </c>
    </row>
    <row r="195">
      <c r="B195" s="4">
        <v>194.0</v>
      </c>
      <c r="C195" s="5">
        <v>1329.71</v>
      </c>
      <c r="D195" s="5">
        <v>1792.42</v>
      </c>
      <c r="E195" s="5">
        <v>1579.75</v>
      </c>
    </row>
    <row r="196">
      <c r="B196" s="4">
        <v>195.0</v>
      </c>
      <c r="C196" s="5">
        <v>1352.5</v>
      </c>
      <c r="D196" s="5">
        <v>1834.77</v>
      </c>
      <c r="E196" s="5">
        <v>1597.75</v>
      </c>
    </row>
    <row r="197">
      <c r="B197" s="4">
        <v>196.0</v>
      </c>
      <c r="C197" s="5">
        <v>1363.7</v>
      </c>
      <c r="D197" s="5">
        <v>1849.83</v>
      </c>
      <c r="E197" s="5">
        <v>1640.8</v>
      </c>
    </row>
    <row r="198">
      <c r="B198" s="4">
        <v>197.0</v>
      </c>
      <c r="C198" s="5">
        <v>1386.75</v>
      </c>
      <c r="D198" s="5">
        <v>1859.22</v>
      </c>
      <c r="E198" s="5">
        <v>1650.84</v>
      </c>
    </row>
    <row r="199">
      <c r="B199" s="4">
        <v>198.0</v>
      </c>
      <c r="C199" s="5">
        <v>1422.95</v>
      </c>
      <c r="D199" s="5">
        <v>1881.3</v>
      </c>
      <c r="E199" s="5">
        <v>1665.6</v>
      </c>
    </row>
    <row r="200">
      <c r="B200" s="4">
        <v>199.0</v>
      </c>
      <c r="C200" s="5">
        <v>1452.77</v>
      </c>
      <c r="D200" s="5">
        <v>1891.9</v>
      </c>
      <c r="E200" s="5">
        <v>1681.01</v>
      </c>
    </row>
    <row r="201">
      <c r="B201" s="4">
        <v>200.0</v>
      </c>
      <c r="C201" s="5">
        <v>1480.68</v>
      </c>
      <c r="D201" s="5">
        <v>1918.55</v>
      </c>
      <c r="E201" s="5">
        <v>1712.82</v>
      </c>
    </row>
    <row r="202">
      <c r="B202" s="4">
        <v>201.0</v>
      </c>
      <c r="C202" s="5">
        <v>1575.3</v>
      </c>
      <c r="D202" s="5">
        <v>1929.42</v>
      </c>
      <c r="E202" s="5">
        <v>1737.99</v>
      </c>
    </row>
    <row r="203">
      <c r="B203" s="4">
        <v>202.0</v>
      </c>
      <c r="C203" s="5">
        <v>1584.49</v>
      </c>
      <c r="D203" s="5">
        <v>2045.13</v>
      </c>
      <c r="E203" s="5">
        <v>1755.83</v>
      </c>
    </row>
    <row r="204">
      <c r="B204" s="4">
        <v>203.0</v>
      </c>
      <c r="C204" s="5">
        <v>1613.7</v>
      </c>
      <c r="D204" s="5">
        <v>2084.92</v>
      </c>
      <c r="E204" s="5">
        <v>1760.14</v>
      </c>
    </row>
    <row r="205">
      <c r="B205" s="4">
        <v>204.0</v>
      </c>
      <c r="C205" s="5">
        <v>1684.49</v>
      </c>
      <c r="D205" s="5">
        <v>2116.13</v>
      </c>
      <c r="E205" s="5">
        <v>1760.93</v>
      </c>
    </row>
    <row r="206">
      <c r="B206" s="4">
        <v>205.0</v>
      </c>
      <c r="C206" s="5">
        <v>1734.97</v>
      </c>
      <c r="D206" s="5">
        <v>2141.29</v>
      </c>
      <c r="E206" s="5">
        <v>1857.44</v>
      </c>
    </row>
    <row r="207">
      <c r="B207" s="4">
        <v>206.0</v>
      </c>
      <c r="C207" s="5">
        <v>1736.17</v>
      </c>
      <c r="D207" s="5">
        <v>2244.07</v>
      </c>
      <c r="E207" s="5">
        <v>1955.63</v>
      </c>
    </row>
    <row r="208">
      <c r="B208" s="4">
        <v>207.0</v>
      </c>
      <c r="C208" s="5">
        <v>1736.33</v>
      </c>
      <c r="D208" s="5">
        <v>2251.75</v>
      </c>
      <c r="E208" s="5">
        <v>1986.28</v>
      </c>
    </row>
    <row r="209">
      <c r="B209" s="4">
        <v>208.0</v>
      </c>
      <c r="C209" s="5">
        <v>1746.0</v>
      </c>
      <c r="D209" s="5">
        <v>2280.4</v>
      </c>
      <c r="E209" s="5">
        <v>1995.04</v>
      </c>
    </row>
    <row r="210">
      <c r="B210" s="4">
        <v>209.0</v>
      </c>
      <c r="C210" s="5">
        <v>1789.22</v>
      </c>
      <c r="D210" s="5">
        <v>2354.1</v>
      </c>
      <c r="E210" s="5">
        <v>2008.15</v>
      </c>
    </row>
    <row r="211">
      <c r="B211" s="4">
        <v>210.0</v>
      </c>
      <c r="C211" s="5">
        <v>1890.59</v>
      </c>
      <c r="D211" s="5">
        <v>2357.15</v>
      </c>
      <c r="E211" s="5">
        <v>2023.19</v>
      </c>
    </row>
    <row r="212">
      <c r="B212" s="4">
        <v>211.0</v>
      </c>
      <c r="C212" s="5">
        <v>1913.62</v>
      </c>
      <c r="D212" s="5">
        <v>2416.98</v>
      </c>
      <c r="E212" s="5">
        <v>2050.85</v>
      </c>
    </row>
    <row r="213">
      <c r="B213" s="4">
        <v>212.0</v>
      </c>
      <c r="C213" s="5">
        <v>1914.15</v>
      </c>
      <c r="D213" s="5">
        <v>2450.72</v>
      </c>
      <c r="E213" s="5">
        <v>2052.9</v>
      </c>
    </row>
    <row r="214">
      <c r="B214" s="4">
        <v>213.0</v>
      </c>
      <c r="C214" s="5">
        <v>1987.12</v>
      </c>
      <c r="D214" s="5">
        <v>2468.18</v>
      </c>
      <c r="E214" s="5">
        <v>2057.24</v>
      </c>
    </row>
    <row r="215">
      <c r="B215" s="4">
        <v>214.0</v>
      </c>
      <c r="C215" s="5">
        <v>2028.74</v>
      </c>
      <c r="D215" s="5">
        <v>2504.45</v>
      </c>
      <c r="E215" s="5">
        <v>2091.65</v>
      </c>
    </row>
    <row r="216">
      <c r="B216" s="4">
        <v>215.0</v>
      </c>
      <c r="C216" s="5">
        <v>2039.7</v>
      </c>
      <c r="D216" s="5">
        <v>2671.64</v>
      </c>
      <c r="E216" s="5">
        <v>2093.38</v>
      </c>
    </row>
    <row r="217">
      <c r="B217" s="4">
        <v>216.0</v>
      </c>
      <c r="C217" s="5">
        <v>2161.56</v>
      </c>
      <c r="D217" s="5">
        <v>2680.44</v>
      </c>
      <c r="E217" s="5">
        <v>2102.56</v>
      </c>
    </row>
    <row r="218">
      <c r="B218" s="4">
        <v>217.0</v>
      </c>
      <c r="C218" s="5">
        <v>2181.79</v>
      </c>
      <c r="D218" s="5">
        <v>2712.32</v>
      </c>
      <c r="E218" s="5">
        <v>2110.44</v>
      </c>
    </row>
    <row r="219">
      <c r="B219" s="4">
        <v>218.0</v>
      </c>
      <c r="C219" s="5">
        <v>2183.21</v>
      </c>
      <c r="D219" s="5">
        <v>2735.85</v>
      </c>
      <c r="E219" s="5">
        <v>2328.77</v>
      </c>
    </row>
    <row r="220">
      <c r="B220" s="4">
        <v>219.0</v>
      </c>
      <c r="C220" s="5">
        <v>2186.15</v>
      </c>
      <c r="D220" s="5">
        <v>2820.54</v>
      </c>
      <c r="E220" s="5">
        <v>2332.31</v>
      </c>
    </row>
    <row r="221">
      <c r="B221" s="4">
        <v>220.0</v>
      </c>
      <c r="C221" s="5">
        <v>2205.5</v>
      </c>
      <c r="D221" s="5">
        <v>2838.07</v>
      </c>
      <c r="E221" s="5">
        <v>2444.66</v>
      </c>
    </row>
    <row r="222">
      <c r="B222" s="4">
        <v>221.0</v>
      </c>
      <c r="C222" s="5">
        <v>2242.88</v>
      </c>
      <c r="D222" s="5">
        <v>2887.19</v>
      </c>
      <c r="E222" s="5">
        <v>2469.59</v>
      </c>
    </row>
    <row r="223">
      <c r="B223" s="4">
        <v>222.0</v>
      </c>
      <c r="C223" s="5">
        <v>2332.65</v>
      </c>
      <c r="D223" s="5">
        <v>2896.11</v>
      </c>
      <c r="E223" s="5">
        <v>2506.94</v>
      </c>
    </row>
    <row r="224">
      <c r="B224" s="4">
        <v>223.0</v>
      </c>
      <c r="C224" s="5">
        <v>2371.66</v>
      </c>
      <c r="D224" s="5">
        <v>2896.77</v>
      </c>
      <c r="E224" s="5">
        <v>2508.98</v>
      </c>
    </row>
    <row r="225">
      <c r="B225" s="4">
        <v>224.0</v>
      </c>
      <c r="C225" s="5">
        <v>2379.8</v>
      </c>
      <c r="D225" s="5">
        <v>2923.42</v>
      </c>
      <c r="E225" s="5">
        <v>2538.61</v>
      </c>
    </row>
    <row r="226">
      <c r="B226" s="4">
        <v>225.0</v>
      </c>
      <c r="C226" s="5">
        <v>2431.63</v>
      </c>
      <c r="D226" s="5">
        <v>2971.01</v>
      </c>
      <c r="E226" s="5">
        <v>2547.98</v>
      </c>
    </row>
    <row r="227">
      <c r="B227" s="4">
        <v>226.0</v>
      </c>
      <c r="C227" s="5">
        <v>2433.15</v>
      </c>
      <c r="D227" s="5">
        <v>3033.36</v>
      </c>
      <c r="E227" s="5">
        <v>2560.52</v>
      </c>
    </row>
    <row r="228">
      <c r="B228" s="4">
        <v>227.0</v>
      </c>
      <c r="C228" s="5">
        <v>2465.3</v>
      </c>
      <c r="D228" s="5">
        <v>3071.5</v>
      </c>
      <c r="E228" s="5">
        <v>2580.57</v>
      </c>
    </row>
    <row r="229">
      <c r="B229" s="4">
        <v>228.0</v>
      </c>
      <c r="C229" s="5">
        <v>2547.69</v>
      </c>
      <c r="D229" s="5">
        <v>3074.46</v>
      </c>
      <c r="E229" s="5">
        <v>2589.17</v>
      </c>
    </row>
    <row r="230">
      <c r="B230" s="4">
        <v>229.0</v>
      </c>
      <c r="C230" s="5">
        <v>2556.9</v>
      </c>
      <c r="D230" s="5">
        <v>3129.74</v>
      </c>
      <c r="E230" s="5">
        <v>2671.23</v>
      </c>
    </row>
    <row r="231">
      <c r="B231" s="4">
        <v>230.0</v>
      </c>
      <c r="C231" s="5">
        <v>2585.45</v>
      </c>
      <c r="D231" s="5">
        <v>3144.88</v>
      </c>
      <c r="E231" s="5">
        <v>2730.31</v>
      </c>
    </row>
    <row r="232">
      <c r="B232" s="4">
        <v>231.0</v>
      </c>
      <c r="C232" s="5">
        <v>2600.03</v>
      </c>
      <c r="D232" s="5">
        <v>3182.12</v>
      </c>
      <c r="E232" s="5">
        <v>2783.23</v>
      </c>
    </row>
    <row r="233">
      <c r="B233" s="4">
        <v>232.0</v>
      </c>
      <c r="C233" s="5">
        <v>2611.26</v>
      </c>
      <c r="D233" s="5">
        <v>3201.57</v>
      </c>
      <c r="E233" s="5">
        <v>2860.94</v>
      </c>
    </row>
    <row r="234">
      <c r="B234" s="4">
        <v>233.0</v>
      </c>
      <c r="C234" s="5">
        <v>2615.87</v>
      </c>
      <c r="D234" s="5">
        <v>3216.46</v>
      </c>
      <c r="E234" s="5">
        <v>2883.4</v>
      </c>
    </row>
    <row r="235">
      <c r="B235" s="4">
        <v>234.0</v>
      </c>
      <c r="C235" s="5">
        <v>2814.61</v>
      </c>
      <c r="D235" s="5">
        <v>3235.87</v>
      </c>
      <c r="E235" s="5">
        <v>2944.23</v>
      </c>
    </row>
    <row r="236">
      <c r="B236" s="4">
        <v>235.0</v>
      </c>
      <c r="C236" s="5">
        <v>2823.46</v>
      </c>
      <c r="D236" s="5">
        <v>3288.71</v>
      </c>
      <c r="E236" s="5">
        <v>2990.31</v>
      </c>
    </row>
    <row r="237">
      <c r="B237" s="4">
        <v>236.0</v>
      </c>
      <c r="C237" s="5">
        <v>2823.66</v>
      </c>
      <c r="D237" s="5">
        <v>3504.87</v>
      </c>
      <c r="E237" s="5">
        <v>3002.98</v>
      </c>
    </row>
    <row r="238">
      <c r="B238" s="4">
        <v>237.0</v>
      </c>
      <c r="C238" s="5">
        <v>2896.77</v>
      </c>
      <c r="D238" s="5">
        <v>3574.81</v>
      </c>
      <c r="E238" s="5">
        <v>3083.14</v>
      </c>
    </row>
    <row r="239">
      <c r="B239" s="4">
        <v>238.0</v>
      </c>
      <c r="C239" s="5">
        <v>2970.31</v>
      </c>
      <c r="D239" s="5">
        <v>3586.84</v>
      </c>
      <c r="E239" s="5">
        <v>3171.74</v>
      </c>
    </row>
    <row r="240">
      <c r="B240" s="4">
        <v>239.0</v>
      </c>
      <c r="C240" s="5">
        <v>3086.13</v>
      </c>
      <c r="D240" s="5">
        <v>3595.42</v>
      </c>
      <c r="E240" s="5">
        <v>3194.66</v>
      </c>
    </row>
    <row r="241">
      <c r="B241" s="4">
        <v>240.0</v>
      </c>
      <c r="C241" s="5">
        <v>3361.39</v>
      </c>
      <c r="D241" s="5">
        <v>3650.73</v>
      </c>
      <c r="E241" s="5">
        <v>3214.73</v>
      </c>
    </row>
    <row r="242">
      <c r="B242" s="4">
        <v>241.0</v>
      </c>
      <c r="C242" s="5">
        <v>3399.28</v>
      </c>
      <c r="D242" s="5">
        <v>3929.89</v>
      </c>
      <c r="E242" s="5">
        <v>3228.38</v>
      </c>
    </row>
    <row r="243">
      <c r="B243" s="4">
        <v>242.0</v>
      </c>
      <c r="C243" s="5">
        <v>3485.0</v>
      </c>
      <c r="D243" s="5">
        <v>4032.45</v>
      </c>
      <c r="E243" s="5">
        <v>3260.34</v>
      </c>
    </row>
    <row r="244">
      <c r="B244" s="4">
        <v>243.0</v>
      </c>
      <c r="C244" s="5">
        <v>3680.14</v>
      </c>
      <c r="D244" s="5">
        <v>4074.34</v>
      </c>
      <c r="E244" s="5">
        <v>3296.99</v>
      </c>
    </row>
    <row r="245">
      <c r="B245" s="4">
        <v>244.0</v>
      </c>
      <c r="C245" s="5">
        <v>3740.3</v>
      </c>
      <c r="D245" s="5">
        <v>4380.5</v>
      </c>
      <c r="E245" s="5">
        <v>3360.47</v>
      </c>
    </row>
    <row r="246">
      <c r="B246" s="4">
        <v>245.0</v>
      </c>
      <c r="C246" s="5">
        <v>3823.69</v>
      </c>
      <c r="D246" s="5">
        <v>4488.24</v>
      </c>
      <c r="E246" s="5">
        <v>3429.14</v>
      </c>
    </row>
    <row r="247">
      <c r="B247" s="4">
        <v>246.0</v>
      </c>
      <c r="C247" s="5">
        <v>3831.48</v>
      </c>
      <c r="D247" s="5">
        <v>4542.44</v>
      </c>
      <c r="E247" s="5">
        <v>3432.05</v>
      </c>
    </row>
    <row r="248">
      <c r="B248" s="4">
        <v>247.0</v>
      </c>
      <c r="C248" s="5">
        <v>3898.45</v>
      </c>
      <c r="D248" s="5">
        <v>4577.75</v>
      </c>
      <c r="E248" s="5">
        <v>3459.93</v>
      </c>
    </row>
    <row r="249">
      <c r="B249" s="4">
        <v>248.0</v>
      </c>
      <c r="C249" s="5">
        <v>3928.85</v>
      </c>
      <c r="D249" s="5">
        <v>4711.58</v>
      </c>
      <c r="E249" s="5">
        <v>3585.92</v>
      </c>
    </row>
    <row r="250">
      <c r="B250" s="4">
        <v>249.0</v>
      </c>
      <c r="C250" s="5">
        <v>3940.33</v>
      </c>
      <c r="D250" s="5">
        <v>4815.91</v>
      </c>
      <c r="E250" s="5">
        <v>3595.61</v>
      </c>
    </row>
    <row r="251">
      <c r="B251" s="4">
        <v>250.0</v>
      </c>
      <c r="C251" s="5">
        <v>4306.22</v>
      </c>
      <c r="D251" s="5">
        <v>4827.19</v>
      </c>
      <c r="E251" s="5">
        <v>3658.13</v>
      </c>
    </row>
    <row r="252">
      <c r="B252" s="4">
        <v>251.0</v>
      </c>
      <c r="C252" s="5">
        <v>4312.36</v>
      </c>
      <c r="D252" s="5">
        <v>4946.43</v>
      </c>
      <c r="E252" s="5">
        <v>3689.67</v>
      </c>
    </row>
    <row r="253">
      <c r="B253" s="4">
        <v>252.0</v>
      </c>
      <c r="C253" s="5">
        <v>4389.32</v>
      </c>
      <c r="E253" s="5">
        <v>3707.64</v>
      </c>
    </row>
    <row r="254">
      <c r="B254" s="4">
        <v>253.0</v>
      </c>
      <c r="C254" s="5">
        <v>4728.01</v>
      </c>
      <c r="E254" s="5">
        <v>3848.96</v>
      </c>
    </row>
    <row r="255">
      <c r="B255" s="4">
        <v>254.0</v>
      </c>
      <c r="C255" s="5">
        <v>4741.26</v>
      </c>
      <c r="E255" s="5">
        <v>3889.23</v>
      </c>
    </row>
    <row r="256">
      <c r="B256" s="4">
        <v>255.0</v>
      </c>
      <c r="C256" s="5">
        <v>4749.26</v>
      </c>
      <c r="E256" s="5">
        <v>3912.88</v>
      </c>
    </row>
    <row r="257">
      <c r="B257" s="4">
        <v>256.0</v>
      </c>
      <c r="E257" s="5">
        <v>4127.58</v>
      </c>
    </row>
    <row r="258">
      <c r="B258" s="4">
        <v>257.0</v>
      </c>
      <c r="E258" s="5">
        <v>4213.87</v>
      </c>
    </row>
    <row r="259">
      <c r="B259" s="4">
        <v>258.0</v>
      </c>
      <c r="E259" s="5">
        <v>4301.7</v>
      </c>
    </row>
    <row r="260">
      <c r="B260" s="4">
        <v>259.0</v>
      </c>
      <c r="E260" s="5">
        <v>4423.97</v>
      </c>
    </row>
    <row r="261">
      <c r="B261" s="4">
        <v>260.0</v>
      </c>
      <c r="E261" s="5">
        <v>4510.09</v>
      </c>
    </row>
    <row r="262">
      <c r="B262" s="4">
        <v>261.0</v>
      </c>
      <c r="E262" s="5">
        <v>4690.19</v>
      </c>
    </row>
    <row r="263">
      <c r="B263" s="4">
        <v>262.0</v>
      </c>
      <c r="E263" s="5">
        <v>4794.21</v>
      </c>
    </row>
    <row r="264">
      <c r="B264" s="4">
        <v>263.0</v>
      </c>
      <c r="E264" s="5">
        <v>4861.6</v>
      </c>
    </row>
    <row r="265">
      <c r="B265" s="4">
        <v>264.0</v>
      </c>
      <c r="E265" s="5">
        <v>4883.14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3" max="3" width="10.63"/>
    <col customWidth="1" min="4" max="4" width="12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ht="22.5" customHeight="1">
      <c r="B2" s="2" t="s">
        <v>429</v>
      </c>
      <c r="C2" s="2" t="s">
        <v>9</v>
      </c>
      <c r="D2" s="2">
        <v>0.01</v>
      </c>
      <c r="E2" s="3">
        <f t="shared" ref="E2:E401" si="1">IF(C2="UNKNOWN", 10000, D2)</f>
        <v>0.01</v>
      </c>
    </row>
    <row r="3" ht="22.5" customHeight="1">
      <c r="B3" s="2" t="s">
        <v>430</v>
      </c>
      <c r="C3" s="2" t="s">
        <v>6</v>
      </c>
      <c r="D3" s="2">
        <v>0.01</v>
      </c>
      <c r="E3" s="3">
        <f t="shared" si="1"/>
        <v>0.01</v>
      </c>
    </row>
    <row r="4" ht="22.5" customHeight="1">
      <c r="B4" s="2" t="s">
        <v>431</v>
      </c>
      <c r="C4" s="2" t="s">
        <v>6</v>
      </c>
      <c r="D4" s="2">
        <v>0.01</v>
      </c>
      <c r="E4" s="3">
        <f t="shared" si="1"/>
        <v>0.01</v>
      </c>
    </row>
    <row r="5" ht="22.5" customHeight="1">
      <c r="B5" s="2" t="s">
        <v>432</v>
      </c>
      <c r="C5" s="2" t="s">
        <v>9</v>
      </c>
      <c r="D5" s="2">
        <v>0.02</v>
      </c>
      <c r="E5" s="3">
        <f t="shared" si="1"/>
        <v>0.02</v>
      </c>
    </row>
    <row r="6" ht="22.5" customHeight="1">
      <c r="B6" s="2" t="s">
        <v>433</v>
      </c>
      <c r="C6" s="2" t="s">
        <v>6</v>
      </c>
      <c r="D6" s="2">
        <v>0.26</v>
      </c>
      <c r="E6" s="3">
        <f t="shared" si="1"/>
        <v>0.26</v>
      </c>
    </row>
    <row r="7" ht="22.5" customHeight="1">
      <c r="B7" s="2" t="s">
        <v>434</v>
      </c>
      <c r="C7" s="2" t="s">
        <v>6</v>
      </c>
      <c r="D7" s="2">
        <v>0.59</v>
      </c>
      <c r="E7" s="3">
        <f t="shared" si="1"/>
        <v>0.59</v>
      </c>
    </row>
    <row r="8" ht="22.5" customHeight="1">
      <c r="B8" s="2" t="s">
        <v>435</v>
      </c>
      <c r="C8" s="2" t="s">
        <v>6</v>
      </c>
      <c r="D8" s="2">
        <v>0.61</v>
      </c>
      <c r="E8" s="3">
        <f t="shared" si="1"/>
        <v>0.61</v>
      </c>
    </row>
    <row r="9" ht="22.5" customHeight="1">
      <c r="B9" s="2" t="s">
        <v>436</v>
      </c>
      <c r="C9" s="2" t="s">
        <v>6</v>
      </c>
      <c r="D9" s="2">
        <v>1.13</v>
      </c>
      <c r="E9" s="3">
        <f t="shared" si="1"/>
        <v>1.13</v>
      </c>
    </row>
    <row r="10" ht="22.5" customHeight="1">
      <c r="B10" s="2" t="s">
        <v>437</v>
      </c>
      <c r="C10" s="2" t="s">
        <v>6</v>
      </c>
      <c r="D10" s="2">
        <v>1.52</v>
      </c>
      <c r="E10" s="3">
        <f t="shared" si="1"/>
        <v>1.52</v>
      </c>
    </row>
    <row r="11" ht="22.5" customHeight="1">
      <c r="B11" s="2" t="s">
        <v>438</v>
      </c>
      <c r="C11" s="2" t="s">
        <v>6</v>
      </c>
      <c r="D11" s="2">
        <v>1.72</v>
      </c>
      <c r="E11" s="3">
        <f t="shared" si="1"/>
        <v>1.72</v>
      </c>
    </row>
    <row r="12" ht="22.5" customHeight="1">
      <c r="B12" s="2" t="s">
        <v>439</v>
      </c>
      <c r="C12" s="2" t="s">
        <v>6</v>
      </c>
      <c r="D12" s="2">
        <v>1.89</v>
      </c>
      <c r="E12" s="3">
        <f t="shared" si="1"/>
        <v>1.89</v>
      </c>
    </row>
    <row r="13" ht="22.5" customHeight="1">
      <c r="B13" s="2" t="s">
        <v>440</v>
      </c>
      <c r="C13" s="2" t="s">
        <v>6</v>
      </c>
      <c r="D13" s="2">
        <v>1.92</v>
      </c>
      <c r="E13" s="3">
        <f t="shared" si="1"/>
        <v>1.92</v>
      </c>
    </row>
    <row r="14" ht="22.5" customHeight="1">
      <c r="B14" s="2" t="s">
        <v>441</v>
      </c>
      <c r="C14" s="2" t="s">
        <v>6</v>
      </c>
      <c r="D14" s="2">
        <v>2.38</v>
      </c>
      <c r="E14" s="3">
        <f t="shared" si="1"/>
        <v>2.38</v>
      </c>
    </row>
    <row r="15" ht="22.5" customHeight="1">
      <c r="B15" s="2" t="s">
        <v>442</v>
      </c>
      <c r="C15" s="2" t="s">
        <v>6</v>
      </c>
      <c r="D15" s="2">
        <v>3.04</v>
      </c>
      <c r="E15" s="3">
        <f t="shared" si="1"/>
        <v>3.04</v>
      </c>
    </row>
    <row r="16" ht="22.5" customHeight="1">
      <c r="B16" s="2" t="s">
        <v>443</v>
      </c>
      <c r="C16" s="2" t="s">
        <v>6</v>
      </c>
      <c r="D16" s="2">
        <v>3.22</v>
      </c>
      <c r="E16" s="3">
        <f t="shared" si="1"/>
        <v>3.22</v>
      </c>
    </row>
    <row r="17" ht="22.5" customHeight="1">
      <c r="B17" s="2" t="s">
        <v>444</v>
      </c>
      <c r="C17" s="2" t="s">
        <v>6</v>
      </c>
      <c r="D17" s="2">
        <v>3.75</v>
      </c>
      <c r="E17" s="3">
        <f t="shared" si="1"/>
        <v>3.75</v>
      </c>
    </row>
    <row r="18" ht="22.5" customHeight="1">
      <c r="B18" s="2" t="s">
        <v>445</v>
      </c>
      <c r="C18" s="2" t="s">
        <v>6</v>
      </c>
      <c r="D18" s="2">
        <v>4.05</v>
      </c>
      <c r="E18" s="3">
        <f t="shared" si="1"/>
        <v>4.05</v>
      </c>
    </row>
    <row r="19" ht="22.5" customHeight="1">
      <c r="B19" s="2" t="s">
        <v>446</v>
      </c>
      <c r="C19" s="2" t="s">
        <v>6</v>
      </c>
      <c r="D19" s="2">
        <v>4.12</v>
      </c>
      <c r="E19" s="3">
        <f t="shared" si="1"/>
        <v>4.12</v>
      </c>
    </row>
    <row r="20" ht="22.5" customHeight="1">
      <c r="B20" s="2" t="s">
        <v>447</v>
      </c>
      <c r="C20" s="2" t="s">
        <v>6</v>
      </c>
      <c r="D20" s="2">
        <v>4.42</v>
      </c>
      <c r="E20" s="3">
        <f t="shared" si="1"/>
        <v>4.42</v>
      </c>
    </row>
    <row r="21" ht="22.5" customHeight="1">
      <c r="B21" s="2" t="s">
        <v>448</v>
      </c>
      <c r="C21" s="2" t="s">
        <v>6</v>
      </c>
      <c r="D21" s="2">
        <v>7.34</v>
      </c>
      <c r="E21" s="3">
        <f t="shared" si="1"/>
        <v>7.34</v>
      </c>
    </row>
    <row r="22" ht="22.5" customHeight="1">
      <c r="B22" s="2" t="s">
        <v>449</v>
      </c>
      <c r="C22" s="2" t="s">
        <v>6</v>
      </c>
      <c r="D22" s="2">
        <v>7.79</v>
      </c>
      <c r="E22" s="3">
        <f t="shared" si="1"/>
        <v>7.79</v>
      </c>
    </row>
    <row r="23" ht="22.5" customHeight="1">
      <c r="B23" s="2" t="s">
        <v>450</v>
      </c>
      <c r="C23" s="2" t="s">
        <v>9</v>
      </c>
      <c r="D23" s="2">
        <v>9.02</v>
      </c>
      <c r="E23" s="3">
        <f t="shared" si="1"/>
        <v>9.02</v>
      </c>
    </row>
    <row r="24" ht="22.5" customHeight="1">
      <c r="B24" s="2" t="s">
        <v>451</v>
      </c>
      <c r="C24" s="2" t="s">
        <v>6</v>
      </c>
      <c r="D24" s="2">
        <v>9.35</v>
      </c>
      <c r="E24" s="3">
        <f t="shared" si="1"/>
        <v>9.35</v>
      </c>
    </row>
    <row r="25" ht="22.5" customHeight="1">
      <c r="B25" s="2" t="s">
        <v>452</v>
      </c>
      <c r="C25" s="2" t="s">
        <v>6</v>
      </c>
      <c r="D25" s="2">
        <v>9.71</v>
      </c>
      <c r="E25" s="3">
        <f t="shared" si="1"/>
        <v>9.71</v>
      </c>
    </row>
    <row r="26" ht="22.5" customHeight="1">
      <c r="B26" s="2" t="s">
        <v>453</v>
      </c>
      <c r="C26" s="2" t="s">
        <v>9</v>
      </c>
      <c r="D26" s="2">
        <v>10.72</v>
      </c>
      <c r="E26" s="3">
        <f t="shared" si="1"/>
        <v>10.72</v>
      </c>
    </row>
    <row r="27" ht="22.5" customHeight="1">
      <c r="B27" s="2" t="s">
        <v>454</v>
      </c>
      <c r="C27" s="2" t="s">
        <v>6</v>
      </c>
      <c r="D27" s="2">
        <v>10.97</v>
      </c>
      <c r="E27" s="3">
        <f t="shared" si="1"/>
        <v>10.97</v>
      </c>
    </row>
    <row r="28" ht="22.5" customHeight="1">
      <c r="B28" s="2" t="s">
        <v>455</v>
      </c>
      <c r="C28" s="2" t="s">
        <v>6</v>
      </c>
      <c r="D28" s="2">
        <v>10.98</v>
      </c>
      <c r="E28" s="3">
        <f t="shared" si="1"/>
        <v>10.98</v>
      </c>
    </row>
    <row r="29" ht="22.5" customHeight="1">
      <c r="B29" s="2" t="s">
        <v>456</v>
      </c>
      <c r="C29" s="2" t="s">
        <v>6</v>
      </c>
      <c r="D29" s="2">
        <v>12.75</v>
      </c>
      <c r="E29" s="3">
        <f t="shared" si="1"/>
        <v>12.75</v>
      </c>
    </row>
    <row r="30" ht="22.5" customHeight="1">
      <c r="B30" s="2" t="s">
        <v>457</v>
      </c>
      <c r="C30" s="2" t="s">
        <v>9</v>
      </c>
      <c r="D30" s="2">
        <v>13.24</v>
      </c>
      <c r="E30" s="3">
        <f t="shared" si="1"/>
        <v>13.24</v>
      </c>
    </row>
    <row r="31" ht="22.5" customHeight="1">
      <c r="B31" s="2" t="s">
        <v>458</v>
      </c>
      <c r="C31" s="2" t="s">
        <v>6</v>
      </c>
      <c r="D31" s="2">
        <v>14.58</v>
      </c>
      <c r="E31" s="3">
        <f t="shared" si="1"/>
        <v>14.58</v>
      </c>
    </row>
    <row r="32" ht="22.5" customHeight="1">
      <c r="B32" s="2" t="s">
        <v>459</v>
      </c>
      <c r="C32" s="2" t="s">
        <v>6</v>
      </c>
      <c r="D32" s="2">
        <v>14.73</v>
      </c>
      <c r="E32" s="3">
        <f t="shared" si="1"/>
        <v>14.73</v>
      </c>
    </row>
    <row r="33" ht="22.5" customHeight="1">
      <c r="B33" s="2" t="s">
        <v>460</v>
      </c>
      <c r="C33" s="2" t="s">
        <v>6</v>
      </c>
      <c r="D33" s="2">
        <v>16.32</v>
      </c>
      <c r="E33" s="3">
        <f t="shared" si="1"/>
        <v>16.32</v>
      </c>
    </row>
    <row r="34" ht="22.5" customHeight="1">
      <c r="B34" s="2" t="s">
        <v>461</v>
      </c>
      <c r="C34" s="2" t="s">
        <v>6</v>
      </c>
      <c r="D34" s="2">
        <v>17.54</v>
      </c>
      <c r="E34" s="3">
        <f t="shared" si="1"/>
        <v>17.54</v>
      </c>
    </row>
    <row r="35" ht="22.5" customHeight="1">
      <c r="B35" s="2" t="s">
        <v>462</v>
      </c>
      <c r="C35" s="2" t="s">
        <v>6</v>
      </c>
      <c r="D35" s="2">
        <v>17.64</v>
      </c>
      <c r="E35" s="3">
        <f t="shared" si="1"/>
        <v>17.64</v>
      </c>
    </row>
    <row r="36" ht="22.5" customHeight="1">
      <c r="B36" s="2" t="s">
        <v>463</v>
      </c>
      <c r="C36" s="2" t="s">
        <v>6</v>
      </c>
      <c r="D36" s="2">
        <v>17.72</v>
      </c>
      <c r="E36" s="3">
        <f t="shared" si="1"/>
        <v>17.72</v>
      </c>
    </row>
    <row r="37" ht="22.5" customHeight="1">
      <c r="B37" s="2" t="s">
        <v>464</v>
      </c>
      <c r="C37" s="2" t="s">
        <v>9</v>
      </c>
      <c r="D37" s="2">
        <v>17.77</v>
      </c>
      <c r="E37" s="3">
        <f t="shared" si="1"/>
        <v>17.77</v>
      </c>
    </row>
    <row r="38" ht="22.5" customHeight="1">
      <c r="B38" s="2" t="s">
        <v>465</v>
      </c>
      <c r="C38" s="2" t="s">
        <v>6</v>
      </c>
      <c r="D38" s="2">
        <v>17.83</v>
      </c>
      <c r="E38" s="3">
        <f t="shared" si="1"/>
        <v>17.83</v>
      </c>
    </row>
    <row r="39" ht="22.5" customHeight="1">
      <c r="B39" s="2" t="s">
        <v>466</v>
      </c>
      <c r="C39" s="2" t="s">
        <v>6</v>
      </c>
      <c r="D39" s="2">
        <v>18.04</v>
      </c>
      <c r="E39" s="3">
        <f t="shared" si="1"/>
        <v>18.04</v>
      </c>
    </row>
    <row r="40" ht="22.5" customHeight="1">
      <c r="B40" s="2" t="s">
        <v>467</v>
      </c>
      <c r="C40" s="2" t="s">
        <v>6</v>
      </c>
      <c r="D40" s="2">
        <v>18.26</v>
      </c>
      <c r="E40" s="3">
        <f t="shared" si="1"/>
        <v>18.26</v>
      </c>
    </row>
    <row r="41" ht="22.5" customHeight="1">
      <c r="B41" s="2" t="s">
        <v>468</v>
      </c>
      <c r="C41" s="2" t="s">
        <v>6</v>
      </c>
      <c r="D41" s="2">
        <v>19.9</v>
      </c>
      <c r="E41" s="3">
        <f t="shared" si="1"/>
        <v>19.9</v>
      </c>
    </row>
    <row r="42" ht="22.5" customHeight="1">
      <c r="B42" s="2" t="s">
        <v>469</v>
      </c>
      <c r="C42" s="2" t="s">
        <v>6</v>
      </c>
      <c r="D42" s="2">
        <v>21.44</v>
      </c>
      <c r="E42" s="3">
        <f t="shared" si="1"/>
        <v>21.44</v>
      </c>
    </row>
    <row r="43" ht="22.5" customHeight="1">
      <c r="B43" s="2" t="s">
        <v>470</v>
      </c>
      <c r="C43" s="2" t="s">
        <v>6</v>
      </c>
      <c r="D43" s="2">
        <v>21.6</v>
      </c>
      <c r="E43" s="3">
        <f t="shared" si="1"/>
        <v>21.6</v>
      </c>
    </row>
    <row r="44" ht="22.5" customHeight="1">
      <c r="B44" s="2" t="s">
        <v>471</v>
      </c>
      <c r="C44" s="2" t="s">
        <v>6</v>
      </c>
      <c r="D44" s="2">
        <v>24.01</v>
      </c>
      <c r="E44" s="3">
        <f t="shared" si="1"/>
        <v>24.01</v>
      </c>
    </row>
    <row r="45" ht="22.5" customHeight="1">
      <c r="B45" s="2" t="s">
        <v>472</v>
      </c>
      <c r="C45" s="2" t="s">
        <v>6</v>
      </c>
      <c r="D45" s="2">
        <v>26.2</v>
      </c>
      <c r="E45" s="3">
        <f t="shared" si="1"/>
        <v>26.2</v>
      </c>
    </row>
    <row r="46" ht="22.5" customHeight="1">
      <c r="B46" s="2" t="s">
        <v>473</v>
      </c>
      <c r="C46" s="2" t="s">
        <v>6</v>
      </c>
      <c r="D46" s="2">
        <v>26.54</v>
      </c>
      <c r="E46" s="3">
        <f t="shared" si="1"/>
        <v>26.54</v>
      </c>
    </row>
    <row r="47" ht="22.5" customHeight="1">
      <c r="B47" s="2" t="s">
        <v>474</v>
      </c>
      <c r="C47" s="2" t="s">
        <v>6</v>
      </c>
      <c r="D47" s="2">
        <v>33.04</v>
      </c>
      <c r="E47" s="3">
        <f t="shared" si="1"/>
        <v>33.04</v>
      </c>
    </row>
    <row r="48" ht="22.5" customHeight="1">
      <c r="B48" s="2" t="s">
        <v>475</v>
      </c>
      <c r="C48" s="2" t="s">
        <v>9</v>
      </c>
      <c r="D48" s="2">
        <v>33.97</v>
      </c>
      <c r="E48" s="3">
        <f t="shared" si="1"/>
        <v>33.97</v>
      </c>
    </row>
    <row r="49" ht="22.5" customHeight="1">
      <c r="B49" s="2" t="s">
        <v>476</v>
      </c>
      <c r="C49" s="2" t="s">
        <v>9</v>
      </c>
      <c r="D49" s="2">
        <v>35.43</v>
      </c>
      <c r="E49" s="3">
        <f t="shared" si="1"/>
        <v>35.43</v>
      </c>
    </row>
    <row r="50" ht="22.5" customHeight="1">
      <c r="B50" s="2" t="s">
        <v>477</v>
      </c>
      <c r="C50" s="2" t="s">
        <v>6</v>
      </c>
      <c r="D50" s="2">
        <v>37.32</v>
      </c>
      <c r="E50" s="3">
        <f t="shared" si="1"/>
        <v>37.32</v>
      </c>
    </row>
    <row r="51" ht="22.5" customHeight="1">
      <c r="B51" s="2" t="s">
        <v>478</v>
      </c>
      <c r="C51" s="2" t="s">
        <v>9</v>
      </c>
      <c r="D51" s="2">
        <v>38.25</v>
      </c>
      <c r="E51" s="3">
        <f t="shared" si="1"/>
        <v>38.25</v>
      </c>
    </row>
    <row r="52" ht="22.5" customHeight="1">
      <c r="B52" s="2" t="s">
        <v>479</v>
      </c>
      <c r="C52" s="2" t="s">
        <v>6</v>
      </c>
      <c r="D52" s="2">
        <v>39.63</v>
      </c>
      <c r="E52" s="3">
        <f t="shared" si="1"/>
        <v>39.63</v>
      </c>
    </row>
    <row r="53" ht="22.5" customHeight="1">
      <c r="B53" s="2" t="s">
        <v>480</v>
      </c>
      <c r="C53" s="2" t="s">
        <v>9</v>
      </c>
      <c r="D53" s="2">
        <v>41.99</v>
      </c>
      <c r="E53" s="3">
        <f t="shared" si="1"/>
        <v>41.99</v>
      </c>
    </row>
    <row r="54" ht="22.5" customHeight="1">
      <c r="B54" s="2" t="s">
        <v>481</v>
      </c>
      <c r="C54" s="2" t="s">
        <v>6</v>
      </c>
      <c r="D54" s="2">
        <v>42.48</v>
      </c>
      <c r="E54" s="3">
        <f t="shared" si="1"/>
        <v>42.48</v>
      </c>
    </row>
    <row r="55" ht="22.5" customHeight="1">
      <c r="B55" s="2" t="s">
        <v>482</v>
      </c>
      <c r="C55" s="2" t="s">
        <v>9</v>
      </c>
      <c r="D55" s="2">
        <v>48.75</v>
      </c>
      <c r="E55" s="3">
        <f t="shared" si="1"/>
        <v>48.75</v>
      </c>
    </row>
    <row r="56" ht="22.5" customHeight="1">
      <c r="B56" s="2" t="s">
        <v>483</v>
      </c>
      <c r="C56" s="2" t="s">
        <v>6</v>
      </c>
      <c r="D56" s="2">
        <v>53.64</v>
      </c>
      <c r="E56" s="3">
        <f t="shared" si="1"/>
        <v>53.64</v>
      </c>
    </row>
    <row r="57" ht="22.5" customHeight="1">
      <c r="B57" s="2" t="s">
        <v>484</v>
      </c>
      <c r="C57" s="2" t="s">
        <v>9</v>
      </c>
      <c r="D57" s="2">
        <v>57.8</v>
      </c>
      <c r="E57" s="3">
        <f t="shared" si="1"/>
        <v>57.8</v>
      </c>
    </row>
    <row r="58" ht="22.5" customHeight="1">
      <c r="B58" s="2" t="s">
        <v>485</v>
      </c>
      <c r="C58" s="2" t="s">
        <v>6</v>
      </c>
      <c r="D58" s="2">
        <v>67.01</v>
      </c>
      <c r="E58" s="3">
        <f t="shared" si="1"/>
        <v>67.01</v>
      </c>
    </row>
    <row r="59" ht="22.5" customHeight="1">
      <c r="B59" s="2" t="s">
        <v>486</v>
      </c>
      <c r="C59" s="2" t="s">
        <v>9</v>
      </c>
      <c r="D59" s="2">
        <v>71.36</v>
      </c>
      <c r="E59" s="3">
        <f t="shared" si="1"/>
        <v>71.36</v>
      </c>
    </row>
    <row r="60" ht="22.5" customHeight="1">
      <c r="B60" s="2" t="s">
        <v>487</v>
      </c>
      <c r="C60" s="2" t="s">
        <v>9</v>
      </c>
      <c r="D60" s="2">
        <v>72.42</v>
      </c>
      <c r="E60" s="3">
        <f t="shared" si="1"/>
        <v>72.42</v>
      </c>
    </row>
    <row r="61" ht="22.5" customHeight="1">
      <c r="B61" s="2" t="s">
        <v>488</v>
      </c>
      <c r="C61" s="2" t="s">
        <v>6</v>
      </c>
      <c r="D61" s="2">
        <v>78.44</v>
      </c>
      <c r="E61" s="3">
        <f t="shared" si="1"/>
        <v>78.44</v>
      </c>
    </row>
    <row r="62" ht="22.5" customHeight="1">
      <c r="B62" s="2" t="s">
        <v>489</v>
      </c>
      <c r="C62" s="2" t="s">
        <v>6</v>
      </c>
      <c r="D62" s="2">
        <v>78.78</v>
      </c>
      <c r="E62" s="3">
        <f t="shared" si="1"/>
        <v>78.78</v>
      </c>
    </row>
    <row r="63" ht="22.5" customHeight="1">
      <c r="B63" s="2" t="s">
        <v>490</v>
      </c>
      <c r="C63" s="2" t="s">
        <v>9</v>
      </c>
      <c r="D63" s="2">
        <v>85.72</v>
      </c>
      <c r="E63" s="3">
        <f t="shared" si="1"/>
        <v>85.72</v>
      </c>
    </row>
    <row r="64" ht="22.5" customHeight="1">
      <c r="B64" s="2" t="s">
        <v>491</v>
      </c>
      <c r="C64" s="2" t="s">
        <v>6</v>
      </c>
      <c r="D64" s="2">
        <v>96.95</v>
      </c>
      <c r="E64" s="3">
        <f t="shared" si="1"/>
        <v>96.95</v>
      </c>
    </row>
    <row r="65" ht="22.5" customHeight="1">
      <c r="B65" s="2" t="s">
        <v>492</v>
      </c>
      <c r="C65" s="2" t="s">
        <v>9</v>
      </c>
      <c r="D65" s="2">
        <v>106.6</v>
      </c>
      <c r="E65" s="3">
        <f t="shared" si="1"/>
        <v>106.6</v>
      </c>
    </row>
    <row r="66" ht="22.5" customHeight="1">
      <c r="B66" s="2" t="s">
        <v>493</v>
      </c>
      <c r="C66" s="2" t="s">
        <v>6</v>
      </c>
      <c r="D66" s="2">
        <v>113.08</v>
      </c>
      <c r="E66" s="3">
        <f t="shared" si="1"/>
        <v>113.08</v>
      </c>
    </row>
    <row r="67" ht="22.5" customHeight="1">
      <c r="B67" s="2" t="s">
        <v>494</v>
      </c>
      <c r="C67" s="2" t="s">
        <v>6</v>
      </c>
      <c r="D67" s="2">
        <v>113.19</v>
      </c>
      <c r="E67" s="3">
        <f t="shared" si="1"/>
        <v>113.19</v>
      </c>
    </row>
    <row r="68" ht="22.5" customHeight="1">
      <c r="B68" s="2" t="s">
        <v>495</v>
      </c>
      <c r="C68" s="2" t="s">
        <v>6</v>
      </c>
      <c r="D68" s="2">
        <v>113.36</v>
      </c>
      <c r="E68" s="3">
        <f t="shared" si="1"/>
        <v>113.36</v>
      </c>
    </row>
    <row r="69" ht="22.5" customHeight="1">
      <c r="B69" s="2" t="s">
        <v>496</v>
      </c>
      <c r="C69" s="2" t="s">
        <v>6</v>
      </c>
      <c r="D69" s="2">
        <v>115.27</v>
      </c>
      <c r="E69" s="3">
        <f t="shared" si="1"/>
        <v>115.27</v>
      </c>
    </row>
    <row r="70" ht="22.5" customHeight="1">
      <c r="B70" s="2" t="s">
        <v>497</v>
      </c>
      <c r="C70" s="2" t="s">
        <v>9</v>
      </c>
      <c r="D70" s="2">
        <v>116.42</v>
      </c>
      <c r="E70" s="3">
        <f t="shared" si="1"/>
        <v>116.42</v>
      </c>
    </row>
    <row r="71" ht="22.5" customHeight="1">
      <c r="B71" s="2" t="s">
        <v>498</v>
      </c>
      <c r="C71" s="2" t="s">
        <v>9</v>
      </c>
      <c r="D71" s="2">
        <v>118.93</v>
      </c>
      <c r="E71" s="3">
        <f t="shared" si="1"/>
        <v>118.93</v>
      </c>
    </row>
    <row r="72" ht="22.5" customHeight="1">
      <c r="B72" s="2" t="s">
        <v>499</v>
      </c>
      <c r="C72" s="2" t="s">
        <v>9</v>
      </c>
      <c r="D72" s="2">
        <v>124.0</v>
      </c>
      <c r="E72" s="3">
        <f t="shared" si="1"/>
        <v>124</v>
      </c>
    </row>
    <row r="73" ht="22.5" customHeight="1">
      <c r="B73" s="2" t="s">
        <v>500</v>
      </c>
      <c r="C73" s="2" t="s">
        <v>9</v>
      </c>
      <c r="D73" s="2">
        <v>132.45</v>
      </c>
      <c r="E73" s="3">
        <f t="shared" si="1"/>
        <v>132.45</v>
      </c>
    </row>
    <row r="74" ht="22.5" customHeight="1">
      <c r="B74" s="2" t="s">
        <v>501</v>
      </c>
      <c r="C74" s="2" t="s">
        <v>6</v>
      </c>
      <c r="D74" s="2">
        <v>135.31</v>
      </c>
      <c r="E74" s="3">
        <f t="shared" si="1"/>
        <v>135.31</v>
      </c>
    </row>
    <row r="75" ht="22.5" customHeight="1">
      <c r="B75" s="2" t="s">
        <v>502</v>
      </c>
      <c r="C75" s="2" t="s">
        <v>6</v>
      </c>
      <c r="D75" s="2">
        <v>141.45</v>
      </c>
      <c r="E75" s="3">
        <f t="shared" si="1"/>
        <v>141.45</v>
      </c>
    </row>
    <row r="76" ht="22.5" customHeight="1">
      <c r="B76" s="2" t="s">
        <v>503</v>
      </c>
      <c r="C76" s="2" t="s">
        <v>6</v>
      </c>
      <c r="D76" s="2">
        <v>145.05</v>
      </c>
      <c r="E76" s="3">
        <f t="shared" si="1"/>
        <v>145.05</v>
      </c>
    </row>
    <row r="77" ht="22.5" customHeight="1">
      <c r="B77" s="2" t="s">
        <v>504</v>
      </c>
      <c r="C77" s="2" t="s">
        <v>9</v>
      </c>
      <c r="D77" s="2">
        <v>151.28</v>
      </c>
      <c r="E77" s="3">
        <f t="shared" si="1"/>
        <v>151.28</v>
      </c>
    </row>
    <row r="78" ht="22.5" customHeight="1">
      <c r="B78" s="2" t="s">
        <v>505</v>
      </c>
      <c r="C78" s="2" t="s">
        <v>6</v>
      </c>
      <c r="D78" s="2">
        <v>165.69</v>
      </c>
      <c r="E78" s="3">
        <f t="shared" si="1"/>
        <v>165.69</v>
      </c>
    </row>
    <row r="79" ht="22.5" customHeight="1">
      <c r="B79" s="2" t="s">
        <v>506</v>
      </c>
      <c r="C79" s="2" t="s">
        <v>9</v>
      </c>
      <c r="D79" s="2">
        <v>167.68</v>
      </c>
      <c r="E79" s="3">
        <f t="shared" si="1"/>
        <v>167.68</v>
      </c>
    </row>
    <row r="80" ht="22.5" customHeight="1">
      <c r="B80" s="2" t="s">
        <v>507</v>
      </c>
      <c r="C80" s="2" t="s">
        <v>9</v>
      </c>
      <c r="D80" s="2">
        <v>186.52</v>
      </c>
      <c r="E80" s="3">
        <f t="shared" si="1"/>
        <v>186.52</v>
      </c>
    </row>
    <row r="81" ht="22.5" customHeight="1">
      <c r="B81" s="2" t="s">
        <v>508</v>
      </c>
      <c r="C81" s="2" t="s">
        <v>9</v>
      </c>
      <c r="D81" s="2">
        <v>199.19</v>
      </c>
      <c r="E81" s="3">
        <f t="shared" si="1"/>
        <v>199.19</v>
      </c>
    </row>
    <row r="82" ht="22.5" customHeight="1">
      <c r="B82" s="2" t="s">
        <v>509</v>
      </c>
      <c r="C82" s="2" t="s">
        <v>6</v>
      </c>
      <c r="D82" s="2">
        <v>202.13</v>
      </c>
      <c r="E82" s="3">
        <f t="shared" si="1"/>
        <v>202.13</v>
      </c>
    </row>
    <row r="83" ht="22.5" customHeight="1">
      <c r="B83" s="2" t="s">
        <v>510</v>
      </c>
      <c r="C83" s="2" t="s">
        <v>9</v>
      </c>
      <c r="D83" s="2">
        <v>220.34</v>
      </c>
      <c r="E83" s="3">
        <f t="shared" si="1"/>
        <v>220.34</v>
      </c>
    </row>
    <row r="84" ht="22.5" customHeight="1">
      <c r="B84" s="2" t="s">
        <v>511</v>
      </c>
      <c r="C84" s="2" t="s">
        <v>9</v>
      </c>
      <c r="D84" s="2">
        <v>228.67</v>
      </c>
      <c r="E84" s="3">
        <f t="shared" si="1"/>
        <v>228.67</v>
      </c>
    </row>
    <row r="85" ht="22.5" customHeight="1">
      <c r="B85" s="2" t="s">
        <v>512</v>
      </c>
      <c r="C85" s="2" t="s">
        <v>9</v>
      </c>
      <c r="D85" s="2">
        <v>247.74</v>
      </c>
      <c r="E85" s="3">
        <f t="shared" si="1"/>
        <v>247.74</v>
      </c>
    </row>
    <row r="86" ht="22.5" customHeight="1">
      <c r="B86" s="2" t="s">
        <v>513</v>
      </c>
      <c r="C86" s="2" t="s">
        <v>6</v>
      </c>
      <c r="D86" s="2">
        <v>248.93</v>
      </c>
      <c r="E86" s="3">
        <f t="shared" si="1"/>
        <v>248.93</v>
      </c>
    </row>
    <row r="87" ht="22.5" customHeight="1">
      <c r="B87" s="2" t="s">
        <v>514</v>
      </c>
      <c r="C87" s="2" t="s">
        <v>6</v>
      </c>
      <c r="D87" s="2">
        <v>253.2</v>
      </c>
      <c r="E87" s="3">
        <f t="shared" si="1"/>
        <v>253.2</v>
      </c>
    </row>
    <row r="88" ht="22.5" customHeight="1">
      <c r="B88" s="2" t="s">
        <v>515</v>
      </c>
      <c r="C88" s="2" t="s">
        <v>6</v>
      </c>
      <c r="D88" s="2">
        <v>267.49</v>
      </c>
      <c r="E88" s="3">
        <f t="shared" si="1"/>
        <v>267.49</v>
      </c>
    </row>
    <row r="89" ht="22.5" customHeight="1">
      <c r="B89" s="2" t="s">
        <v>516</v>
      </c>
      <c r="C89" s="2" t="s">
        <v>9</v>
      </c>
      <c r="D89" s="2">
        <v>280.31</v>
      </c>
      <c r="E89" s="3">
        <f t="shared" si="1"/>
        <v>280.31</v>
      </c>
    </row>
    <row r="90" ht="22.5" customHeight="1">
      <c r="B90" s="2" t="s">
        <v>517</v>
      </c>
      <c r="C90" s="2" t="s">
        <v>9</v>
      </c>
      <c r="D90" s="2">
        <v>290.68</v>
      </c>
      <c r="E90" s="3">
        <f t="shared" si="1"/>
        <v>290.68</v>
      </c>
    </row>
    <row r="91" ht="22.5" customHeight="1">
      <c r="B91" s="2" t="s">
        <v>518</v>
      </c>
      <c r="C91" s="2" t="s">
        <v>9</v>
      </c>
      <c r="D91" s="2">
        <v>308.38</v>
      </c>
      <c r="E91" s="3">
        <f t="shared" si="1"/>
        <v>308.38</v>
      </c>
    </row>
    <row r="92" ht="22.5" customHeight="1">
      <c r="B92" s="2" t="s">
        <v>519</v>
      </c>
      <c r="C92" s="2" t="s">
        <v>6</v>
      </c>
      <c r="D92" s="2">
        <v>311.09</v>
      </c>
      <c r="E92" s="3">
        <f t="shared" si="1"/>
        <v>311.09</v>
      </c>
    </row>
    <row r="93" ht="22.5" customHeight="1">
      <c r="B93" s="2" t="s">
        <v>520</v>
      </c>
      <c r="C93" s="2" t="s">
        <v>9</v>
      </c>
      <c r="D93" s="2">
        <v>316.04</v>
      </c>
      <c r="E93" s="3">
        <f t="shared" si="1"/>
        <v>316.04</v>
      </c>
    </row>
    <row r="94" ht="22.5" customHeight="1">
      <c r="B94" s="2" t="s">
        <v>521</v>
      </c>
      <c r="C94" s="2" t="s">
        <v>9</v>
      </c>
      <c r="D94" s="2">
        <v>325.62</v>
      </c>
      <c r="E94" s="3">
        <f t="shared" si="1"/>
        <v>325.62</v>
      </c>
    </row>
    <row r="95" ht="22.5" customHeight="1">
      <c r="B95" s="2" t="s">
        <v>522</v>
      </c>
      <c r="C95" s="2" t="s">
        <v>6</v>
      </c>
      <c r="D95" s="2">
        <v>342.28</v>
      </c>
      <c r="E95" s="3">
        <f t="shared" si="1"/>
        <v>342.28</v>
      </c>
    </row>
    <row r="96" ht="22.5" customHeight="1">
      <c r="B96" s="2" t="s">
        <v>523</v>
      </c>
      <c r="C96" s="2" t="s">
        <v>9</v>
      </c>
      <c r="D96" s="2">
        <v>394.35</v>
      </c>
      <c r="E96" s="3">
        <f t="shared" si="1"/>
        <v>394.35</v>
      </c>
    </row>
    <row r="97" ht="22.5" customHeight="1">
      <c r="B97" s="2" t="s">
        <v>524</v>
      </c>
      <c r="C97" s="2" t="s">
        <v>9</v>
      </c>
      <c r="D97" s="2">
        <v>427.83</v>
      </c>
      <c r="E97" s="3">
        <f t="shared" si="1"/>
        <v>427.83</v>
      </c>
    </row>
    <row r="98" ht="22.5" customHeight="1">
      <c r="B98" s="2" t="s">
        <v>525</v>
      </c>
      <c r="C98" s="2" t="s">
        <v>6</v>
      </c>
      <c r="D98" s="2">
        <v>432.82</v>
      </c>
      <c r="E98" s="3">
        <f t="shared" si="1"/>
        <v>432.82</v>
      </c>
    </row>
    <row r="99" ht="22.5" customHeight="1">
      <c r="B99" s="2" t="s">
        <v>526</v>
      </c>
      <c r="C99" s="2" t="s">
        <v>6</v>
      </c>
      <c r="D99" s="2">
        <v>434.37</v>
      </c>
      <c r="E99" s="3">
        <f t="shared" si="1"/>
        <v>434.37</v>
      </c>
    </row>
    <row r="100" ht="22.5" customHeight="1">
      <c r="B100" s="2" t="s">
        <v>527</v>
      </c>
      <c r="C100" s="2" t="s">
        <v>9</v>
      </c>
      <c r="D100" s="2">
        <v>446.15</v>
      </c>
      <c r="E100" s="3">
        <f t="shared" si="1"/>
        <v>446.15</v>
      </c>
    </row>
    <row r="101" ht="22.5" customHeight="1">
      <c r="B101" s="2" t="s">
        <v>528</v>
      </c>
      <c r="C101" s="2" t="s">
        <v>9</v>
      </c>
      <c r="D101" s="2">
        <v>473.6</v>
      </c>
      <c r="E101" s="3">
        <f t="shared" si="1"/>
        <v>473.6</v>
      </c>
    </row>
    <row r="102" ht="22.5" customHeight="1">
      <c r="B102" s="2" t="s">
        <v>529</v>
      </c>
      <c r="C102" s="2" t="s">
        <v>9</v>
      </c>
      <c r="D102" s="2">
        <v>477.66</v>
      </c>
      <c r="E102" s="3">
        <f t="shared" si="1"/>
        <v>477.66</v>
      </c>
    </row>
    <row r="103" ht="22.5" customHeight="1">
      <c r="B103" s="2" t="s">
        <v>530</v>
      </c>
      <c r="C103" s="2" t="s">
        <v>6</v>
      </c>
      <c r="D103" s="2">
        <v>520.88</v>
      </c>
      <c r="E103" s="3">
        <f t="shared" si="1"/>
        <v>520.88</v>
      </c>
    </row>
    <row r="104" ht="22.5" customHeight="1">
      <c r="B104" s="2" t="s">
        <v>531</v>
      </c>
      <c r="C104" s="2" t="s">
        <v>6</v>
      </c>
      <c r="D104" s="2">
        <v>530.24</v>
      </c>
      <c r="E104" s="3">
        <f t="shared" si="1"/>
        <v>530.24</v>
      </c>
    </row>
    <row r="105" ht="22.5" customHeight="1">
      <c r="B105" s="2" t="s">
        <v>532</v>
      </c>
      <c r="C105" s="2" t="s">
        <v>6</v>
      </c>
      <c r="D105" s="2">
        <v>534.51</v>
      </c>
      <c r="E105" s="3">
        <f t="shared" si="1"/>
        <v>534.51</v>
      </c>
    </row>
    <row r="106" ht="22.5" customHeight="1">
      <c r="B106" s="2" t="s">
        <v>533</v>
      </c>
      <c r="C106" s="2" t="s">
        <v>6</v>
      </c>
      <c r="D106" s="2">
        <v>562.44</v>
      </c>
      <c r="E106" s="3">
        <f t="shared" si="1"/>
        <v>562.44</v>
      </c>
    </row>
    <row r="107" ht="22.5" customHeight="1">
      <c r="B107" s="2" t="s">
        <v>534</v>
      </c>
      <c r="C107" s="2" t="s">
        <v>6</v>
      </c>
      <c r="D107" s="2">
        <v>575.81</v>
      </c>
      <c r="E107" s="3">
        <f t="shared" si="1"/>
        <v>575.81</v>
      </c>
    </row>
    <row r="108" ht="22.5" customHeight="1">
      <c r="B108" s="2" t="s">
        <v>535</v>
      </c>
      <c r="C108" s="2" t="s">
        <v>9</v>
      </c>
      <c r="D108" s="2">
        <v>576.94</v>
      </c>
      <c r="E108" s="3">
        <f t="shared" si="1"/>
        <v>576.94</v>
      </c>
    </row>
    <row r="109" ht="22.5" customHeight="1">
      <c r="B109" s="2" t="s">
        <v>536</v>
      </c>
      <c r="C109" s="2" t="s">
        <v>9</v>
      </c>
      <c r="D109" s="2">
        <v>613.88</v>
      </c>
      <c r="E109" s="3">
        <f t="shared" si="1"/>
        <v>613.88</v>
      </c>
    </row>
    <row r="110" ht="22.5" customHeight="1">
      <c r="B110" s="2" t="s">
        <v>537</v>
      </c>
      <c r="C110" s="2" t="s">
        <v>9</v>
      </c>
      <c r="D110" s="2">
        <v>616.24</v>
      </c>
      <c r="E110" s="3">
        <f t="shared" si="1"/>
        <v>616.24</v>
      </c>
    </row>
    <row r="111" ht="22.5" customHeight="1">
      <c r="B111" s="2" t="s">
        <v>538</v>
      </c>
      <c r="C111" s="2" t="s">
        <v>6</v>
      </c>
      <c r="D111" s="2">
        <v>627.48</v>
      </c>
      <c r="E111" s="3">
        <f t="shared" si="1"/>
        <v>627.48</v>
      </c>
    </row>
    <row r="112" ht="22.5" customHeight="1">
      <c r="B112" s="2" t="s">
        <v>539</v>
      </c>
      <c r="C112" s="2" t="s">
        <v>9</v>
      </c>
      <c r="D112" s="2">
        <v>632.91</v>
      </c>
      <c r="E112" s="3">
        <f t="shared" si="1"/>
        <v>632.91</v>
      </c>
    </row>
    <row r="113" ht="22.5" customHeight="1">
      <c r="B113" s="2" t="s">
        <v>540</v>
      </c>
      <c r="C113" s="2" t="s">
        <v>6</v>
      </c>
      <c r="D113" s="2">
        <v>662.5</v>
      </c>
      <c r="E113" s="3">
        <f t="shared" si="1"/>
        <v>662.5</v>
      </c>
    </row>
    <row r="114" ht="22.5" customHeight="1">
      <c r="B114" s="2" t="s">
        <v>541</v>
      </c>
      <c r="C114" s="2" t="s">
        <v>6</v>
      </c>
      <c r="D114" s="2">
        <v>667.0</v>
      </c>
      <c r="E114" s="3">
        <f t="shared" si="1"/>
        <v>667</v>
      </c>
    </row>
    <row r="115" ht="22.5" customHeight="1">
      <c r="B115" s="2" t="s">
        <v>542</v>
      </c>
      <c r="C115" s="2" t="s">
        <v>6</v>
      </c>
      <c r="D115" s="2">
        <v>698.88</v>
      </c>
      <c r="E115" s="3">
        <f t="shared" si="1"/>
        <v>698.88</v>
      </c>
    </row>
    <row r="116" ht="22.5" customHeight="1">
      <c r="B116" s="2" t="s">
        <v>543</v>
      </c>
      <c r="C116" s="2" t="s">
        <v>6</v>
      </c>
      <c r="D116" s="2">
        <v>719.65</v>
      </c>
      <c r="E116" s="3">
        <f t="shared" si="1"/>
        <v>719.65</v>
      </c>
    </row>
    <row r="117" ht="22.5" customHeight="1">
      <c r="B117" s="2" t="s">
        <v>544</v>
      </c>
      <c r="C117" s="2" t="s">
        <v>6</v>
      </c>
      <c r="D117" s="2">
        <v>736.69</v>
      </c>
      <c r="E117" s="3">
        <f t="shared" si="1"/>
        <v>736.69</v>
      </c>
    </row>
    <row r="118" ht="22.5" customHeight="1">
      <c r="B118" s="2" t="s">
        <v>545</v>
      </c>
      <c r="C118" s="2" t="s">
        <v>9</v>
      </c>
      <c r="D118" s="2">
        <v>738.41</v>
      </c>
      <c r="E118" s="3">
        <f t="shared" si="1"/>
        <v>738.41</v>
      </c>
    </row>
    <row r="119" ht="22.5" customHeight="1">
      <c r="B119" s="2" t="s">
        <v>546</v>
      </c>
      <c r="C119" s="2" t="s">
        <v>9</v>
      </c>
      <c r="D119" s="2">
        <v>742.35</v>
      </c>
      <c r="E119" s="3">
        <f t="shared" si="1"/>
        <v>742.35</v>
      </c>
    </row>
    <row r="120" ht="22.5" customHeight="1">
      <c r="B120" s="2" t="s">
        <v>547</v>
      </c>
      <c r="C120" s="2" t="s">
        <v>6</v>
      </c>
      <c r="D120" s="2">
        <v>782.33</v>
      </c>
      <c r="E120" s="3">
        <f t="shared" si="1"/>
        <v>782.33</v>
      </c>
    </row>
    <row r="121" ht="22.5" customHeight="1">
      <c r="B121" s="2" t="s">
        <v>548</v>
      </c>
      <c r="C121" s="2" t="s">
        <v>9</v>
      </c>
      <c r="D121" s="2">
        <v>896.98</v>
      </c>
      <c r="E121" s="3">
        <f t="shared" si="1"/>
        <v>896.98</v>
      </c>
    </row>
    <row r="122" ht="22.5" customHeight="1">
      <c r="B122" s="2" t="s">
        <v>549</v>
      </c>
      <c r="C122" s="2" t="s">
        <v>6</v>
      </c>
      <c r="D122" s="2">
        <v>925.9</v>
      </c>
      <c r="E122" s="3">
        <f t="shared" si="1"/>
        <v>925.9</v>
      </c>
    </row>
    <row r="123" ht="22.5" customHeight="1">
      <c r="B123" s="2" t="s">
        <v>550</v>
      </c>
      <c r="C123" s="2" t="s">
        <v>9</v>
      </c>
      <c r="D123" s="2">
        <v>952.54</v>
      </c>
      <c r="E123" s="3">
        <f t="shared" si="1"/>
        <v>952.54</v>
      </c>
    </row>
    <row r="124" ht="22.5" customHeight="1">
      <c r="B124" s="2" t="s">
        <v>551</v>
      </c>
      <c r="C124" s="2" t="s">
        <v>6</v>
      </c>
      <c r="D124" s="2">
        <v>982.76</v>
      </c>
      <c r="E124" s="3">
        <f t="shared" si="1"/>
        <v>982.76</v>
      </c>
    </row>
    <row r="125" ht="22.5" customHeight="1">
      <c r="B125" s="2" t="s">
        <v>552</v>
      </c>
      <c r="C125" s="2" t="s">
        <v>6</v>
      </c>
      <c r="D125" s="2">
        <v>991.79</v>
      </c>
      <c r="E125" s="3">
        <f t="shared" si="1"/>
        <v>991.79</v>
      </c>
    </row>
    <row r="126" ht="22.5" customHeight="1">
      <c r="B126" s="2" t="s">
        <v>553</v>
      </c>
      <c r="C126" s="2" t="s">
        <v>6</v>
      </c>
      <c r="D126" s="2">
        <v>1008.73</v>
      </c>
      <c r="E126" s="3">
        <f t="shared" si="1"/>
        <v>1008.73</v>
      </c>
    </row>
    <row r="127" ht="22.5" customHeight="1">
      <c r="B127" s="2" t="s">
        <v>554</v>
      </c>
      <c r="C127" s="2" t="s">
        <v>6</v>
      </c>
      <c r="D127" s="2">
        <v>1020.22</v>
      </c>
      <c r="E127" s="3">
        <f t="shared" si="1"/>
        <v>1020.22</v>
      </c>
    </row>
    <row r="128" ht="22.5" customHeight="1">
      <c r="B128" s="2" t="s">
        <v>555</v>
      </c>
      <c r="C128" s="2" t="s">
        <v>9</v>
      </c>
      <c r="D128" s="2">
        <v>1044.38</v>
      </c>
      <c r="E128" s="3">
        <f t="shared" si="1"/>
        <v>1044.38</v>
      </c>
    </row>
    <row r="129" ht="22.5" customHeight="1">
      <c r="B129" s="2" t="s">
        <v>556</v>
      </c>
      <c r="C129" s="2" t="s">
        <v>6</v>
      </c>
      <c r="D129" s="2">
        <v>1049.92</v>
      </c>
      <c r="E129" s="3">
        <f t="shared" si="1"/>
        <v>1049.92</v>
      </c>
    </row>
    <row r="130" ht="22.5" customHeight="1">
      <c r="B130" s="2" t="s">
        <v>557</v>
      </c>
      <c r="C130" s="2" t="s">
        <v>6</v>
      </c>
      <c r="D130" s="2">
        <v>1055.3</v>
      </c>
      <c r="E130" s="3">
        <f t="shared" si="1"/>
        <v>1055.3</v>
      </c>
    </row>
    <row r="131" ht="22.5" customHeight="1">
      <c r="B131" s="2" t="s">
        <v>558</v>
      </c>
      <c r="C131" s="2" t="s">
        <v>9</v>
      </c>
      <c r="D131" s="2">
        <v>1070.93</v>
      </c>
      <c r="E131" s="3">
        <f t="shared" si="1"/>
        <v>1070.93</v>
      </c>
    </row>
    <row r="132" ht="22.5" customHeight="1">
      <c r="B132" s="2" t="s">
        <v>559</v>
      </c>
      <c r="C132" s="2" t="s">
        <v>9</v>
      </c>
      <c r="D132" s="2">
        <v>1075.58</v>
      </c>
      <c r="E132" s="3">
        <f t="shared" si="1"/>
        <v>1075.58</v>
      </c>
    </row>
    <row r="133" ht="22.5" customHeight="1">
      <c r="B133" s="2" t="s">
        <v>560</v>
      </c>
      <c r="C133" s="2" t="s">
        <v>9</v>
      </c>
      <c r="D133" s="2">
        <v>1100.06</v>
      </c>
      <c r="E133" s="3">
        <f t="shared" si="1"/>
        <v>1100.06</v>
      </c>
    </row>
    <row r="134" ht="22.5" customHeight="1">
      <c r="B134" s="2" t="s">
        <v>561</v>
      </c>
      <c r="C134" s="2" t="s">
        <v>6</v>
      </c>
      <c r="D134" s="2">
        <v>1180.91</v>
      </c>
      <c r="E134" s="3">
        <f t="shared" si="1"/>
        <v>1180.91</v>
      </c>
    </row>
    <row r="135" ht="22.5" customHeight="1">
      <c r="B135" s="2" t="s">
        <v>562</v>
      </c>
      <c r="C135" s="2" t="s">
        <v>6</v>
      </c>
      <c r="D135" s="2">
        <v>1205.92</v>
      </c>
      <c r="E135" s="3">
        <f t="shared" si="1"/>
        <v>1205.92</v>
      </c>
    </row>
    <row r="136" ht="22.5" customHeight="1">
      <c r="B136" s="2" t="s">
        <v>563</v>
      </c>
      <c r="C136" s="2" t="s">
        <v>6</v>
      </c>
      <c r="D136" s="2">
        <v>1279.25</v>
      </c>
      <c r="E136" s="3">
        <f t="shared" si="1"/>
        <v>1279.25</v>
      </c>
    </row>
    <row r="137" ht="22.5" customHeight="1">
      <c r="B137" s="2" t="s">
        <v>564</v>
      </c>
      <c r="C137" s="2" t="s">
        <v>9</v>
      </c>
      <c r="D137" s="2">
        <v>1321.59</v>
      </c>
      <c r="E137" s="3">
        <f t="shared" si="1"/>
        <v>1321.59</v>
      </c>
    </row>
    <row r="138" ht="22.5" customHeight="1">
      <c r="B138" s="2" t="s">
        <v>565</v>
      </c>
      <c r="C138" s="2" t="s">
        <v>6</v>
      </c>
      <c r="D138" s="2">
        <v>1373.54</v>
      </c>
      <c r="E138" s="3">
        <f t="shared" si="1"/>
        <v>1373.54</v>
      </c>
    </row>
    <row r="139" ht="22.5" customHeight="1">
      <c r="B139" s="2" t="s">
        <v>566</v>
      </c>
      <c r="C139" s="2" t="s">
        <v>6</v>
      </c>
      <c r="D139" s="2">
        <v>1423.83</v>
      </c>
      <c r="E139" s="3">
        <f t="shared" si="1"/>
        <v>1423.83</v>
      </c>
    </row>
    <row r="140" ht="22.5" customHeight="1">
      <c r="B140" s="2" t="s">
        <v>567</v>
      </c>
      <c r="C140" s="2" t="s">
        <v>9</v>
      </c>
      <c r="D140" s="2">
        <v>1486.26</v>
      </c>
      <c r="E140" s="3">
        <f t="shared" si="1"/>
        <v>1486.26</v>
      </c>
    </row>
    <row r="141" ht="22.5" customHeight="1">
      <c r="B141" s="2" t="s">
        <v>568</v>
      </c>
      <c r="C141" s="2" t="s">
        <v>9</v>
      </c>
      <c r="D141" s="2">
        <v>1518.78</v>
      </c>
      <c r="E141" s="3">
        <f t="shared" si="1"/>
        <v>1518.78</v>
      </c>
    </row>
    <row r="142" ht="22.5" customHeight="1">
      <c r="B142" s="2" t="s">
        <v>569</v>
      </c>
      <c r="C142" s="2" t="s">
        <v>6</v>
      </c>
      <c r="D142" s="2">
        <v>1579.53</v>
      </c>
      <c r="E142" s="3">
        <f t="shared" si="1"/>
        <v>1579.53</v>
      </c>
    </row>
    <row r="143" ht="22.5" customHeight="1">
      <c r="B143" s="2" t="s">
        <v>570</v>
      </c>
      <c r="C143" s="2" t="s">
        <v>9</v>
      </c>
      <c r="D143" s="2">
        <v>1593.61</v>
      </c>
      <c r="E143" s="3">
        <f t="shared" si="1"/>
        <v>1593.61</v>
      </c>
    </row>
    <row r="144" ht="22.5" customHeight="1">
      <c r="B144" s="2" t="s">
        <v>571</v>
      </c>
      <c r="C144" s="2" t="s">
        <v>9</v>
      </c>
      <c r="D144" s="2">
        <v>1599.45</v>
      </c>
      <c r="E144" s="3">
        <f t="shared" si="1"/>
        <v>1599.45</v>
      </c>
    </row>
    <row r="145" ht="22.5" customHeight="1">
      <c r="B145" s="2" t="s">
        <v>572</v>
      </c>
      <c r="C145" s="2" t="s">
        <v>9</v>
      </c>
      <c r="D145" s="2">
        <v>1624.25</v>
      </c>
      <c r="E145" s="3">
        <f t="shared" si="1"/>
        <v>1624.25</v>
      </c>
    </row>
    <row r="146" ht="22.5" customHeight="1">
      <c r="B146" s="2" t="s">
        <v>573</v>
      </c>
      <c r="C146" s="2" t="s">
        <v>6</v>
      </c>
      <c r="D146" s="2">
        <v>1628.59</v>
      </c>
      <c r="E146" s="3">
        <f t="shared" si="1"/>
        <v>1628.59</v>
      </c>
    </row>
    <row r="147" ht="22.5" customHeight="1">
      <c r="B147" s="2" t="s">
        <v>574</v>
      </c>
      <c r="C147" s="2" t="s">
        <v>6</v>
      </c>
      <c r="D147" s="2">
        <v>1652.93</v>
      </c>
      <c r="E147" s="3">
        <f t="shared" si="1"/>
        <v>1652.93</v>
      </c>
    </row>
    <row r="148" ht="22.5" customHeight="1">
      <c r="B148" s="2" t="s">
        <v>575</v>
      </c>
      <c r="C148" s="2" t="s">
        <v>9</v>
      </c>
      <c r="D148" s="2">
        <v>1655.43</v>
      </c>
      <c r="E148" s="3">
        <f t="shared" si="1"/>
        <v>1655.43</v>
      </c>
    </row>
    <row r="149" ht="22.5" customHeight="1">
      <c r="B149" s="2" t="s">
        <v>576</v>
      </c>
      <c r="C149" s="2" t="s">
        <v>6</v>
      </c>
      <c r="D149" s="2">
        <v>1665.81</v>
      </c>
      <c r="E149" s="3">
        <f t="shared" si="1"/>
        <v>1665.81</v>
      </c>
    </row>
    <row r="150" ht="22.5" customHeight="1">
      <c r="B150" s="2" t="s">
        <v>577</v>
      </c>
      <c r="C150" s="2" t="s">
        <v>6</v>
      </c>
      <c r="D150" s="2">
        <v>1691.18</v>
      </c>
      <c r="E150" s="3">
        <f t="shared" si="1"/>
        <v>1691.18</v>
      </c>
    </row>
    <row r="151" ht="22.5" customHeight="1">
      <c r="B151" s="2" t="s">
        <v>578</v>
      </c>
      <c r="C151" s="2" t="s">
        <v>6</v>
      </c>
      <c r="D151" s="2">
        <v>1729.11</v>
      </c>
      <c r="E151" s="3">
        <f t="shared" si="1"/>
        <v>1729.11</v>
      </c>
    </row>
    <row r="152" ht="22.5" customHeight="1">
      <c r="B152" s="2" t="s">
        <v>579</v>
      </c>
      <c r="C152" s="2" t="s">
        <v>6</v>
      </c>
      <c r="D152" s="2">
        <v>1814.21</v>
      </c>
      <c r="E152" s="3">
        <f t="shared" si="1"/>
        <v>1814.21</v>
      </c>
    </row>
    <row r="153" ht="22.5" customHeight="1">
      <c r="B153" s="2" t="s">
        <v>580</v>
      </c>
      <c r="C153" s="2" t="s">
        <v>6</v>
      </c>
      <c r="D153" s="2">
        <v>1821.95</v>
      </c>
      <c r="E153" s="3">
        <f t="shared" si="1"/>
        <v>1821.95</v>
      </c>
    </row>
    <row r="154" ht="22.5" customHeight="1">
      <c r="B154" s="2" t="s">
        <v>581</v>
      </c>
      <c r="C154" s="2" t="s">
        <v>6</v>
      </c>
      <c r="D154" s="2">
        <v>1920.3</v>
      </c>
      <c r="E154" s="3">
        <f t="shared" si="1"/>
        <v>1920.3</v>
      </c>
    </row>
    <row r="155" ht="22.5" customHeight="1">
      <c r="B155" s="2" t="s">
        <v>582</v>
      </c>
      <c r="C155" s="2" t="s">
        <v>9</v>
      </c>
      <c r="D155" s="2">
        <v>1940.39</v>
      </c>
      <c r="E155" s="3">
        <f t="shared" si="1"/>
        <v>1940.39</v>
      </c>
    </row>
    <row r="156" ht="22.5" customHeight="1">
      <c r="B156" s="2" t="s">
        <v>583</v>
      </c>
      <c r="C156" s="2" t="s">
        <v>6</v>
      </c>
      <c r="D156" s="2">
        <v>2000.81</v>
      </c>
      <c r="E156" s="3">
        <f t="shared" si="1"/>
        <v>2000.81</v>
      </c>
    </row>
    <row r="157" ht="22.5" customHeight="1">
      <c r="B157" s="2" t="s">
        <v>584</v>
      </c>
      <c r="C157" s="2" t="s">
        <v>6</v>
      </c>
      <c r="D157" s="2">
        <v>2004.94</v>
      </c>
      <c r="E157" s="3">
        <f t="shared" si="1"/>
        <v>2004.94</v>
      </c>
    </row>
    <row r="158" ht="22.5" customHeight="1">
      <c r="B158" s="2" t="s">
        <v>585</v>
      </c>
      <c r="C158" s="2" t="s">
        <v>6</v>
      </c>
      <c r="D158" s="2">
        <v>2083.15</v>
      </c>
      <c r="E158" s="3">
        <f t="shared" si="1"/>
        <v>2083.15</v>
      </c>
    </row>
    <row r="159" ht="22.5" customHeight="1">
      <c r="B159" s="2" t="s">
        <v>586</v>
      </c>
      <c r="C159" s="2" t="s">
        <v>6</v>
      </c>
      <c r="D159" s="2">
        <v>2140.96</v>
      </c>
      <c r="E159" s="3">
        <f t="shared" si="1"/>
        <v>2140.96</v>
      </c>
    </row>
    <row r="160" ht="22.5" customHeight="1">
      <c r="B160" s="2" t="s">
        <v>587</v>
      </c>
      <c r="C160" s="2" t="s">
        <v>9</v>
      </c>
      <c r="D160" s="2">
        <v>2492.3</v>
      </c>
      <c r="E160" s="3">
        <f t="shared" si="1"/>
        <v>2492.3</v>
      </c>
    </row>
    <row r="161" ht="22.5" customHeight="1">
      <c r="B161" s="2" t="s">
        <v>588</v>
      </c>
      <c r="C161" s="2" t="s">
        <v>6</v>
      </c>
      <c r="D161" s="2">
        <v>2519.54</v>
      </c>
      <c r="E161" s="3">
        <f t="shared" si="1"/>
        <v>2519.54</v>
      </c>
    </row>
    <row r="162" ht="22.5" customHeight="1">
      <c r="B162" s="2" t="s">
        <v>589</v>
      </c>
      <c r="C162" s="2" t="s">
        <v>6</v>
      </c>
      <c r="D162" s="2">
        <v>2532.91</v>
      </c>
      <c r="E162" s="3">
        <f t="shared" si="1"/>
        <v>2532.91</v>
      </c>
    </row>
    <row r="163" ht="22.5" customHeight="1">
      <c r="B163" s="2" t="s">
        <v>590</v>
      </c>
      <c r="C163" s="2" t="s">
        <v>9</v>
      </c>
      <c r="D163" s="2">
        <v>2564.42</v>
      </c>
      <c r="E163" s="3">
        <f t="shared" si="1"/>
        <v>2564.42</v>
      </c>
    </row>
    <row r="164" ht="22.5" customHeight="1">
      <c r="B164" s="2" t="s">
        <v>591</v>
      </c>
      <c r="C164" s="2" t="s">
        <v>6</v>
      </c>
      <c r="D164" s="2">
        <v>2612.53</v>
      </c>
      <c r="E164" s="3">
        <f t="shared" si="1"/>
        <v>2612.53</v>
      </c>
    </row>
    <row r="165" ht="22.5" customHeight="1">
      <c r="B165" s="2" t="s">
        <v>592</v>
      </c>
      <c r="C165" s="2" t="s">
        <v>9</v>
      </c>
      <c r="D165" s="2">
        <v>2619.21</v>
      </c>
      <c r="E165" s="3">
        <f t="shared" si="1"/>
        <v>2619.21</v>
      </c>
    </row>
    <row r="166" ht="22.5" customHeight="1">
      <c r="B166" s="2" t="s">
        <v>593</v>
      </c>
      <c r="C166" s="2" t="s">
        <v>6</v>
      </c>
      <c r="D166" s="2">
        <v>2632.58</v>
      </c>
      <c r="E166" s="3">
        <f t="shared" si="1"/>
        <v>2632.58</v>
      </c>
    </row>
    <row r="167" ht="22.5" customHeight="1">
      <c r="B167" s="2" t="s">
        <v>594</v>
      </c>
      <c r="C167" s="2" t="s">
        <v>6</v>
      </c>
      <c r="D167" s="2">
        <v>2646.61</v>
      </c>
      <c r="E167" s="3">
        <f t="shared" si="1"/>
        <v>2646.61</v>
      </c>
    </row>
    <row r="168" ht="22.5" customHeight="1">
      <c r="B168" s="2" t="s">
        <v>595</v>
      </c>
      <c r="C168" s="2" t="s">
        <v>6</v>
      </c>
      <c r="D168" s="2">
        <v>2693.36</v>
      </c>
      <c r="E168" s="3">
        <f t="shared" si="1"/>
        <v>2693.36</v>
      </c>
    </row>
    <row r="169" ht="22.5" customHeight="1">
      <c r="B169" s="2" t="s">
        <v>596</v>
      </c>
      <c r="C169" s="2" t="s">
        <v>9</v>
      </c>
      <c r="D169" s="2">
        <v>2734.63</v>
      </c>
      <c r="E169" s="3">
        <f t="shared" si="1"/>
        <v>2734.63</v>
      </c>
    </row>
    <row r="170" ht="22.5" customHeight="1">
      <c r="B170" s="2" t="s">
        <v>597</v>
      </c>
      <c r="C170" s="2" t="s">
        <v>6</v>
      </c>
      <c r="D170" s="2">
        <v>2950.26</v>
      </c>
      <c r="E170" s="3">
        <f t="shared" si="1"/>
        <v>2950.26</v>
      </c>
    </row>
    <row r="171" ht="22.5" customHeight="1">
      <c r="B171" s="2" t="s">
        <v>598</v>
      </c>
      <c r="C171" s="2" t="s">
        <v>9</v>
      </c>
      <c r="D171" s="2">
        <v>3138.31</v>
      </c>
      <c r="E171" s="3">
        <f t="shared" si="1"/>
        <v>3138.31</v>
      </c>
    </row>
    <row r="172" ht="22.5" customHeight="1">
      <c r="B172" s="2" t="s">
        <v>599</v>
      </c>
      <c r="C172" s="2" t="s">
        <v>6</v>
      </c>
      <c r="D172" s="2">
        <v>3198.22</v>
      </c>
      <c r="E172" s="3">
        <f t="shared" si="1"/>
        <v>3198.22</v>
      </c>
    </row>
    <row r="173" ht="22.5" customHeight="1">
      <c r="B173" s="2" t="s">
        <v>600</v>
      </c>
      <c r="C173" s="2" t="s">
        <v>6</v>
      </c>
      <c r="D173" s="2">
        <v>3478.18</v>
      </c>
      <c r="E173" s="3">
        <f t="shared" si="1"/>
        <v>3478.18</v>
      </c>
    </row>
    <row r="174" ht="22.5" customHeight="1">
      <c r="B174" s="2" t="s">
        <v>601</v>
      </c>
      <c r="C174" s="2" t="s">
        <v>9</v>
      </c>
      <c r="D174" s="2">
        <v>3503.63</v>
      </c>
      <c r="E174" s="3">
        <f t="shared" si="1"/>
        <v>3503.63</v>
      </c>
    </row>
    <row r="175" ht="22.5" customHeight="1">
      <c r="B175" s="2" t="s">
        <v>602</v>
      </c>
      <c r="C175" s="2" t="s">
        <v>6</v>
      </c>
      <c r="D175" s="2">
        <v>3530.91</v>
      </c>
      <c r="E175" s="3">
        <f t="shared" si="1"/>
        <v>3530.91</v>
      </c>
    </row>
    <row r="176" ht="22.5" customHeight="1">
      <c r="B176" s="2" t="s">
        <v>603</v>
      </c>
      <c r="C176" s="2" t="s">
        <v>6</v>
      </c>
      <c r="D176" s="2">
        <v>3588.69</v>
      </c>
      <c r="E176" s="3">
        <f t="shared" si="1"/>
        <v>3588.69</v>
      </c>
    </row>
    <row r="177" ht="22.5" customHeight="1">
      <c r="B177" s="2" t="s">
        <v>604</v>
      </c>
      <c r="C177" s="2" t="s">
        <v>9</v>
      </c>
      <c r="D177" s="2">
        <v>3611.05</v>
      </c>
      <c r="E177" s="3">
        <f t="shared" si="1"/>
        <v>3611.05</v>
      </c>
    </row>
    <row r="178" ht="22.5" customHeight="1">
      <c r="B178" s="2" t="s">
        <v>605</v>
      </c>
      <c r="C178" s="2" t="s">
        <v>6</v>
      </c>
      <c r="D178" s="2">
        <v>3636.46</v>
      </c>
      <c r="E178" s="3">
        <f t="shared" si="1"/>
        <v>3636.46</v>
      </c>
    </row>
    <row r="179" ht="22.5" customHeight="1">
      <c r="B179" s="2" t="s">
        <v>606</v>
      </c>
      <c r="C179" s="2" t="s">
        <v>9</v>
      </c>
      <c r="D179" s="2">
        <v>3668.12</v>
      </c>
      <c r="E179" s="3">
        <f t="shared" si="1"/>
        <v>3668.12</v>
      </c>
    </row>
    <row r="180" ht="22.5" customHeight="1">
      <c r="B180" s="2" t="s">
        <v>607</v>
      </c>
      <c r="C180" s="2" t="s">
        <v>6</v>
      </c>
      <c r="D180" s="2">
        <v>3868.25</v>
      </c>
      <c r="E180" s="3">
        <f t="shared" si="1"/>
        <v>3868.25</v>
      </c>
    </row>
    <row r="181" ht="22.5" customHeight="1">
      <c r="B181" s="2" t="s">
        <v>608</v>
      </c>
      <c r="C181" s="2" t="s">
        <v>9</v>
      </c>
      <c r="D181" s="2">
        <v>3942.05</v>
      </c>
      <c r="E181" s="3">
        <f t="shared" si="1"/>
        <v>3942.05</v>
      </c>
    </row>
    <row r="182" ht="22.5" customHeight="1">
      <c r="B182" s="2" t="s">
        <v>609</v>
      </c>
      <c r="C182" s="2" t="s">
        <v>6</v>
      </c>
      <c r="D182" s="2">
        <v>4153.38</v>
      </c>
      <c r="E182" s="3">
        <f t="shared" si="1"/>
        <v>4153.38</v>
      </c>
    </row>
    <row r="183" ht="22.5" customHeight="1">
      <c r="B183" s="2" t="s">
        <v>610</v>
      </c>
      <c r="C183" s="2" t="s">
        <v>9</v>
      </c>
      <c r="D183" s="2">
        <v>4173.18</v>
      </c>
      <c r="E183" s="3">
        <f t="shared" si="1"/>
        <v>4173.18</v>
      </c>
    </row>
    <row r="184" ht="22.5" customHeight="1">
      <c r="B184" s="2" t="s">
        <v>611</v>
      </c>
      <c r="C184" s="2" t="s">
        <v>9</v>
      </c>
      <c r="D184" s="2">
        <v>4188.68</v>
      </c>
      <c r="E184" s="3">
        <f t="shared" si="1"/>
        <v>4188.68</v>
      </c>
    </row>
    <row r="185" ht="22.5" customHeight="1">
      <c r="B185" s="2" t="s">
        <v>612</v>
      </c>
      <c r="C185" s="2" t="s">
        <v>6</v>
      </c>
      <c r="D185" s="2">
        <v>4213.42</v>
      </c>
      <c r="E185" s="3">
        <f t="shared" si="1"/>
        <v>4213.42</v>
      </c>
    </row>
    <row r="186" ht="22.5" customHeight="1">
      <c r="B186" s="2" t="s">
        <v>613</v>
      </c>
      <c r="C186" s="2" t="s">
        <v>9</v>
      </c>
      <c r="D186" s="2">
        <v>4363.76</v>
      </c>
      <c r="E186" s="3">
        <f t="shared" si="1"/>
        <v>4363.76</v>
      </c>
    </row>
    <row r="187" ht="22.5" customHeight="1">
      <c r="B187" s="2" t="s">
        <v>614</v>
      </c>
      <c r="C187" s="2" t="s">
        <v>6</v>
      </c>
      <c r="D187" s="2">
        <v>4489.34</v>
      </c>
      <c r="E187" s="3">
        <f t="shared" si="1"/>
        <v>4489.34</v>
      </c>
    </row>
    <row r="188" ht="22.5" customHeight="1">
      <c r="B188" s="2" t="s">
        <v>615</v>
      </c>
      <c r="C188" s="2" t="s">
        <v>6</v>
      </c>
      <c r="D188" s="2">
        <v>4684.57</v>
      </c>
      <c r="E188" s="3">
        <f t="shared" si="1"/>
        <v>4684.57</v>
      </c>
    </row>
    <row r="189" ht="22.5" customHeight="1">
      <c r="B189" s="2" t="s">
        <v>616</v>
      </c>
      <c r="C189" s="2" t="s">
        <v>9</v>
      </c>
      <c r="D189" s="2">
        <v>4764.95</v>
      </c>
      <c r="E189" s="3">
        <f t="shared" si="1"/>
        <v>4764.95</v>
      </c>
    </row>
    <row r="190" ht="22.5" customHeight="1">
      <c r="B190" s="2" t="s">
        <v>617</v>
      </c>
      <c r="C190" s="2" t="s">
        <v>9</v>
      </c>
      <c r="D190" s="2">
        <v>4865.23</v>
      </c>
      <c r="E190" s="3">
        <f t="shared" si="1"/>
        <v>4865.23</v>
      </c>
    </row>
    <row r="191" ht="22.5" customHeight="1">
      <c r="B191" s="2" t="s">
        <v>618</v>
      </c>
      <c r="C191" s="2" t="s">
        <v>9</v>
      </c>
      <c r="D191" s="2">
        <v>5001.7</v>
      </c>
      <c r="E191" s="3">
        <f t="shared" si="1"/>
        <v>5001.7</v>
      </c>
    </row>
    <row r="192" ht="22.5" customHeight="1">
      <c r="B192" s="2" t="s">
        <v>619</v>
      </c>
      <c r="C192" s="2" t="s">
        <v>263</v>
      </c>
      <c r="D192" s="2">
        <v>5003.28</v>
      </c>
      <c r="E192" s="3">
        <f t="shared" si="1"/>
        <v>10000</v>
      </c>
    </row>
    <row r="193" ht="22.5" customHeight="1">
      <c r="B193" s="2" t="s">
        <v>620</v>
      </c>
      <c r="C193" s="2" t="s">
        <v>263</v>
      </c>
      <c r="D193" s="2">
        <v>5003.47</v>
      </c>
      <c r="E193" s="3">
        <f t="shared" si="1"/>
        <v>10000</v>
      </c>
    </row>
    <row r="194" ht="22.5" customHeight="1">
      <c r="B194" s="2" t="s">
        <v>621</v>
      </c>
      <c r="C194" s="2" t="s">
        <v>263</v>
      </c>
      <c r="D194" s="2">
        <v>5003.38</v>
      </c>
      <c r="E194" s="3">
        <f t="shared" si="1"/>
        <v>10000</v>
      </c>
    </row>
    <row r="195" ht="22.5" customHeight="1">
      <c r="B195" s="2" t="s">
        <v>622</v>
      </c>
      <c r="C195" s="2" t="s">
        <v>263</v>
      </c>
      <c r="D195" s="2">
        <v>5003.43</v>
      </c>
      <c r="E195" s="3">
        <f t="shared" si="1"/>
        <v>10000</v>
      </c>
    </row>
    <row r="196" ht="22.5" customHeight="1">
      <c r="B196" s="2" t="s">
        <v>623</v>
      </c>
      <c r="C196" s="2" t="s">
        <v>263</v>
      </c>
      <c r="D196" s="2">
        <v>5003.38</v>
      </c>
      <c r="E196" s="3">
        <f t="shared" si="1"/>
        <v>10000</v>
      </c>
    </row>
    <row r="197" ht="22.5" customHeight="1">
      <c r="B197" s="2" t="s">
        <v>624</v>
      </c>
      <c r="C197" s="2" t="s">
        <v>263</v>
      </c>
      <c r="D197" s="2">
        <v>5003.19</v>
      </c>
      <c r="E197" s="3">
        <f t="shared" si="1"/>
        <v>10000</v>
      </c>
    </row>
    <row r="198" ht="22.5" customHeight="1">
      <c r="B198" s="2" t="s">
        <v>625</v>
      </c>
      <c r="C198" s="2" t="s">
        <v>263</v>
      </c>
      <c r="D198" s="2">
        <v>5003.57</v>
      </c>
      <c r="E198" s="3">
        <f t="shared" si="1"/>
        <v>10000</v>
      </c>
    </row>
    <row r="199" ht="22.5" customHeight="1">
      <c r="B199" s="2" t="s">
        <v>626</v>
      </c>
      <c r="C199" s="2" t="s">
        <v>263</v>
      </c>
      <c r="D199" s="2">
        <v>5003.24</v>
      </c>
      <c r="E199" s="3">
        <f t="shared" si="1"/>
        <v>10000</v>
      </c>
    </row>
    <row r="200" ht="22.5" customHeight="1">
      <c r="B200" s="2" t="s">
        <v>627</v>
      </c>
      <c r="C200" s="2" t="s">
        <v>263</v>
      </c>
      <c r="D200" s="2">
        <v>5003.39</v>
      </c>
      <c r="E200" s="3">
        <f t="shared" si="1"/>
        <v>10000</v>
      </c>
    </row>
    <row r="201" ht="22.5" customHeight="1">
      <c r="B201" s="2" t="s">
        <v>628</v>
      </c>
      <c r="C201" s="2" t="s">
        <v>263</v>
      </c>
      <c r="D201" s="2">
        <v>5003.3</v>
      </c>
      <c r="E201" s="3">
        <f t="shared" si="1"/>
        <v>10000</v>
      </c>
    </row>
    <row r="202" ht="22.5" customHeight="1">
      <c r="B202" s="2" t="s">
        <v>629</v>
      </c>
      <c r="C202" s="2" t="s">
        <v>263</v>
      </c>
      <c r="D202" s="2">
        <v>5003.22</v>
      </c>
      <c r="E202" s="3">
        <f t="shared" si="1"/>
        <v>10000</v>
      </c>
    </row>
    <row r="203" ht="22.5" customHeight="1">
      <c r="B203" s="2" t="s">
        <v>630</v>
      </c>
      <c r="C203" s="2" t="s">
        <v>263</v>
      </c>
      <c r="D203" s="2">
        <v>5003.3</v>
      </c>
      <c r="E203" s="3">
        <f t="shared" si="1"/>
        <v>10000</v>
      </c>
    </row>
    <row r="204" ht="22.5" customHeight="1">
      <c r="B204" s="2" t="s">
        <v>631</v>
      </c>
      <c r="C204" s="2" t="s">
        <v>263</v>
      </c>
      <c r="D204" s="2">
        <v>5003.44</v>
      </c>
      <c r="E204" s="3">
        <f t="shared" si="1"/>
        <v>10000</v>
      </c>
    </row>
    <row r="205" ht="22.5" customHeight="1">
      <c r="B205" s="2" t="s">
        <v>632</v>
      </c>
      <c r="C205" s="2" t="s">
        <v>263</v>
      </c>
      <c r="D205" s="2">
        <v>5003.43</v>
      </c>
      <c r="E205" s="3">
        <f t="shared" si="1"/>
        <v>10000</v>
      </c>
    </row>
    <row r="206" ht="22.5" customHeight="1">
      <c r="B206" s="2" t="s">
        <v>633</v>
      </c>
      <c r="C206" s="2" t="s">
        <v>263</v>
      </c>
      <c r="D206" s="2">
        <v>5003.44</v>
      </c>
      <c r="E206" s="3">
        <f t="shared" si="1"/>
        <v>10000</v>
      </c>
    </row>
    <row r="207" ht="22.5" customHeight="1">
      <c r="B207" s="2" t="s">
        <v>634</v>
      </c>
      <c r="C207" s="2" t="s">
        <v>263</v>
      </c>
      <c r="D207" s="2">
        <v>5003.34</v>
      </c>
      <c r="E207" s="3">
        <f t="shared" si="1"/>
        <v>10000</v>
      </c>
    </row>
    <row r="208" ht="22.5" customHeight="1">
      <c r="B208" s="2" t="s">
        <v>635</v>
      </c>
      <c r="C208" s="2" t="s">
        <v>263</v>
      </c>
      <c r="D208" s="2">
        <v>5003.42</v>
      </c>
      <c r="E208" s="3">
        <f t="shared" si="1"/>
        <v>10000</v>
      </c>
    </row>
    <row r="209" ht="22.5" customHeight="1">
      <c r="B209" s="2" t="s">
        <v>636</v>
      </c>
      <c r="C209" s="2" t="s">
        <v>263</v>
      </c>
      <c r="D209" s="2">
        <v>5003.09</v>
      </c>
      <c r="E209" s="3">
        <f t="shared" si="1"/>
        <v>10000</v>
      </c>
    </row>
    <row r="210" ht="22.5" customHeight="1">
      <c r="B210" s="2" t="s">
        <v>637</v>
      </c>
      <c r="C210" s="2" t="s">
        <v>263</v>
      </c>
      <c r="D210" s="2">
        <v>5003.28</v>
      </c>
      <c r="E210" s="3">
        <f t="shared" si="1"/>
        <v>10000</v>
      </c>
    </row>
    <row r="211" ht="22.5" customHeight="1">
      <c r="B211" s="2" t="s">
        <v>638</v>
      </c>
      <c r="C211" s="2" t="s">
        <v>263</v>
      </c>
      <c r="D211" s="2">
        <v>5003.21</v>
      </c>
      <c r="E211" s="3">
        <f t="shared" si="1"/>
        <v>10000</v>
      </c>
    </row>
    <row r="212" ht="22.5" customHeight="1">
      <c r="B212" s="2" t="s">
        <v>639</v>
      </c>
      <c r="C212" s="2" t="s">
        <v>263</v>
      </c>
      <c r="D212" s="2">
        <v>5002.87</v>
      </c>
      <c r="E212" s="3">
        <f t="shared" si="1"/>
        <v>10000</v>
      </c>
    </row>
    <row r="213" ht="22.5" customHeight="1">
      <c r="B213" s="2" t="s">
        <v>640</v>
      </c>
      <c r="C213" s="2" t="s">
        <v>263</v>
      </c>
      <c r="D213" s="2">
        <v>5003.31</v>
      </c>
      <c r="E213" s="3">
        <f t="shared" si="1"/>
        <v>10000</v>
      </c>
    </row>
    <row r="214" ht="22.5" customHeight="1">
      <c r="B214" s="2" t="s">
        <v>641</v>
      </c>
      <c r="C214" s="2" t="s">
        <v>263</v>
      </c>
      <c r="D214" s="2">
        <v>5003.53</v>
      </c>
      <c r="E214" s="3">
        <f t="shared" si="1"/>
        <v>10000</v>
      </c>
    </row>
    <row r="215" ht="22.5" customHeight="1">
      <c r="B215" s="2" t="s">
        <v>642</v>
      </c>
      <c r="C215" s="2" t="s">
        <v>263</v>
      </c>
      <c r="D215" s="2">
        <v>5003.18</v>
      </c>
      <c r="E215" s="3">
        <f t="shared" si="1"/>
        <v>10000</v>
      </c>
    </row>
    <row r="216" ht="22.5" customHeight="1">
      <c r="B216" s="2" t="s">
        <v>643</v>
      </c>
      <c r="C216" s="2" t="s">
        <v>263</v>
      </c>
      <c r="D216" s="2">
        <v>5003.04</v>
      </c>
      <c r="E216" s="3">
        <f t="shared" si="1"/>
        <v>10000</v>
      </c>
    </row>
    <row r="217" ht="22.5" customHeight="1">
      <c r="B217" s="2" t="s">
        <v>644</v>
      </c>
      <c r="C217" s="2" t="s">
        <v>263</v>
      </c>
      <c r="D217" s="2">
        <v>5003.41</v>
      </c>
      <c r="E217" s="3">
        <f t="shared" si="1"/>
        <v>10000</v>
      </c>
    </row>
    <row r="218" ht="22.5" customHeight="1">
      <c r="B218" s="2" t="s">
        <v>645</v>
      </c>
      <c r="C218" s="2" t="s">
        <v>263</v>
      </c>
      <c r="D218" s="2">
        <v>5003.49</v>
      </c>
      <c r="E218" s="3">
        <f t="shared" si="1"/>
        <v>10000</v>
      </c>
    </row>
    <row r="219" ht="22.5" customHeight="1">
      <c r="B219" s="2" t="s">
        <v>646</v>
      </c>
      <c r="C219" s="2" t="s">
        <v>263</v>
      </c>
      <c r="D219" s="2">
        <v>5003.53</v>
      </c>
      <c r="E219" s="3">
        <f t="shared" si="1"/>
        <v>10000</v>
      </c>
    </row>
    <row r="220" ht="22.5" customHeight="1">
      <c r="B220" s="2" t="s">
        <v>647</v>
      </c>
      <c r="C220" s="2" t="s">
        <v>263</v>
      </c>
      <c r="D220" s="2">
        <v>5003.51</v>
      </c>
      <c r="E220" s="3">
        <f t="shared" si="1"/>
        <v>10000</v>
      </c>
    </row>
    <row r="221" ht="22.5" customHeight="1">
      <c r="B221" s="2" t="s">
        <v>648</v>
      </c>
      <c r="C221" s="2" t="s">
        <v>263</v>
      </c>
      <c r="D221" s="2">
        <v>5003.38</v>
      </c>
      <c r="E221" s="3">
        <f t="shared" si="1"/>
        <v>10000</v>
      </c>
    </row>
    <row r="222" ht="22.5" customHeight="1">
      <c r="B222" s="2" t="s">
        <v>649</v>
      </c>
      <c r="C222" s="2" t="s">
        <v>263</v>
      </c>
      <c r="D222" s="2">
        <v>5003.34</v>
      </c>
      <c r="E222" s="3">
        <f t="shared" si="1"/>
        <v>10000</v>
      </c>
    </row>
    <row r="223" ht="22.5" customHeight="1">
      <c r="B223" s="2" t="s">
        <v>650</v>
      </c>
      <c r="C223" s="2" t="s">
        <v>263</v>
      </c>
      <c r="D223" s="2">
        <v>5003.52</v>
      </c>
      <c r="E223" s="3">
        <f t="shared" si="1"/>
        <v>10000</v>
      </c>
    </row>
    <row r="224" ht="22.5" customHeight="1">
      <c r="B224" s="2" t="s">
        <v>651</v>
      </c>
      <c r="C224" s="2" t="s">
        <v>263</v>
      </c>
      <c r="D224" s="2">
        <v>5003.5</v>
      </c>
      <c r="E224" s="3">
        <f t="shared" si="1"/>
        <v>10000</v>
      </c>
    </row>
    <row r="225" ht="22.5" customHeight="1">
      <c r="B225" s="2" t="s">
        <v>652</v>
      </c>
      <c r="C225" s="2" t="s">
        <v>263</v>
      </c>
      <c r="D225" s="2">
        <v>5003.27</v>
      </c>
      <c r="E225" s="3">
        <f t="shared" si="1"/>
        <v>10000</v>
      </c>
    </row>
    <row r="226" ht="22.5" customHeight="1">
      <c r="B226" s="2" t="s">
        <v>653</v>
      </c>
      <c r="C226" s="2" t="s">
        <v>263</v>
      </c>
      <c r="D226" s="2">
        <v>5003.42</v>
      </c>
      <c r="E226" s="3">
        <f t="shared" si="1"/>
        <v>10000</v>
      </c>
    </row>
    <row r="227" ht="22.5" customHeight="1">
      <c r="B227" s="2" t="s">
        <v>654</v>
      </c>
      <c r="C227" s="2" t="s">
        <v>263</v>
      </c>
      <c r="D227" s="2">
        <v>5003.44</v>
      </c>
      <c r="E227" s="3">
        <f t="shared" si="1"/>
        <v>10000</v>
      </c>
    </row>
    <row r="228" ht="22.5" customHeight="1">
      <c r="B228" s="2" t="s">
        <v>655</v>
      </c>
      <c r="C228" s="2" t="s">
        <v>263</v>
      </c>
      <c r="D228" s="2">
        <v>5003.75</v>
      </c>
      <c r="E228" s="3">
        <f t="shared" si="1"/>
        <v>10000</v>
      </c>
    </row>
    <row r="229" ht="22.5" customHeight="1">
      <c r="B229" s="2" t="s">
        <v>656</v>
      </c>
      <c r="C229" s="2" t="s">
        <v>263</v>
      </c>
      <c r="D229" s="2">
        <v>5003.61</v>
      </c>
      <c r="E229" s="3">
        <f t="shared" si="1"/>
        <v>10000</v>
      </c>
    </row>
    <row r="230" ht="22.5" customHeight="1">
      <c r="B230" s="2" t="s">
        <v>657</v>
      </c>
      <c r="C230" s="2" t="s">
        <v>263</v>
      </c>
      <c r="D230" s="2">
        <v>5003.44</v>
      </c>
      <c r="E230" s="3">
        <f t="shared" si="1"/>
        <v>10000</v>
      </c>
    </row>
    <row r="231" ht="22.5" customHeight="1">
      <c r="B231" s="2" t="s">
        <v>658</v>
      </c>
      <c r="C231" s="2" t="s">
        <v>263</v>
      </c>
      <c r="D231" s="2">
        <v>5003.5</v>
      </c>
      <c r="E231" s="3">
        <f t="shared" si="1"/>
        <v>10000</v>
      </c>
    </row>
    <row r="232" ht="22.5" customHeight="1">
      <c r="B232" s="2" t="s">
        <v>659</v>
      </c>
      <c r="C232" s="2" t="s">
        <v>263</v>
      </c>
      <c r="D232" s="2">
        <v>5003.51</v>
      </c>
      <c r="E232" s="3">
        <f t="shared" si="1"/>
        <v>10000</v>
      </c>
    </row>
    <row r="233" ht="22.5" customHeight="1">
      <c r="B233" s="2" t="s">
        <v>660</v>
      </c>
      <c r="C233" s="2" t="s">
        <v>263</v>
      </c>
      <c r="D233" s="2">
        <v>5003.87</v>
      </c>
      <c r="E233" s="3">
        <f t="shared" si="1"/>
        <v>10000</v>
      </c>
    </row>
    <row r="234" ht="22.5" customHeight="1">
      <c r="B234" s="2" t="s">
        <v>661</v>
      </c>
      <c r="C234" s="2" t="s">
        <v>263</v>
      </c>
      <c r="D234" s="2">
        <v>5003.81</v>
      </c>
      <c r="E234" s="3">
        <f t="shared" si="1"/>
        <v>10000</v>
      </c>
    </row>
    <row r="235" ht="22.5" customHeight="1">
      <c r="B235" s="2" t="s">
        <v>662</v>
      </c>
      <c r="C235" s="2" t="s">
        <v>263</v>
      </c>
      <c r="D235" s="2">
        <v>5003.68</v>
      </c>
      <c r="E235" s="3">
        <f t="shared" si="1"/>
        <v>10000</v>
      </c>
    </row>
    <row r="236" ht="22.5" customHeight="1">
      <c r="B236" s="2" t="s">
        <v>663</v>
      </c>
      <c r="C236" s="2" t="s">
        <v>263</v>
      </c>
      <c r="D236" s="2">
        <v>5003.73</v>
      </c>
      <c r="E236" s="3">
        <f t="shared" si="1"/>
        <v>10000</v>
      </c>
    </row>
    <row r="237" ht="22.5" customHeight="1">
      <c r="B237" s="2" t="s">
        <v>664</v>
      </c>
      <c r="C237" s="2" t="s">
        <v>263</v>
      </c>
      <c r="D237" s="2">
        <v>5003.44</v>
      </c>
      <c r="E237" s="3">
        <f t="shared" si="1"/>
        <v>10000</v>
      </c>
    </row>
    <row r="238" ht="22.5" customHeight="1">
      <c r="B238" s="2" t="s">
        <v>665</v>
      </c>
      <c r="C238" s="2" t="s">
        <v>263</v>
      </c>
      <c r="D238" s="2">
        <v>5003.75</v>
      </c>
      <c r="E238" s="3">
        <f t="shared" si="1"/>
        <v>10000</v>
      </c>
    </row>
    <row r="239" ht="22.5" customHeight="1">
      <c r="B239" s="2" t="s">
        <v>666</v>
      </c>
      <c r="C239" s="2" t="s">
        <v>263</v>
      </c>
      <c r="D239" s="2">
        <v>5003.76</v>
      </c>
      <c r="E239" s="3">
        <f t="shared" si="1"/>
        <v>10000</v>
      </c>
    </row>
    <row r="240" ht="22.5" customHeight="1">
      <c r="B240" s="2" t="s">
        <v>667</v>
      </c>
      <c r="C240" s="2" t="s">
        <v>263</v>
      </c>
      <c r="D240" s="2">
        <v>5003.8</v>
      </c>
      <c r="E240" s="3">
        <f t="shared" si="1"/>
        <v>10000</v>
      </c>
    </row>
    <row r="241" ht="22.5" customHeight="1">
      <c r="B241" s="2" t="s">
        <v>668</v>
      </c>
      <c r="C241" s="2" t="s">
        <v>263</v>
      </c>
      <c r="D241" s="2">
        <v>5003.81</v>
      </c>
      <c r="E241" s="3">
        <f t="shared" si="1"/>
        <v>10000</v>
      </c>
    </row>
    <row r="242" ht="22.5" customHeight="1">
      <c r="B242" s="2" t="s">
        <v>669</v>
      </c>
      <c r="C242" s="2" t="s">
        <v>263</v>
      </c>
      <c r="D242" s="2">
        <v>5007.05</v>
      </c>
      <c r="E242" s="3">
        <f t="shared" si="1"/>
        <v>10000</v>
      </c>
    </row>
    <row r="243" ht="22.5" customHeight="1">
      <c r="B243" s="2" t="s">
        <v>670</v>
      </c>
      <c r="C243" s="2" t="s">
        <v>263</v>
      </c>
      <c r="D243" s="2">
        <v>5003.8</v>
      </c>
      <c r="E243" s="3">
        <f t="shared" si="1"/>
        <v>10000</v>
      </c>
    </row>
    <row r="244" ht="22.5" customHeight="1">
      <c r="B244" s="2" t="s">
        <v>671</v>
      </c>
      <c r="C244" s="2" t="s">
        <v>263</v>
      </c>
      <c r="D244" s="2">
        <v>5003.81</v>
      </c>
      <c r="E244" s="3">
        <f t="shared" si="1"/>
        <v>10000</v>
      </c>
    </row>
    <row r="245" ht="22.5" customHeight="1">
      <c r="B245" s="2" t="s">
        <v>672</v>
      </c>
      <c r="C245" s="2" t="s">
        <v>263</v>
      </c>
      <c r="D245" s="2">
        <v>5003.83</v>
      </c>
      <c r="E245" s="3">
        <f t="shared" si="1"/>
        <v>10000</v>
      </c>
    </row>
    <row r="246" ht="22.5" customHeight="1">
      <c r="B246" s="2" t="s">
        <v>673</v>
      </c>
      <c r="C246" s="2" t="s">
        <v>263</v>
      </c>
      <c r="D246" s="2">
        <v>5003.85</v>
      </c>
      <c r="E246" s="3">
        <f t="shared" si="1"/>
        <v>10000</v>
      </c>
    </row>
    <row r="247" ht="22.5" customHeight="1">
      <c r="B247" s="2" t="s">
        <v>674</v>
      </c>
      <c r="C247" s="2" t="s">
        <v>263</v>
      </c>
      <c r="D247" s="2">
        <v>5003.84</v>
      </c>
      <c r="E247" s="3">
        <f t="shared" si="1"/>
        <v>10000</v>
      </c>
    </row>
    <row r="248" ht="22.5" customHeight="1">
      <c r="B248" s="2" t="s">
        <v>675</v>
      </c>
      <c r="C248" s="2" t="s">
        <v>263</v>
      </c>
      <c r="D248" s="2">
        <v>5003.79</v>
      </c>
      <c r="E248" s="3">
        <f t="shared" si="1"/>
        <v>10000</v>
      </c>
    </row>
    <row r="249" ht="22.5" customHeight="1">
      <c r="B249" s="2" t="s">
        <v>676</v>
      </c>
      <c r="C249" s="2" t="s">
        <v>263</v>
      </c>
      <c r="D249" s="2">
        <v>5003.74</v>
      </c>
      <c r="E249" s="3">
        <f t="shared" si="1"/>
        <v>10000</v>
      </c>
    </row>
    <row r="250" ht="22.5" customHeight="1">
      <c r="B250" s="2" t="s">
        <v>677</v>
      </c>
      <c r="C250" s="2" t="s">
        <v>263</v>
      </c>
      <c r="D250" s="2">
        <v>5003.84</v>
      </c>
      <c r="E250" s="3">
        <f t="shared" si="1"/>
        <v>10000</v>
      </c>
    </row>
    <row r="251" ht="22.5" customHeight="1">
      <c r="B251" s="2" t="s">
        <v>678</v>
      </c>
      <c r="C251" s="2" t="s">
        <v>263</v>
      </c>
      <c r="D251" s="2">
        <v>5003.5</v>
      </c>
      <c r="E251" s="3">
        <f t="shared" si="1"/>
        <v>10000</v>
      </c>
    </row>
    <row r="252" ht="22.5" customHeight="1">
      <c r="B252" s="2" t="s">
        <v>679</v>
      </c>
      <c r="C252" s="2" t="s">
        <v>263</v>
      </c>
      <c r="D252" s="2">
        <v>5003.57</v>
      </c>
      <c r="E252" s="3">
        <f t="shared" si="1"/>
        <v>10000</v>
      </c>
    </row>
    <row r="253" ht="22.5" customHeight="1">
      <c r="B253" s="2" t="s">
        <v>680</v>
      </c>
      <c r="C253" s="2" t="s">
        <v>263</v>
      </c>
      <c r="D253" s="2">
        <v>5003.79</v>
      </c>
      <c r="E253" s="3">
        <f t="shared" si="1"/>
        <v>10000</v>
      </c>
    </row>
    <row r="254" ht="22.5" customHeight="1">
      <c r="B254" s="2" t="s">
        <v>681</v>
      </c>
      <c r="C254" s="2" t="s">
        <v>263</v>
      </c>
      <c r="D254" s="2">
        <v>5003.81</v>
      </c>
      <c r="E254" s="3">
        <f t="shared" si="1"/>
        <v>10000</v>
      </c>
    </row>
    <row r="255" ht="22.5" customHeight="1">
      <c r="B255" s="2" t="s">
        <v>682</v>
      </c>
      <c r="C255" s="2" t="s">
        <v>263</v>
      </c>
      <c r="D255" s="2">
        <v>5003.65</v>
      </c>
      <c r="E255" s="3">
        <f t="shared" si="1"/>
        <v>10000</v>
      </c>
    </row>
    <row r="256" ht="22.5" customHeight="1">
      <c r="B256" s="2" t="s">
        <v>683</v>
      </c>
      <c r="C256" s="2" t="s">
        <v>263</v>
      </c>
      <c r="D256" s="2">
        <v>5003.61</v>
      </c>
      <c r="E256" s="3">
        <f t="shared" si="1"/>
        <v>10000</v>
      </c>
    </row>
    <row r="257" ht="22.5" customHeight="1">
      <c r="B257" s="2" t="s">
        <v>684</v>
      </c>
      <c r="C257" s="2" t="s">
        <v>263</v>
      </c>
      <c r="D257" s="2">
        <v>5003.81</v>
      </c>
      <c r="E257" s="3">
        <f t="shared" si="1"/>
        <v>10000</v>
      </c>
    </row>
    <row r="258" ht="22.5" customHeight="1">
      <c r="B258" s="2" t="s">
        <v>685</v>
      </c>
      <c r="C258" s="2" t="s">
        <v>263</v>
      </c>
      <c r="D258" s="2">
        <v>5003.83</v>
      </c>
      <c r="E258" s="3">
        <f t="shared" si="1"/>
        <v>10000</v>
      </c>
    </row>
    <row r="259" ht="22.5" customHeight="1">
      <c r="B259" s="2" t="s">
        <v>686</v>
      </c>
      <c r="C259" s="2" t="s">
        <v>263</v>
      </c>
      <c r="D259" s="2">
        <v>5003.78</v>
      </c>
      <c r="E259" s="3">
        <f t="shared" si="1"/>
        <v>10000</v>
      </c>
    </row>
    <row r="260" ht="22.5" customHeight="1">
      <c r="B260" s="2" t="s">
        <v>687</v>
      </c>
      <c r="C260" s="2" t="s">
        <v>263</v>
      </c>
      <c r="D260" s="2">
        <v>5003.92</v>
      </c>
      <c r="E260" s="3">
        <f t="shared" si="1"/>
        <v>10000</v>
      </c>
    </row>
    <row r="261" ht="22.5" customHeight="1">
      <c r="B261" s="2" t="s">
        <v>688</v>
      </c>
      <c r="C261" s="2" t="s">
        <v>263</v>
      </c>
      <c r="D261" s="2">
        <v>5003.79</v>
      </c>
      <c r="E261" s="3">
        <f t="shared" si="1"/>
        <v>10000</v>
      </c>
    </row>
    <row r="262" ht="22.5" customHeight="1">
      <c r="B262" s="2" t="s">
        <v>689</v>
      </c>
      <c r="C262" s="2" t="s">
        <v>263</v>
      </c>
      <c r="D262" s="2">
        <v>5003.79</v>
      </c>
      <c r="E262" s="3">
        <f t="shared" si="1"/>
        <v>10000</v>
      </c>
    </row>
    <row r="263" ht="22.5" customHeight="1">
      <c r="B263" s="2" t="s">
        <v>690</v>
      </c>
      <c r="C263" s="2" t="s">
        <v>263</v>
      </c>
      <c r="D263" s="2">
        <v>5003.42</v>
      </c>
      <c r="E263" s="3">
        <f t="shared" si="1"/>
        <v>10000</v>
      </c>
    </row>
    <row r="264" ht="22.5" customHeight="1">
      <c r="B264" s="2" t="s">
        <v>691</v>
      </c>
      <c r="C264" s="2" t="s">
        <v>263</v>
      </c>
      <c r="D264" s="2">
        <v>5003.81</v>
      </c>
      <c r="E264" s="3">
        <f t="shared" si="1"/>
        <v>10000</v>
      </c>
    </row>
    <row r="265" ht="22.5" customHeight="1">
      <c r="B265" s="2" t="s">
        <v>692</v>
      </c>
      <c r="C265" s="2" t="s">
        <v>263</v>
      </c>
      <c r="D265" s="2">
        <v>5003.86</v>
      </c>
      <c r="E265" s="3">
        <f t="shared" si="1"/>
        <v>10000</v>
      </c>
    </row>
    <row r="266" ht="22.5" customHeight="1">
      <c r="B266" s="2" t="s">
        <v>693</v>
      </c>
      <c r="C266" s="2" t="s">
        <v>263</v>
      </c>
      <c r="D266" s="2">
        <v>5003.78</v>
      </c>
      <c r="E266" s="3">
        <f t="shared" si="1"/>
        <v>10000</v>
      </c>
    </row>
    <row r="267" ht="22.5" customHeight="1">
      <c r="B267" s="2" t="s">
        <v>694</v>
      </c>
      <c r="C267" s="2" t="s">
        <v>263</v>
      </c>
      <c r="D267" s="2">
        <v>5003.8</v>
      </c>
      <c r="E267" s="3">
        <f t="shared" si="1"/>
        <v>10000</v>
      </c>
    </row>
    <row r="268" ht="22.5" customHeight="1">
      <c r="B268" s="2" t="s">
        <v>695</v>
      </c>
      <c r="C268" s="2" t="s">
        <v>263</v>
      </c>
      <c r="D268" s="2">
        <v>5003.82</v>
      </c>
      <c r="E268" s="3">
        <f t="shared" si="1"/>
        <v>10000</v>
      </c>
    </row>
    <row r="269" ht="22.5" customHeight="1">
      <c r="B269" s="2" t="s">
        <v>696</v>
      </c>
      <c r="C269" s="2" t="s">
        <v>263</v>
      </c>
      <c r="D269" s="2">
        <v>5003.75</v>
      </c>
      <c r="E269" s="3">
        <f t="shared" si="1"/>
        <v>10000</v>
      </c>
    </row>
    <row r="270" ht="22.5" customHeight="1">
      <c r="B270" s="2" t="s">
        <v>697</v>
      </c>
      <c r="C270" s="2" t="s">
        <v>263</v>
      </c>
      <c r="D270" s="2">
        <v>5003.81</v>
      </c>
      <c r="E270" s="3">
        <f t="shared" si="1"/>
        <v>10000</v>
      </c>
    </row>
    <row r="271" ht="22.5" customHeight="1">
      <c r="B271" s="2" t="s">
        <v>698</v>
      </c>
      <c r="C271" s="2" t="s">
        <v>263</v>
      </c>
      <c r="D271" s="2">
        <v>5003.77</v>
      </c>
      <c r="E271" s="3">
        <f t="shared" si="1"/>
        <v>10000</v>
      </c>
    </row>
    <row r="272" ht="22.5" customHeight="1">
      <c r="B272" s="2" t="s">
        <v>699</v>
      </c>
      <c r="C272" s="2" t="s">
        <v>263</v>
      </c>
      <c r="D272" s="2">
        <v>5003.72</v>
      </c>
      <c r="E272" s="3">
        <f t="shared" si="1"/>
        <v>10000</v>
      </c>
    </row>
    <row r="273" ht="22.5" customHeight="1">
      <c r="B273" s="2" t="s">
        <v>700</v>
      </c>
      <c r="C273" s="2" t="s">
        <v>263</v>
      </c>
      <c r="D273" s="2">
        <v>5003.67</v>
      </c>
      <c r="E273" s="3">
        <f t="shared" si="1"/>
        <v>10000</v>
      </c>
    </row>
    <row r="274" ht="22.5" customHeight="1">
      <c r="B274" s="2" t="s">
        <v>701</v>
      </c>
      <c r="C274" s="2" t="s">
        <v>263</v>
      </c>
      <c r="D274" s="2">
        <v>5003.63</v>
      </c>
      <c r="E274" s="3">
        <f t="shared" si="1"/>
        <v>10000</v>
      </c>
    </row>
    <row r="275" ht="22.5" customHeight="1">
      <c r="B275" s="2" t="s">
        <v>702</v>
      </c>
      <c r="C275" s="2" t="s">
        <v>263</v>
      </c>
      <c r="D275" s="2">
        <v>5003.7</v>
      </c>
      <c r="E275" s="3">
        <f t="shared" si="1"/>
        <v>10000</v>
      </c>
    </row>
    <row r="276" ht="22.5" customHeight="1">
      <c r="B276" s="2" t="s">
        <v>703</v>
      </c>
      <c r="C276" s="2" t="s">
        <v>263</v>
      </c>
      <c r="D276" s="2">
        <v>5003.81</v>
      </c>
      <c r="E276" s="3">
        <f t="shared" si="1"/>
        <v>10000</v>
      </c>
    </row>
    <row r="277" ht="22.5" customHeight="1">
      <c r="B277" s="2" t="s">
        <v>704</v>
      </c>
      <c r="C277" s="2" t="s">
        <v>263</v>
      </c>
      <c r="D277" s="2">
        <v>5003.78</v>
      </c>
      <c r="E277" s="3">
        <f t="shared" si="1"/>
        <v>10000</v>
      </c>
    </row>
    <row r="278" ht="22.5" customHeight="1">
      <c r="B278" s="2" t="s">
        <v>705</v>
      </c>
      <c r="C278" s="2" t="s">
        <v>263</v>
      </c>
      <c r="D278" s="2">
        <v>5003.68</v>
      </c>
      <c r="E278" s="3">
        <f t="shared" si="1"/>
        <v>10000</v>
      </c>
    </row>
    <row r="279" ht="22.5" customHeight="1">
      <c r="B279" s="2" t="s">
        <v>706</v>
      </c>
      <c r="C279" s="2" t="s">
        <v>263</v>
      </c>
      <c r="D279" s="2">
        <v>5003.8</v>
      </c>
      <c r="E279" s="3">
        <f t="shared" si="1"/>
        <v>10000</v>
      </c>
    </row>
    <row r="280" ht="22.5" customHeight="1">
      <c r="B280" s="2" t="s">
        <v>707</v>
      </c>
      <c r="C280" s="2" t="s">
        <v>263</v>
      </c>
      <c r="D280" s="2">
        <v>5003.71</v>
      </c>
      <c r="E280" s="3">
        <f t="shared" si="1"/>
        <v>10000</v>
      </c>
    </row>
    <row r="281" ht="22.5" customHeight="1">
      <c r="B281" s="2" t="s">
        <v>708</v>
      </c>
      <c r="C281" s="2" t="s">
        <v>263</v>
      </c>
      <c r="D281" s="2">
        <v>5003.79</v>
      </c>
      <c r="E281" s="3">
        <f t="shared" si="1"/>
        <v>10000</v>
      </c>
    </row>
    <row r="282" ht="22.5" customHeight="1">
      <c r="B282" s="2" t="s">
        <v>709</v>
      </c>
      <c r="C282" s="2" t="s">
        <v>263</v>
      </c>
      <c r="D282" s="2">
        <v>5003.89</v>
      </c>
      <c r="E282" s="3">
        <f t="shared" si="1"/>
        <v>10000</v>
      </c>
    </row>
    <row r="283" ht="22.5" customHeight="1">
      <c r="B283" s="2" t="s">
        <v>710</v>
      </c>
      <c r="C283" s="2" t="s">
        <v>263</v>
      </c>
      <c r="D283" s="2">
        <v>5003.75</v>
      </c>
      <c r="E283" s="3">
        <f t="shared" si="1"/>
        <v>10000</v>
      </c>
    </row>
    <row r="284" ht="22.5" customHeight="1">
      <c r="B284" s="2" t="s">
        <v>711</v>
      </c>
      <c r="C284" s="2" t="s">
        <v>263</v>
      </c>
      <c r="D284" s="2">
        <v>5003.82</v>
      </c>
      <c r="E284" s="3">
        <f t="shared" si="1"/>
        <v>10000</v>
      </c>
    </row>
    <row r="285" ht="22.5" customHeight="1">
      <c r="B285" s="2" t="s">
        <v>712</v>
      </c>
      <c r="C285" s="2" t="s">
        <v>263</v>
      </c>
      <c r="D285" s="2">
        <v>5003.52</v>
      </c>
      <c r="E285" s="3">
        <f t="shared" si="1"/>
        <v>10000</v>
      </c>
    </row>
    <row r="286" ht="22.5" customHeight="1">
      <c r="B286" s="2" t="s">
        <v>713</v>
      </c>
      <c r="C286" s="2" t="s">
        <v>263</v>
      </c>
      <c r="D286" s="2">
        <v>5003.73</v>
      </c>
      <c r="E286" s="3">
        <f t="shared" si="1"/>
        <v>10000</v>
      </c>
    </row>
    <row r="287" ht="22.5" customHeight="1">
      <c r="B287" s="2" t="s">
        <v>714</v>
      </c>
      <c r="C287" s="2" t="s">
        <v>263</v>
      </c>
      <c r="D287" s="2">
        <v>5003.88</v>
      </c>
      <c r="E287" s="3">
        <f t="shared" si="1"/>
        <v>10000</v>
      </c>
    </row>
    <row r="288" ht="22.5" customHeight="1">
      <c r="B288" s="2" t="s">
        <v>715</v>
      </c>
      <c r="C288" s="2" t="s">
        <v>263</v>
      </c>
      <c r="D288" s="2">
        <v>5003.77</v>
      </c>
      <c r="E288" s="3">
        <f t="shared" si="1"/>
        <v>10000</v>
      </c>
    </row>
    <row r="289" ht="22.5" customHeight="1">
      <c r="B289" s="2" t="s">
        <v>716</v>
      </c>
      <c r="C289" s="2" t="s">
        <v>263</v>
      </c>
      <c r="D289" s="2">
        <v>5003.79</v>
      </c>
      <c r="E289" s="3">
        <f t="shared" si="1"/>
        <v>10000</v>
      </c>
    </row>
    <row r="290" ht="22.5" customHeight="1">
      <c r="B290" s="2" t="s">
        <v>717</v>
      </c>
      <c r="C290" s="2" t="s">
        <v>263</v>
      </c>
      <c r="D290" s="2">
        <v>5003.38</v>
      </c>
      <c r="E290" s="3">
        <f t="shared" si="1"/>
        <v>10000</v>
      </c>
    </row>
    <row r="291" ht="22.5" customHeight="1">
      <c r="B291" s="2" t="s">
        <v>718</v>
      </c>
      <c r="C291" s="2" t="s">
        <v>263</v>
      </c>
      <c r="D291" s="2">
        <v>5003.59</v>
      </c>
      <c r="E291" s="3">
        <f t="shared" si="1"/>
        <v>10000</v>
      </c>
    </row>
    <row r="292" ht="22.5" customHeight="1">
      <c r="B292" s="2" t="s">
        <v>719</v>
      </c>
      <c r="C292" s="2" t="s">
        <v>263</v>
      </c>
      <c r="D292" s="2">
        <v>5003.89</v>
      </c>
      <c r="E292" s="3">
        <f t="shared" si="1"/>
        <v>10000</v>
      </c>
    </row>
    <row r="293" ht="22.5" customHeight="1">
      <c r="B293" s="2" t="s">
        <v>720</v>
      </c>
      <c r="C293" s="2" t="s">
        <v>263</v>
      </c>
      <c r="D293" s="2">
        <v>5003.77</v>
      </c>
      <c r="E293" s="3">
        <f t="shared" si="1"/>
        <v>10000</v>
      </c>
    </row>
    <row r="294" ht="22.5" customHeight="1">
      <c r="B294" s="2" t="s">
        <v>721</v>
      </c>
      <c r="C294" s="2" t="s">
        <v>263</v>
      </c>
      <c r="D294" s="2">
        <v>5003.8</v>
      </c>
      <c r="E294" s="3">
        <f t="shared" si="1"/>
        <v>10000</v>
      </c>
    </row>
    <row r="295" ht="22.5" customHeight="1">
      <c r="B295" s="2" t="s">
        <v>722</v>
      </c>
      <c r="C295" s="2" t="s">
        <v>263</v>
      </c>
      <c r="D295" s="2">
        <v>5003.71</v>
      </c>
      <c r="E295" s="3">
        <f t="shared" si="1"/>
        <v>10000</v>
      </c>
    </row>
    <row r="296" ht="22.5" customHeight="1">
      <c r="B296" s="2" t="s">
        <v>723</v>
      </c>
      <c r="C296" s="2" t="s">
        <v>263</v>
      </c>
      <c r="D296" s="2">
        <v>5003.83</v>
      </c>
      <c r="E296" s="3">
        <f t="shared" si="1"/>
        <v>10000</v>
      </c>
    </row>
    <row r="297" ht="22.5" customHeight="1">
      <c r="B297" s="2" t="s">
        <v>724</v>
      </c>
      <c r="C297" s="2" t="s">
        <v>263</v>
      </c>
      <c r="D297" s="2">
        <v>5003.78</v>
      </c>
      <c r="E297" s="3">
        <f t="shared" si="1"/>
        <v>10000</v>
      </c>
    </row>
    <row r="298" ht="22.5" customHeight="1">
      <c r="B298" s="2" t="s">
        <v>725</v>
      </c>
      <c r="C298" s="2" t="s">
        <v>263</v>
      </c>
      <c r="D298" s="2">
        <v>5003.78</v>
      </c>
      <c r="E298" s="3">
        <f t="shared" si="1"/>
        <v>10000</v>
      </c>
    </row>
    <row r="299" ht="22.5" customHeight="1">
      <c r="B299" s="2" t="s">
        <v>726</v>
      </c>
      <c r="C299" s="2" t="s">
        <v>263</v>
      </c>
      <c r="D299" s="2">
        <v>5003.83</v>
      </c>
      <c r="E299" s="3">
        <f t="shared" si="1"/>
        <v>10000</v>
      </c>
    </row>
    <row r="300" ht="22.5" customHeight="1">
      <c r="B300" s="2" t="s">
        <v>727</v>
      </c>
      <c r="C300" s="2" t="s">
        <v>263</v>
      </c>
      <c r="D300" s="2">
        <v>5003.78</v>
      </c>
      <c r="E300" s="3">
        <f t="shared" si="1"/>
        <v>10000</v>
      </c>
    </row>
    <row r="301" ht="22.5" customHeight="1">
      <c r="B301" s="2" t="s">
        <v>728</v>
      </c>
      <c r="C301" s="2" t="s">
        <v>263</v>
      </c>
      <c r="D301" s="2">
        <v>5003.83</v>
      </c>
      <c r="E301" s="3">
        <f t="shared" si="1"/>
        <v>10000</v>
      </c>
    </row>
    <row r="302" ht="22.5" customHeight="1">
      <c r="B302" s="2" t="s">
        <v>729</v>
      </c>
      <c r="C302" s="2" t="s">
        <v>263</v>
      </c>
      <c r="D302" s="2">
        <v>5003.7</v>
      </c>
      <c r="E302" s="3">
        <f t="shared" si="1"/>
        <v>10000</v>
      </c>
    </row>
    <row r="303" ht="22.5" customHeight="1">
      <c r="B303" s="2" t="s">
        <v>730</v>
      </c>
      <c r="C303" s="2" t="s">
        <v>263</v>
      </c>
      <c r="D303" s="2">
        <v>5003.7</v>
      </c>
      <c r="E303" s="3">
        <f t="shared" si="1"/>
        <v>10000</v>
      </c>
    </row>
    <row r="304" ht="22.5" customHeight="1">
      <c r="B304" s="2" t="s">
        <v>731</v>
      </c>
      <c r="C304" s="2" t="s">
        <v>263</v>
      </c>
      <c r="D304" s="2">
        <v>5003.63</v>
      </c>
      <c r="E304" s="3">
        <f t="shared" si="1"/>
        <v>10000</v>
      </c>
    </row>
    <row r="305" ht="22.5" customHeight="1">
      <c r="B305" s="2" t="s">
        <v>732</v>
      </c>
      <c r="C305" s="2" t="s">
        <v>263</v>
      </c>
      <c r="D305" s="2">
        <v>5003.78</v>
      </c>
      <c r="E305" s="3">
        <f t="shared" si="1"/>
        <v>10000</v>
      </c>
    </row>
    <row r="306" ht="22.5" customHeight="1">
      <c r="B306" s="2" t="s">
        <v>733</v>
      </c>
      <c r="C306" s="2" t="s">
        <v>263</v>
      </c>
      <c r="D306" s="2">
        <v>5003.71</v>
      </c>
      <c r="E306" s="3">
        <f t="shared" si="1"/>
        <v>10000</v>
      </c>
    </row>
    <row r="307" ht="22.5" customHeight="1">
      <c r="B307" s="2" t="s">
        <v>734</v>
      </c>
      <c r="C307" s="2" t="s">
        <v>263</v>
      </c>
      <c r="D307" s="2">
        <v>5003.82</v>
      </c>
      <c r="E307" s="3">
        <f t="shared" si="1"/>
        <v>10000</v>
      </c>
    </row>
    <row r="308" ht="22.5" customHeight="1">
      <c r="B308" s="2" t="s">
        <v>735</v>
      </c>
      <c r="C308" s="2" t="s">
        <v>263</v>
      </c>
      <c r="D308" s="2">
        <v>5003.82</v>
      </c>
      <c r="E308" s="3">
        <f t="shared" si="1"/>
        <v>10000</v>
      </c>
    </row>
    <row r="309" ht="22.5" customHeight="1">
      <c r="B309" s="2" t="s">
        <v>736</v>
      </c>
      <c r="C309" s="2" t="s">
        <v>263</v>
      </c>
      <c r="D309" s="2">
        <v>5003.73</v>
      </c>
      <c r="E309" s="3">
        <f t="shared" si="1"/>
        <v>10000</v>
      </c>
    </row>
    <row r="310" ht="22.5" customHeight="1">
      <c r="B310" s="2" t="s">
        <v>737</v>
      </c>
      <c r="C310" s="2" t="s">
        <v>263</v>
      </c>
      <c r="D310" s="2">
        <v>5003.81</v>
      </c>
      <c r="E310" s="3">
        <f t="shared" si="1"/>
        <v>10000</v>
      </c>
    </row>
    <row r="311" ht="22.5" customHeight="1">
      <c r="B311" s="2" t="s">
        <v>738</v>
      </c>
      <c r="C311" s="2" t="s">
        <v>263</v>
      </c>
      <c r="D311" s="2">
        <v>5003.83</v>
      </c>
      <c r="E311" s="3">
        <f t="shared" si="1"/>
        <v>10000</v>
      </c>
    </row>
    <row r="312" ht="22.5" customHeight="1">
      <c r="B312" s="2" t="s">
        <v>739</v>
      </c>
      <c r="C312" s="2" t="s">
        <v>263</v>
      </c>
      <c r="D312" s="2">
        <v>5003.77</v>
      </c>
      <c r="E312" s="3">
        <f t="shared" si="1"/>
        <v>10000</v>
      </c>
    </row>
    <row r="313" ht="22.5" customHeight="1">
      <c r="B313" s="2" t="s">
        <v>740</v>
      </c>
      <c r="C313" s="2" t="s">
        <v>263</v>
      </c>
      <c r="D313" s="2">
        <v>5003.82</v>
      </c>
      <c r="E313" s="3">
        <f t="shared" si="1"/>
        <v>10000</v>
      </c>
    </row>
    <row r="314" ht="22.5" customHeight="1">
      <c r="B314" s="2" t="s">
        <v>741</v>
      </c>
      <c r="C314" s="2" t="s">
        <v>263</v>
      </c>
      <c r="D314" s="2">
        <v>5003.79</v>
      </c>
      <c r="E314" s="3">
        <f t="shared" si="1"/>
        <v>10000</v>
      </c>
    </row>
    <row r="315" ht="22.5" customHeight="1">
      <c r="B315" s="2" t="s">
        <v>742</v>
      </c>
      <c r="C315" s="2" t="s">
        <v>263</v>
      </c>
      <c r="D315" s="2">
        <v>5003.84</v>
      </c>
      <c r="E315" s="3">
        <f t="shared" si="1"/>
        <v>10000</v>
      </c>
    </row>
    <row r="316" ht="22.5" customHeight="1">
      <c r="B316" s="2" t="s">
        <v>743</v>
      </c>
      <c r="C316" s="2" t="s">
        <v>263</v>
      </c>
      <c r="D316" s="2">
        <v>5003.84</v>
      </c>
      <c r="E316" s="3">
        <f t="shared" si="1"/>
        <v>10000</v>
      </c>
    </row>
    <row r="317" ht="22.5" customHeight="1">
      <c r="B317" s="2" t="s">
        <v>744</v>
      </c>
      <c r="C317" s="2" t="s">
        <v>263</v>
      </c>
      <c r="D317" s="2">
        <v>5003.81</v>
      </c>
      <c r="E317" s="3">
        <f t="shared" si="1"/>
        <v>10000</v>
      </c>
    </row>
    <row r="318" ht="22.5" customHeight="1">
      <c r="B318" s="2" t="s">
        <v>745</v>
      </c>
      <c r="C318" s="2" t="s">
        <v>263</v>
      </c>
      <c r="D318" s="2">
        <v>5003.43</v>
      </c>
      <c r="E318" s="3">
        <f t="shared" si="1"/>
        <v>10000</v>
      </c>
    </row>
    <row r="319" ht="22.5" customHeight="1">
      <c r="B319" s="2" t="s">
        <v>746</v>
      </c>
      <c r="C319" s="2" t="s">
        <v>263</v>
      </c>
      <c r="D319" s="2">
        <v>5003.75</v>
      </c>
      <c r="E319" s="3">
        <f t="shared" si="1"/>
        <v>10000</v>
      </c>
    </row>
    <row r="320" ht="22.5" customHeight="1">
      <c r="B320" s="2" t="s">
        <v>747</v>
      </c>
      <c r="C320" s="2" t="s">
        <v>263</v>
      </c>
      <c r="D320" s="2">
        <v>5003.83</v>
      </c>
      <c r="E320" s="3">
        <f t="shared" si="1"/>
        <v>10000</v>
      </c>
    </row>
    <row r="321" ht="22.5" customHeight="1">
      <c r="B321" s="2" t="s">
        <v>748</v>
      </c>
      <c r="C321" s="2" t="s">
        <v>263</v>
      </c>
      <c r="D321" s="2">
        <v>5003.81</v>
      </c>
      <c r="E321" s="3">
        <f t="shared" si="1"/>
        <v>10000</v>
      </c>
    </row>
    <row r="322" ht="22.5" customHeight="1">
      <c r="B322" s="2" t="s">
        <v>749</v>
      </c>
      <c r="C322" s="2" t="s">
        <v>263</v>
      </c>
      <c r="D322" s="2">
        <v>5003.82</v>
      </c>
      <c r="E322" s="3">
        <f t="shared" si="1"/>
        <v>10000</v>
      </c>
    </row>
    <row r="323" ht="22.5" customHeight="1">
      <c r="B323" s="2" t="s">
        <v>750</v>
      </c>
      <c r="C323" s="2" t="s">
        <v>263</v>
      </c>
      <c r="D323" s="2">
        <v>5003.84</v>
      </c>
      <c r="E323" s="3">
        <f t="shared" si="1"/>
        <v>10000</v>
      </c>
    </row>
    <row r="324" ht="22.5" customHeight="1">
      <c r="B324" s="2" t="s">
        <v>751</v>
      </c>
      <c r="C324" s="2" t="s">
        <v>263</v>
      </c>
      <c r="D324" s="2">
        <v>5003.8</v>
      </c>
      <c r="E324" s="3">
        <f t="shared" si="1"/>
        <v>10000</v>
      </c>
    </row>
    <row r="325" ht="22.5" customHeight="1">
      <c r="B325" s="2" t="s">
        <v>752</v>
      </c>
      <c r="C325" s="2" t="s">
        <v>263</v>
      </c>
      <c r="D325" s="2">
        <v>5003.83</v>
      </c>
      <c r="E325" s="3">
        <f t="shared" si="1"/>
        <v>10000</v>
      </c>
    </row>
    <row r="326" ht="22.5" customHeight="1">
      <c r="B326" s="2" t="s">
        <v>753</v>
      </c>
      <c r="C326" s="2" t="s">
        <v>263</v>
      </c>
      <c r="D326" s="2">
        <v>5003.81</v>
      </c>
      <c r="E326" s="3">
        <f t="shared" si="1"/>
        <v>10000</v>
      </c>
    </row>
    <row r="327" ht="22.5" customHeight="1">
      <c r="B327" s="2" t="s">
        <v>754</v>
      </c>
      <c r="C327" s="2" t="s">
        <v>263</v>
      </c>
      <c r="D327" s="2">
        <v>5003.79</v>
      </c>
      <c r="E327" s="3">
        <f t="shared" si="1"/>
        <v>10000</v>
      </c>
    </row>
    <row r="328" ht="22.5" customHeight="1">
      <c r="B328" s="2" t="s">
        <v>755</v>
      </c>
      <c r="C328" s="2" t="s">
        <v>263</v>
      </c>
      <c r="D328" s="2">
        <v>5003.82</v>
      </c>
      <c r="E328" s="3">
        <f t="shared" si="1"/>
        <v>10000</v>
      </c>
    </row>
    <row r="329" ht="22.5" customHeight="1">
      <c r="B329" s="2" t="s">
        <v>756</v>
      </c>
      <c r="C329" s="2" t="s">
        <v>263</v>
      </c>
      <c r="D329" s="2">
        <v>5003.87</v>
      </c>
      <c r="E329" s="3">
        <f t="shared" si="1"/>
        <v>10000</v>
      </c>
    </row>
    <row r="330" ht="22.5" customHeight="1">
      <c r="B330" s="2" t="s">
        <v>757</v>
      </c>
      <c r="C330" s="2" t="s">
        <v>263</v>
      </c>
      <c r="D330" s="2">
        <v>5003.83</v>
      </c>
      <c r="E330" s="3">
        <f t="shared" si="1"/>
        <v>10000</v>
      </c>
    </row>
    <row r="331" ht="22.5" customHeight="1">
      <c r="B331" s="2" t="s">
        <v>758</v>
      </c>
      <c r="C331" s="2" t="s">
        <v>263</v>
      </c>
      <c r="D331" s="2">
        <v>5003.89</v>
      </c>
      <c r="E331" s="3">
        <f t="shared" si="1"/>
        <v>10000</v>
      </c>
    </row>
    <row r="332" ht="22.5" customHeight="1">
      <c r="B332" s="2" t="s">
        <v>759</v>
      </c>
      <c r="C332" s="2" t="s">
        <v>263</v>
      </c>
      <c r="D332" s="2">
        <v>5003.8</v>
      </c>
      <c r="E332" s="3">
        <f t="shared" si="1"/>
        <v>10000</v>
      </c>
    </row>
    <row r="333" ht="22.5" customHeight="1">
      <c r="B333" s="2" t="s">
        <v>760</v>
      </c>
      <c r="C333" s="2" t="s">
        <v>263</v>
      </c>
      <c r="D333" s="2">
        <v>5003.88</v>
      </c>
      <c r="E333" s="3">
        <f t="shared" si="1"/>
        <v>10000</v>
      </c>
    </row>
    <row r="334" ht="22.5" customHeight="1">
      <c r="B334" s="2" t="s">
        <v>761</v>
      </c>
      <c r="C334" s="2" t="s">
        <v>263</v>
      </c>
      <c r="D334" s="2">
        <v>5003.75</v>
      </c>
      <c r="E334" s="3">
        <f t="shared" si="1"/>
        <v>10000</v>
      </c>
    </row>
    <row r="335" ht="22.5" customHeight="1">
      <c r="B335" s="2" t="s">
        <v>762</v>
      </c>
      <c r="C335" s="2" t="s">
        <v>263</v>
      </c>
      <c r="D335" s="2">
        <v>5003.44</v>
      </c>
      <c r="E335" s="3">
        <f t="shared" si="1"/>
        <v>10000</v>
      </c>
    </row>
    <row r="336" ht="22.5" customHeight="1">
      <c r="B336" s="2" t="s">
        <v>763</v>
      </c>
      <c r="C336" s="2" t="s">
        <v>263</v>
      </c>
      <c r="D336" s="2">
        <v>5003.41</v>
      </c>
      <c r="E336" s="3">
        <f t="shared" si="1"/>
        <v>10000</v>
      </c>
    </row>
    <row r="337" ht="22.5" customHeight="1">
      <c r="B337" s="2" t="s">
        <v>764</v>
      </c>
      <c r="C337" s="2" t="s">
        <v>263</v>
      </c>
      <c r="D337" s="2">
        <v>5003.84</v>
      </c>
      <c r="E337" s="3">
        <f t="shared" si="1"/>
        <v>10000</v>
      </c>
    </row>
    <row r="338" ht="22.5" customHeight="1">
      <c r="B338" s="2" t="s">
        <v>765</v>
      </c>
      <c r="C338" s="2" t="s">
        <v>263</v>
      </c>
      <c r="D338" s="2">
        <v>5003.84</v>
      </c>
      <c r="E338" s="3">
        <f t="shared" si="1"/>
        <v>10000</v>
      </c>
    </row>
    <row r="339" ht="22.5" customHeight="1">
      <c r="B339" s="2" t="s">
        <v>766</v>
      </c>
      <c r="C339" s="2" t="s">
        <v>263</v>
      </c>
      <c r="D339" s="2">
        <v>5003.74</v>
      </c>
      <c r="E339" s="3">
        <f t="shared" si="1"/>
        <v>10000</v>
      </c>
    </row>
    <row r="340" ht="22.5" customHeight="1">
      <c r="B340" s="2" t="s">
        <v>767</v>
      </c>
      <c r="C340" s="2" t="s">
        <v>263</v>
      </c>
      <c r="D340" s="2">
        <v>5003.85</v>
      </c>
      <c r="E340" s="3">
        <f t="shared" si="1"/>
        <v>10000</v>
      </c>
    </row>
    <row r="341" ht="22.5" customHeight="1">
      <c r="B341" s="2" t="s">
        <v>768</v>
      </c>
      <c r="C341" s="2" t="s">
        <v>263</v>
      </c>
      <c r="D341" s="2">
        <v>5003.82</v>
      </c>
      <c r="E341" s="3">
        <f t="shared" si="1"/>
        <v>10000</v>
      </c>
    </row>
    <row r="342" ht="22.5" customHeight="1">
      <c r="B342" s="2" t="s">
        <v>769</v>
      </c>
      <c r="C342" s="2" t="s">
        <v>263</v>
      </c>
      <c r="D342" s="2">
        <v>5003.66</v>
      </c>
      <c r="E342" s="3">
        <f t="shared" si="1"/>
        <v>10000</v>
      </c>
    </row>
    <row r="343" ht="22.5" customHeight="1">
      <c r="B343" s="2" t="s">
        <v>770</v>
      </c>
      <c r="C343" s="2" t="s">
        <v>263</v>
      </c>
      <c r="D343" s="2">
        <v>5003.63</v>
      </c>
      <c r="E343" s="3">
        <f t="shared" si="1"/>
        <v>10000</v>
      </c>
    </row>
    <row r="344" ht="22.5" customHeight="1">
      <c r="B344" s="2" t="s">
        <v>771</v>
      </c>
      <c r="C344" s="2" t="s">
        <v>263</v>
      </c>
      <c r="D344" s="2">
        <v>5003.84</v>
      </c>
      <c r="E344" s="3">
        <f t="shared" si="1"/>
        <v>10000</v>
      </c>
    </row>
    <row r="345" ht="22.5" customHeight="1">
      <c r="B345" s="2" t="s">
        <v>772</v>
      </c>
      <c r="C345" s="2" t="s">
        <v>263</v>
      </c>
      <c r="D345" s="2">
        <v>5003.91</v>
      </c>
      <c r="E345" s="3">
        <f t="shared" si="1"/>
        <v>10000</v>
      </c>
    </row>
    <row r="346" ht="22.5" customHeight="1">
      <c r="B346" s="2" t="s">
        <v>773</v>
      </c>
      <c r="C346" s="2" t="s">
        <v>263</v>
      </c>
      <c r="D346" s="2">
        <v>5003.82</v>
      </c>
      <c r="E346" s="3">
        <f t="shared" si="1"/>
        <v>10000</v>
      </c>
    </row>
    <row r="347" ht="22.5" customHeight="1">
      <c r="B347" s="2" t="s">
        <v>774</v>
      </c>
      <c r="C347" s="2" t="s">
        <v>263</v>
      </c>
      <c r="D347" s="2">
        <v>5003.79</v>
      </c>
      <c r="E347" s="3">
        <f t="shared" si="1"/>
        <v>10000</v>
      </c>
    </row>
    <row r="348" ht="22.5" customHeight="1">
      <c r="B348" s="2" t="s">
        <v>775</v>
      </c>
      <c r="C348" s="2" t="s">
        <v>263</v>
      </c>
      <c r="D348" s="2">
        <v>5003.87</v>
      </c>
      <c r="E348" s="3">
        <f t="shared" si="1"/>
        <v>10000</v>
      </c>
    </row>
    <row r="349" ht="22.5" customHeight="1">
      <c r="B349" s="2" t="s">
        <v>776</v>
      </c>
      <c r="C349" s="2" t="s">
        <v>263</v>
      </c>
      <c r="D349" s="2">
        <v>5003.78</v>
      </c>
      <c r="E349" s="3">
        <f t="shared" si="1"/>
        <v>10000</v>
      </c>
    </row>
    <row r="350" ht="22.5" customHeight="1">
      <c r="B350" s="2" t="s">
        <v>777</v>
      </c>
      <c r="C350" s="2" t="s">
        <v>263</v>
      </c>
      <c r="D350" s="2">
        <v>5003.29</v>
      </c>
      <c r="E350" s="3">
        <f t="shared" si="1"/>
        <v>10000</v>
      </c>
    </row>
    <row r="351" ht="22.5" customHeight="1">
      <c r="B351" s="2" t="s">
        <v>778</v>
      </c>
      <c r="C351" s="2" t="s">
        <v>263</v>
      </c>
      <c r="D351" s="2">
        <v>5003.8</v>
      </c>
      <c r="E351" s="3">
        <f t="shared" si="1"/>
        <v>10000</v>
      </c>
    </row>
    <row r="352" ht="22.5" customHeight="1">
      <c r="B352" s="2" t="s">
        <v>779</v>
      </c>
      <c r="C352" s="2" t="s">
        <v>263</v>
      </c>
      <c r="D352" s="2">
        <v>5003.71</v>
      </c>
      <c r="E352" s="3">
        <f t="shared" si="1"/>
        <v>10000</v>
      </c>
    </row>
    <row r="353" ht="22.5" customHeight="1">
      <c r="B353" s="2" t="s">
        <v>780</v>
      </c>
      <c r="C353" s="2" t="s">
        <v>263</v>
      </c>
      <c r="D353" s="2">
        <v>5004.01</v>
      </c>
      <c r="E353" s="3">
        <f t="shared" si="1"/>
        <v>10000</v>
      </c>
    </row>
    <row r="354" ht="22.5" customHeight="1">
      <c r="B354" s="2" t="s">
        <v>781</v>
      </c>
      <c r="C354" s="2" t="s">
        <v>263</v>
      </c>
      <c r="D354" s="2">
        <v>5003.83</v>
      </c>
      <c r="E354" s="3">
        <f t="shared" si="1"/>
        <v>10000</v>
      </c>
    </row>
    <row r="355" ht="22.5" customHeight="1">
      <c r="B355" s="2" t="s">
        <v>782</v>
      </c>
      <c r="C355" s="2" t="s">
        <v>263</v>
      </c>
      <c r="D355" s="2">
        <v>5003.77</v>
      </c>
      <c r="E355" s="3">
        <f t="shared" si="1"/>
        <v>10000</v>
      </c>
    </row>
    <row r="356" ht="22.5" customHeight="1">
      <c r="B356" s="2" t="s">
        <v>783</v>
      </c>
      <c r="C356" s="2" t="s">
        <v>263</v>
      </c>
      <c r="D356" s="2">
        <v>5003.38</v>
      </c>
      <c r="E356" s="3">
        <f t="shared" si="1"/>
        <v>10000</v>
      </c>
    </row>
    <row r="357" ht="22.5" customHeight="1">
      <c r="B357" s="2" t="s">
        <v>784</v>
      </c>
      <c r="C357" s="2" t="s">
        <v>263</v>
      </c>
      <c r="D357" s="2">
        <v>5003.56</v>
      </c>
      <c r="E357" s="3">
        <f t="shared" si="1"/>
        <v>10000</v>
      </c>
    </row>
    <row r="358" ht="22.5" customHeight="1">
      <c r="B358" s="2" t="s">
        <v>785</v>
      </c>
      <c r="C358" s="2" t="s">
        <v>263</v>
      </c>
      <c r="D358" s="2">
        <v>5003.9</v>
      </c>
      <c r="E358" s="3">
        <f t="shared" si="1"/>
        <v>10000</v>
      </c>
    </row>
    <row r="359" ht="22.5" customHeight="1">
      <c r="B359" s="2" t="s">
        <v>786</v>
      </c>
      <c r="C359" s="2" t="s">
        <v>263</v>
      </c>
      <c r="D359" s="2">
        <v>5003.88</v>
      </c>
      <c r="E359" s="3">
        <f t="shared" si="1"/>
        <v>10000</v>
      </c>
    </row>
    <row r="360" ht="22.5" customHeight="1">
      <c r="B360" s="2" t="s">
        <v>787</v>
      </c>
      <c r="C360" s="2" t="s">
        <v>263</v>
      </c>
      <c r="D360" s="2">
        <v>5003.75</v>
      </c>
      <c r="E360" s="3">
        <f t="shared" si="1"/>
        <v>10000</v>
      </c>
    </row>
    <row r="361" ht="22.5" customHeight="1">
      <c r="B361" s="2" t="s">
        <v>788</v>
      </c>
      <c r="C361" s="2" t="s">
        <v>263</v>
      </c>
      <c r="D361" s="2">
        <v>5003.81</v>
      </c>
      <c r="E361" s="3">
        <f t="shared" si="1"/>
        <v>10000</v>
      </c>
    </row>
    <row r="362" ht="22.5" customHeight="1">
      <c r="B362" s="2" t="s">
        <v>789</v>
      </c>
      <c r="C362" s="2" t="s">
        <v>263</v>
      </c>
      <c r="D362" s="2">
        <v>5003.95</v>
      </c>
      <c r="E362" s="3">
        <f t="shared" si="1"/>
        <v>10000</v>
      </c>
    </row>
    <row r="363" ht="22.5" customHeight="1">
      <c r="B363" s="2" t="s">
        <v>790</v>
      </c>
      <c r="C363" s="2" t="s">
        <v>263</v>
      </c>
      <c r="D363" s="2">
        <v>5003.88</v>
      </c>
      <c r="E363" s="3">
        <f t="shared" si="1"/>
        <v>10000</v>
      </c>
    </row>
    <row r="364" ht="22.5" customHeight="1">
      <c r="B364" s="2" t="s">
        <v>791</v>
      </c>
      <c r="C364" s="2" t="s">
        <v>263</v>
      </c>
      <c r="D364" s="2">
        <v>5003.74</v>
      </c>
      <c r="E364" s="3">
        <f t="shared" si="1"/>
        <v>10000</v>
      </c>
    </row>
    <row r="365" ht="22.5" customHeight="1">
      <c r="B365" s="2" t="s">
        <v>792</v>
      </c>
      <c r="C365" s="2" t="s">
        <v>263</v>
      </c>
      <c r="D365" s="2">
        <v>5003.87</v>
      </c>
      <c r="E365" s="3">
        <f t="shared" si="1"/>
        <v>10000</v>
      </c>
    </row>
    <row r="366" ht="22.5" customHeight="1">
      <c r="B366" s="2" t="s">
        <v>793</v>
      </c>
      <c r="C366" s="2" t="s">
        <v>263</v>
      </c>
      <c r="D366" s="2">
        <v>5003.88</v>
      </c>
      <c r="E366" s="3">
        <f t="shared" si="1"/>
        <v>10000</v>
      </c>
    </row>
    <row r="367" ht="22.5" customHeight="1">
      <c r="B367" s="2" t="s">
        <v>794</v>
      </c>
      <c r="C367" s="2" t="s">
        <v>263</v>
      </c>
      <c r="D367" s="2">
        <v>5003.89</v>
      </c>
      <c r="E367" s="3">
        <f t="shared" si="1"/>
        <v>10000</v>
      </c>
    </row>
    <row r="368" ht="22.5" customHeight="1">
      <c r="B368" s="2" t="s">
        <v>795</v>
      </c>
      <c r="C368" s="2" t="s">
        <v>263</v>
      </c>
      <c r="D368" s="2">
        <v>5003.84</v>
      </c>
      <c r="E368" s="3">
        <f t="shared" si="1"/>
        <v>10000</v>
      </c>
    </row>
    <row r="369" ht="22.5" customHeight="1">
      <c r="B369" s="2" t="s">
        <v>796</v>
      </c>
      <c r="C369" s="2" t="s">
        <v>263</v>
      </c>
      <c r="D369" s="2">
        <v>5003.78</v>
      </c>
      <c r="E369" s="3">
        <f t="shared" si="1"/>
        <v>10000</v>
      </c>
    </row>
    <row r="370" ht="22.5" customHeight="1">
      <c r="B370" s="2" t="s">
        <v>797</v>
      </c>
      <c r="C370" s="2" t="s">
        <v>263</v>
      </c>
      <c r="D370" s="2">
        <v>5003.88</v>
      </c>
      <c r="E370" s="3">
        <f t="shared" si="1"/>
        <v>10000</v>
      </c>
    </row>
    <row r="371" ht="22.5" customHeight="1">
      <c r="B371" s="2" t="s">
        <v>798</v>
      </c>
      <c r="C371" s="2" t="s">
        <v>263</v>
      </c>
      <c r="D371" s="2">
        <v>5003.84</v>
      </c>
      <c r="E371" s="3">
        <f t="shared" si="1"/>
        <v>10000</v>
      </c>
    </row>
    <row r="372" ht="22.5" customHeight="1">
      <c r="B372" s="2" t="s">
        <v>799</v>
      </c>
      <c r="C372" s="2" t="s">
        <v>263</v>
      </c>
      <c r="D372" s="2">
        <v>5003.89</v>
      </c>
      <c r="E372" s="3">
        <f t="shared" si="1"/>
        <v>10000</v>
      </c>
    </row>
    <row r="373" ht="22.5" customHeight="1">
      <c r="B373" s="2" t="s">
        <v>800</v>
      </c>
      <c r="C373" s="2" t="s">
        <v>263</v>
      </c>
      <c r="D373" s="2">
        <v>5003.89</v>
      </c>
      <c r="E373" s="3">
        <f t="shared" si="1"/>
        <v>10000</v>
      </c>
    </row>
    <row r="374" ht="22.5" customHeight="1">
      <c r="B374" s="2" t="s">
        <v>801</v>
      </c>
      <c r="C374" s="2" t="s">
        <v>263</v>
      </c>
      <c r="D374" s="2">
        <v>5003.86</v>
      </c>
      <c r="E374" s="3">
        <f t="shared" si="1"/>
        <v>10000</v>
      </c>
    </row>
    <row r="375" ht="22.5" customHeight="1">
      <c r="B375" s="2" t="s">
        <v>802</v>
      </c>
      <c r="C375" s="2" t="s">
        <v>263</v>
      </c>
      <c r="D375" s="2">
        <v>5003.82</v>
      </c>
      <c r="E375" s="3">
        <f t="shared" si="1"/>
        <v>10000</v>
      </c>
    </row>
    <row r="376" ht="22.5" customHeight="1">
      <c r="B376" s="2" t="s">
        <v>803</v>
      </c>
      <c r="C376" s="2" t="s">
        <v>263</v>
      </c>
      <c r="D376" s="2">
        <v>5003.79</v>
      </c>
      <c r="E376" s="3">
        <f t="shared" si="1"/>
        <v>10000</v>
      </c>
    </row>
    <row r="377" ht="22.5" customHeight="1">
      <c r="B377" s="2" t="s">
        <v>804</v>
      </c>
      <c r="C377" s="2" t="s">
        <v>263</v>
      </c>
      <c r="D377" s="2">
        <v>5003.88</v>
      </c>
      <c r="E377" s="3">
        <f t="shared" si="1"/>
        <v>10000</v>
      </c>
    </row>
    <row r="378" ht="22.5" customHeight="1">
      <c r="B378" s="2" t="s">
        <v>805</v>
      </c>
      <c r="C378" s="2" t="s">
        <v>263</v>
      </c>
      <c r="D378" s="2">
        <v>5003.91</v>
      </c>
      <c r="E378" s="3">
        <f t="shared" si="1"/>
        <v>10000</v>
      </c>
    </row>
    <row r="379" ht="22.5" customHeight="1">
      <c r="B379" s="2" t="s">
        <v>806</v>
      </c>
      <c r="C379" s="2" t="s">
        <v>263</v>
      </c>
      <c r="D379" s="2">
        <v>5003.85</v>
      </c>
      <c r="E379" s="3">
        <f t="shared" si="1"/>
        <v>10000</v>
      </c>
    </row>
    <row r="380" ht="22.5" customHeight="1">
      <c r="B380" s="2" t="s">
        <v>807</v>
      </c>
      <c r="C380" s="2" t="s">
        <v>263</v>
      </c>
      <c r="D380" s="2">
        <v>5003.9</v>
      </c>
      <c r="E380" s="3">
        <f t="shared" si="1"/>
        <v>10000</v>
      </c>
    </row>
    <row r="381" ht="22.5" customHeight="1">
      <c r="B381" s="2" t="s">
        <v>808</v>
      </c>
      <c r="C381" s="2" t="s">
        <v>263</v>
      </c>
      <c r="D381" s="2">
        <v>5003.82</v>
      </c>
      <c r="E381" s="3">
        <f t="shared" si="1"/>
        <v>10000</v>
      </c>
    </row>
    <row r="382" ht="22.5" customHeight="1">
      <c r="B382" s="2" t="s">
        <v>809</v>
      </c>
      <c r="C382" s="2" t="s">
        <v>263</v>
      </c>
      <c r="D382" s="2">
        <v>5003.79</v>
      </c>
      <c r="E382" s="3">
        <f t="shared" si="1"/>
        <v>10000</v>
      </c>
    </row>
    <row r="383" ht="22.5" customHeight="1">
      <c r="B383" s="2" t="s">
        <v>810</v>
      </c>
      <c r="C383" s="2" t="s">
        <v>263</v>
      </c>
      <c r="D383" s="2">
        <v>5003.48</v>
      </c>
      <c r="E383" s="3">
        <f t="shared" si="1"/>
        <v>10000</v>
      </c>
    </row>
    <row r="384" ht="22.5" customHeight="1">
      <c r="B384" s="2" t="s">
        <v>811</v>
      </c>
      <c r="C384" s="2" t="s">
        <v>263</v>
      </c>
      <c r="D384" s="2">
        <v>5003.83</v>
      </c>
      <c r="E384" s="3">
        <f t="shared" si="1"/>
        <v>10000</v>
      </c>
    </row>
    <row r="385" ht="22.5" customHeight="1">
      <c r="B385" s="2" t="s">
        <v>812</v>
      </c>
      <c r="C385" s="2" t="s">
        <v>263</v>
      </c>
      <c r="D385" s="2">
        <v>5003.84</v>
      </c>
      <c r="E385" s="3">
        <f t="shared" si="1"/>
        <v>10000</v>
      </c>
    </row>
    <row r="386" ht="22.5" customHeight="1">
      <c r="B386" s="2" t="s">
        <v>813</v>
      </c>
      <c r="C386" s="2" t="s">
        <v>263</v>
      </c>
      <c r="D386" s="2">
        <v>5003.87</v>
      </c>
      <c r="E386" s="3">
        <f t="shared" si="1"/>
        <v>10000</v>
      </c>
    </row>
    <row r="387" ht="22.5" customHeight="1">
      <c r="B387" s="2" t="s">
        <v>814</v>
      </c>
      <c r="C387" s="2" t="s">
        <v>263</v>
      </c>
      <c r="D387" s="2">
        <v>5003.87</v>
      </c>
      <c r="E387" s="3">
        <f t="shared" si="1"/>
        <v>10000</v>
      </c>
    </row>
    <row r="388" ht="22.5" customHeight="1">
      <c r="B388" s="2" t="s">
        <v>815</v>
      </c>
      <c r="C388" s="2" t="s">
        <v>263</v>
      </c>
      <c r="D388" s="2">
        <v>5003.81</v>
      </c>
      <c r="E388" s="3">
        <f t="shared" si="1"/>
        <v>10000</v>
      </c>
    </row>
    <row r="389" ht="22.5" customHeight="1">
      <c r="B389" s="2" t="s">
        <v>816</v>
      </c>
      <c r="C389" s="2" t="s">
        <v>263</v>
      </c>
      <c r="D389" s="2">
        <v>5003.88</v>
      </c>
      <c r="E389" s="3">
        <f t="shared" si="1"/>
        <v>10000</v>
      </c>
    </row>
    <row r="390" ht="22.5" customHeight="1">
      <c r="B390" s="2" t="s">
        <v>817</v>
      </c>
      <c r="C390" s="2" t="s">
        <v>263</v>
      </c>
      <c r="D390" s="2">
        <v>5003.78</v>
      </c>
      <c r="E390" s="3">
        <f t="shared" si="1"/>
        <v>10000</v>
      </c>
    </row>
    <row r="391" ht="22.5" customHeight="1">
      <c r="B391" s="2" t="s">
        <v>818</v>
      </c>
      <c r="C391" s="2" t="s">
        <v>263</v>
      </c>
      <c r="D391" s="2">
        <v>5003.77</v>
      </c>
      <c r="E391" s="3">
        <f t="shared" si="1"/>
        <v>10000</v>
      </c>
    </row>
    <row r="392" ht="22.5" customHeight="1">
      <c r="B392" s="2" t="s">
        <v>819</v>
      </c>
      <c r="C392" s="2" t="s">
        <v>263</v>
      </c>
      <c r="D392" s="2">
        <v>5003.78</v>
      </c>
      <c r="E392" s="3">
        <f t="shared" si="1"/>
        <v>10000</v>
      </c>
    </row>
    <row r="393" ht="22.5" customHeight="1">
      <c r="B393" s="2" t="s">
        <v>820</v>
      </c>
      <c r="C393" s="2" t="s">
        <v>263</v>
      </c>
      <c r="D393" s="2">
        <v>5003.75</v>
      </c>
      <c r="E393" s="3">
        <f t="shared" si="1"/>
        <v>10000</v>
      </c>
    </row>
    <row r="394" ht="22.5" customHeight="1">
      <c r="B394" s="2" t="s">
        <v>821</v>
      </c>
      <c r="C394" s="2" t="s">
        <v>263</v>
      </c>
      <c r="D394" s="2">
        <v>5003.66</v>
      </c>
      <c r="E394" s="3">
        <f t="shared" si="1"/>
        <v>10000</v>
      </c>
    </row>
    <row r="395" ht="22.5" customHeight="1">
      <c r="B395" s="2" t="s">
        <v>822</v>
      </c>
      <c r="C395" s="2" t="s">
        <v>263</v>
      </c>
      <c r="D395" s="2">
        <v>5003.77</v>
      </c>
      <c r="E395" s="3">
        <f t="shared" si="1"/>
        <v>10000</v>
      </c>
    </row>
    <row r="396" ht="22.5" customHeight="1">
      <c r="B396" s="2" t="s">
        <v>823</v>
      </c>
      <c r="C396" s="2" t="s">
        <v>263</v>
      </c>
      <c r="D396" s="2">
        <v>5003.78</v>
      </c>
      <c r="E396" s="3">
        <f t="shared" si="1"/>
        <v>10000</v>
      </c>
    </row>
    <row r="397" ht="22.5" customHeight="1">
      <c r="B397" s="2" t="s">
        <v>824</v>
      </c>
      <c r="C397" s="2" t="s">
        <v>263</v>
      </c>
      <c r="D397" s="2">
        <v>5003.46</v>
      </c>
      <c r="E397" s="3">
        <f t="shared" si="1"/>
        <v>10000</v>
      </c>
    </row>
    <row r="398" ht="22.5" customHeight="1">
      <c r="B398" s="2" t="s">
        <v>825</v>
      </c>
      <c r="C398" s="2" t="s">
        <v>263</v>
      </c>
      <c r="D398" s="2">
        <v>5003.62</v>
      </c>
      <c r="E398" s="3">
        <f t="shared" si="1"/>
        <v>10000</v>
      </c>
    </row>
    <row r="399" ht="22.5" customHeight="1">
      <c r="B399" s="2" t="s">
        <v>826</v>
      </c>
      <c r="C399" s="2" t="s">
        <v>263</v>
      </c>
      <c r="D399" s="2">
        <v>5003.74</v>
      </c>
      <c r="E399" s="3">
        <f t="shared" si="1"/>
        <v>10000</v>
      </c>
    </row>
    <row r="400" ht="22.5" customHeight="1">
      <c r="B400" s="2" t="s">
        <v>827</v>
      </c>
      <c r="C400" s="2" t="s">
        <v>263</v>
      </c>
      <c r="D400" s="2">
        <v>5002.99</v>
      </c>
      <c r="E400" s="3">
        <f t="shared" si="1"/>
        <v>10000</v>
      </c>
    </row>
    <row r="401" ht="22.5" customHeight="1">
      <c r="B401" s="2" t="s">
        <v>828</v>
      </c>
      <c r="C401" s="2" t="s">
        <v>263</v>
      </c>
      <c r="D401" s="2">
        <v>5003.27</v>
      </c>
      <c r="E401" s="3">
        <f t="shared" si="1"/>
        <v>10000</v>
      </c>
    </row>
    <row r="403">
      <c r="C403" s="4" t="s">
        <v>408</v>
      </c>
      <c r="D403" s="4" t="s">
        <v>4</v>
      </c>
    </row>
    <row r="404">
      <c r="C404" s="5">
        <f t="shared" ref="C404:D404" si="2">SUM(D2:D401)/400</f>
        <v>3105.55885</v>
      </c>
      <c r="D404" s="5">
        <f t="shared" si="2"/>
        <v>5728.615325</v>
      </c>
    </row>
    <row r="405">
      <c r="A405" s="4" t="s">
        <v>409</v>
      </c>
      <c r="B405" s="5">
        <f>COUNTIF(C2:C401,"=SATISFIABLE")</f>
        <v>118</v>
      </c>
    </row>
    <row r="406">
      <c r="A406" s="4" t="s">
        <v>410</v>
      </c>
      <c r="B406" s="5">
        <f>COUNTIF(C2:C401,"=UNSATISFIABLE")</f>
        <v>72</v>
      </c>
    </row>
    <row r="407">
      <c r="A407" s="4" t="s">
        <v>411</v>
      </c>
      <c r="B407" s="5">
        <f>COUNTIF(C2:C401,"=UNKNOWN")</f>
        <v>210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8" max="8" width="8.13"/>
    <col customWidth="1" min="9" max="9" width="7.75"/>
    <col customWidth="1" min="10" max="10" width="6.63"/>
    <col customWidth="1" min="11" max="11" width="10.63"/>
    <col customWidth="1" min="12" max="12" width="10.5"/>
    <col customWidth="1" min="13" max="13" width="11.13"/>
    <col customWidth="1" min="14" max="14" width="10.5"/>
    <col customWidth="1" min="15" max="15" width="9.75"/>
    <col customWidth="1" min="16" max="16" width="10.63"/>
    <col customWidth="1" min="17" max="17" width="12.13"/>
  </cols>
  <sheetData>
    <row r="1" ht="22.5" customHeight="1">
      <c r="A1" s="1" t="s">
        <v>0</v>
      </c>
      <c r="B1" s="2" t="s">
        <v>1</v>
      </c>
      <c r="C1" s="6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419</v>
      </c>
      <c r="K1" s="2" t="s">
        <v>420</v>
      </c>
      <c r="L1" s="2" t="s">
        <v>421</v>
      </c>
      <c r="M1" s="2" t="s">
        <v>422</v>
      </c>
      <c r="N1" s="2" t="s">
        <v>423</v>
      </c>
      <c r="O1" s="2" t="s">
        <v>424</v>
      </c>
      <c r="P1" s="2" t="s">
        <v>2</v>
      </c>
      <c r="Q1" s="2" t="s">
        <v>3</v>
      </c>
      <c r="R1" s="1" t="s">
        <v>4</v>
      </c>
    </row>
    <row r="2" ht="22.5" customHeight="1">
      <c r="B2" s="7" t="s">
        <v>429</v>
      </c>
      <c r="C2" s="7">
        <v>2320.0</v>
      </c>
      <c r="D2" s="7">
        <v>8240.0</v>
      </c>
      <c r="E2" s="7">
        <v>4.0</v>
      </c>
      <c r="F2" s="7">
        <v>3.0</v>
      </c>
      <c r="G2" s="7">
        <v>5.0</v>
      </c>
      <c r="H2" s="7">
        <v>1225.0</v>
      </c>
      <c r="I2" s="7">
        <v>0.0</v>
      </c>
      <c r="J2" s="7">
        <v>0.0</v>
      </c>
      <c r="K2" s="7">
        <v>0.0</v>
      </c>
      <c r="L2" s="7">
        <v>1.0</v>
      </c>
      <c r="M2" s="7">
        <v>-0.67</v>
      </c>
      <c r="N2" s="7">
        <v>0.0</v>
      </c>
      <c r="O2" s="7">
        <v>0.0</v>
      </c>
      <c r="P2" s="7" t="s">
        <v>410</v>
      </c>
      <c r="Q2" s="7">
        <v>0.01</v>
      </c>
      <c r="R2" s="3">
        <f t="shared" ref="R2:R401" si="1">IF(P2="IND", 10000, Q2)</f>
        <v>0.01</v>
      </c>
    </row>
    <row r="3" ht="22.5" customHeight="1">
      <c r="B3" s="7" t="s">
        <v>430</v>
      </c>
      <c r="C3" s="7">
        <v>3328.0</v>
      </c>
      <c r="D3" s="7">
        <v>10944.0</v>
      </c>
      <c r="E3" s="7">
        <v>0.0</v>
      </c>
      <c r="F3" s="7">
        <v>0.0</v>
      </c>
      <c r="G3" s="7">
        <v>0.0</v>
      </c>
      <c r="H3" s="7">
        <v>352.0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 t="s">
        <v>409</v>
      </c>
      <c r="Q3" s="7">
        <v>0.01</v>
      </c>
      <c r="R3" s="3">
        <f t="shared" si="1"/>
        <v>0.01</v>
      </c>
    </row>
    <row r="4" ht="22.5" customHeight="1">
      <c r="B4" s="7" t="s">
        <v>431</v>
      </c>
      <c r="C4" s="7">
        <v>3648.0</v>
      </c>
      <c r="D4" s="7">
        <v>12032.0</v>
      </c>
      <c r="E4" s="7">
        <v>0.0</v>
      </c>
      <c r="F4" s="7">
        <v>0.0</v>
      </c>
      <c r="G4" s="7">
        <v>0.0</v>
      </c>
      <c r="H4" s="7">
        <v>352.0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 t="s">
        <v>409</v>
      </c>
      <c r="Q4" s="7">
        <v>0.01</v>
      </c>
      <c r="R4" s="3">
        <f t="shared" si="1"/>
        <v>0.01</v>
      </c>
    </row>
    <row r="5" ht="22.5" customHeight="1">
      <c r="B5" s="7" t="s">
        <v>432</v>
      </c>
      <c r="C5" s="7">
        <v>4220.0</v>
      </c>
      <c r="D5" s="7">
        <v>14391.0</v>
      </c>
      <c r="E5" s="7">
        <v>6.0</v>
      </c>
      <c r="F5" s="7">
        <v>5.0</v>
      </c>
      <c r="G5" s="7">
        <v>11.0</v>
      </c>
      <c r="H5" s="7">
        <v>2971.0</v>
      </c>
      <c r="I5" s="7">
        <v>1.0</v>
      </c>
      <c r="J5" s="7">
        <v>1.0</v>
      </c>
      <c r="K5" s="7">
        <v>0.0</v>
      </c>
      <c r="L5" s="7">
        <v>1.0</v>
      </c>
      <c r="M5" s="7">
        <v>-0.8</v>
      </c>
      <c r="N5" s="7">
        <v>0.0</v>
      </c>
      <c r="O5" s="7">
        <v>1.0</v>
      </c>
      <c r="P5" s="7" t="s">
        <v>410</v>
      </c>
      <c r="Q5" s="7">
        <v>0.01</v>
      </c>
      <c r="R5" s="3">
        <f t="shared" si="1"/>
        <v>0.01</v>
      </c>
    </row>
    <row r="6" ht="22.5" customHeight="1">
      <c r="B6" s="7" t="s">
        <v>433</v>
      </c>
      <c r="C6" s="7">
        <v>1180.0</v>
      </c>
      <c r="D6" s="7">
        <v>635898.0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 t="s">
        <v>409</v>
      </c>
      <c r="Q6" s="7">
        <v>0.19</v>
      </c>
      <c r="R6" s="3">
        <f t="shared" si="1"/>
        <v>0.19</v>
      </c>
    </row>
    <row r="7" ht="22.5" customHeight="1">
      <c r="B7" s="7" t="s">
        <v>434</v>
      </c>
      <c r="C7" s="7">
        <v>296051.0</v>
      </c>
      <c r="D7" s="7">
        <v>968712.0</v>
      </c>
      <c r="E7" s="7">
        <v>0.0</v>
      </c>
      <c r="F7" s="7">
        <v>0.0</v>
      </c>
      <c r="G7" s="7">
        <v>0.0</v>
      </c>
      <c r="H7" s="7">
        <v>1.0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 t="s">
        <v>409</v>
      </c>
      <c r="Q7" s="7">
        <v>0.46</v>
      </c>
      <c r="R7" s="3">
        <f t="shared" si="1"/>
        <v>0.46</v>
      </c>
    </row>
    <row r="8" ht="22.5" customHeight="1">
      <c r="B8" s="7" t="s">
        <v>435</v>
      </c>
      <c r="C8" s="7">
        <v>1948.0</v>
      </c>
      <c r="D8" s="7">
        <v>1458450.0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 t="s">
        <v>409</v>
      </c>
      <c r="Q8" s="7">
        <v>0.49</v>
      </c>
      <c r="R8" s="3">
        <f t="shared" si="1"/>
        <v>0.49</v>
      </c>
    </row>
    <row r="9" ht="22.5" customHeight="1">
      <c r="B9" s="7" t="s">
        <v>440</v>
      </c>
      <c r="C9" s="7">
        <v>3896.0</v>
      </c>
      <c r="D9" s="7">
        <v>2918848.0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 t="s">
        <v>409</v>
      </c>
      <c r="Q9" s="7">
        <v>0.92</v>
      </c>
      <c r="R9" s="3">
        <f t="shared" si="1"/>
        <v>0.92</v>
      </c>
    </row>
    <row r="10" ht="22.5" customHeight="1">
      <c r="B10" s="7" t="s">
        <v>438</v>
      </c>
      <c r="C10" s="7">
        <v>4660.0</v>
      </c>
      <c r="D10" s="7">
        <v>4198168.0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 t="s">
        <v>409</v>
      </c>
      <c r="Q10" s="7">
        <v>1.39</v>
      </c>
      <c r="R10" s="3">
        <f t="shared" si="1"/>
        <v>1.39</v>
      </c>
    </row>
    <row r="11" ht="22.5" customHeight="1">
      <c r="B11" s="7" t="s">
        <v>437</v>
      </c>
      <c r="C11" s="7">
        <v>8400.0</v>
      </c>
      <c r="D11" s="7">
        <v>3941000.0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 t="s">
        <v>409</v>
      </c>
      <c r="Q11" s="7">
        <v>1.4</v>
      </c>
      <c r="R11" s="3">
        <f t="shared" si="1"/>
        <v>1.4</v>
      </c>
    </row>
    <row r="12" ht="22.5" customHeight="1">
      <c r="B12" s="7" t="s">
        <v>439</v>
      </c>
      <c r="C12" s="7">
        <v>7500.0</v>
      </c>
      <c r="D12" s="7">
        <v>3136245.0</v>
      </c>
      <c r="E12" s="7">
        <v>0.0</v>
      </c>
      <c r="F12" s="7">
        <v>0.0</v>
      </c>
      <c r="G12" s="7">
        <v>0.0</v>
      </c>
      <c r="H12" s="7">
        <v>7500.0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 t="s">
        <v>409</v>
      </c>
      <c r="Q12" s="7">
        <v>1.55</v>
      </c>
      <c r="R12" s="3">
        <f t="shared" si="1"/>
        <v>1.55</v>
      </c>
    </row>
    <row r="13" ht="22.5" customHeight="1">
      <c r="B13" s="7" t="s">
        <v>441</v>
      </c>
      <c r="C13" s="7">
        <v>5428.0</v>
      </c>
      <c r="D13" s="7">
        <v>5721464.0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 t="s">
        <v>409</v>
      </c>
      <c r="Q13" s="7">
        <v>1.89</v>
      </c>
      <c r="R13" s="3">
        <f t="shared" si="1"/>
        <v>1.89</v>
      </c>
    </row>
    <row r="14" ht="22.5" customHeight="1">
      <c r="B14" s="7" t="s">
        <v>436</v>
      </c>
      <c r="C14" s="7">
        <v>320.0</v>
      </c>
      <c r="D14" s="7">
        <v>30726.0</v>
      </c>
      <c r="E14" s="7">
        <v>23341.0</v>
      </c>
      <c r="F14" s="7">
        <v>22695.0</v>
      </c>
      <c r="G14" s="7">
        <v>40278.0</v>
      </c>
      <c r="H14" s="7">
        <v>403670.0</v>
      </c>
      <c r="I14" s="7">
        <v>1000.0</v>
      </c>
      <c r="J14" s="7">
        <v>966.0</v>
      </c>
      <c r="K14" s="7">
        <v>34.0</v>
      </c>
      <c r="L14" s="7">
        <v>160.97</v>
      </c>
      <c r="M14" s="7">
        <v>-0.06</v>
      </c>
      <c r="N14" s="7">
        <v>51.0</v>
      </c>
      <c r="O14" s="7">
        <v>13556.0</v>
      </c>
      <c r="P14" s="7" t="s">
        <v>409</v>
      </c>
      <c r="Q14" s="7">
        <v>1.91</v>
      </c>
      <c r="R14" s="3">
        <f t="shared" si="1"/>
        <v>1.91</v>
      </c>
    </row>
    <row r="15" ht="22.5" customHeight="1">
      <c r="B15" s="7" t="s">
        <v>581</v>
      </c>
      <c r="C15" s="7">
        <v>400.0</v>
      </c>
      <c r="D15" s="7">
        <v>30623.0</v>
      </c>
      <c r="E15" s="7">
        <v>21015.0</v>
      </c>
      <c r="F15" s="7">
        <v>20434.0</v>
      </c>
      <c r="G15" s="7">
        <v>28951.0</v>
      </c>
      <c r="H15" s="7">
        <v>585119.0</v>
      </c>
      <c r="I15" s="7">
        <v>560.0</v>
      </c>
      <c r="J15" s="7">
        <v>524.0</v>
      </c>
      <c r="K15" s="7">
        <v>36.0</v>
      </c>
      <c r="L15" s="7">
        <v>85.0</v>
      </c>
      <c r="M15" s="7">
        <v>-0.06</v>
      </c>
      <c r="N15" s="7">
        <v>53.0</v>
      </c>
      <c r="O15" s="7">
        <v>11349.0</v>
      </c>
      <c r="P15" s="7" t="s">
        <v>409</v>
      </c>
      <c r="Q15" s="7">
        <v>1.96</v>
      </c>
      <c r="R15" s="3">
        <f t="shared" si="1"/>
        <v>1.96</v>
      </c>
    </row>
    <row r="16" ht="22.5" customHeight="1">
      <c r="B16" s="7" t="s">
        <v>443</v>
      </c>
      <c r="C16" s="7">
        <v>5892.0</v>
      </c>
      <c r="D16" s="7">
        <v>23300.0</v>
      </c>
      <c r="E16" s="7">
        <v>17534.0</v>
      </c>
      <c r="F16" s="7">
        <v>17213.0</v>
      </c>
      <c r="G16" s="7">
        <v>39778.0</v>
      </c>
      <c r="H16" s="7">
        <v>8842797.0</v>
      </c>
      <c r="I16" s="7">
        <v>879.0</v>
      </c>
      <c r="J16" s="7">
        <v>853.0</v>
      </c>
      <c r="K16" s="7">
        <v>26.0</v>
      </c>
      <c r="L16" s="7">
        <v>33.9</v>
      </c>
      <c r="M16" s="7">
        <v>-0.11</v>
      </c>
      <c r="N16" s="7">
        <v>43.0</v>
      </c>
      <c r="O16" s="7">
        <v>9072.0</v>
      </c>
      <c r="P16" s="7" t="s">
        <v>409</v>
      </c>
      <c r="Q16" s="7">
        <v>2.07</v>
      </c>
      <c r="R16" s="3">
        <f t="shared" si="1"/>
        <v>2.07</v>
      </c>
    </row>
    <row r="17" ht="22.5" customHeight="1">
      <c r="B17" s="7" t="s">
        <v>442</v>
      </c>
      <c r="C17" s="7">
        <v>4165.0</v>
      </c>
      <c r="D17" s="7">
        <v>7173053.0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 t="s">
        <v>409</v>
      </c>
      <c r="Q17" s="7">
        <v>2.41</v>
      </c>
      <c r="R17" s="3">
        <f t="shared" si="1"/>
        <v>2.41</v>
      </c>
    </row>
    <row r="18" ht="22.5" customHeight="1">
      <c r="B18" s="7" t="s">
        <v>450</v>
      </c>
      <c r="C18" s="7">
        <v>10977.0</v>
      </c>
      <c r="D18" s="7">
        <v>21826.0</v>
      </c>
      <c r="E18" s="7">
        <v>125618.0</v>
      </c>
      <c r="F18" s="7">
        <v>121312.0</v>
      </c>
      <c r="G18" s="7">
        <v>233688.0</v>
      </c>
      <c r="H18" s="7">
        <v>6480442.0</v>
      </c>
      <c r="I18" s="7">
        <v>5574.0</v>
      </c>
      <c r="J18" s="7">
        <v>5452.0</v>
      </c>
      <c r="K18" s="7">
        <v>122.0</v>
      </c>
      <c r="L18" s="7">
        <v>15.31</v>
      </c>
      <c r="M18" s="7">
        <v>-0.08</v>
      </c>
      <c r="N18" s="7">
        <v>189.0</v>
      </c>
      <c r="O18" s="7">
        <v>81839.0</v>
      </c>
      <c r="P18" s="7" t="s">
        <v>410</v>
      </c>
      <c r="Q18" s="7">
        <v>3.01</v>
      </c>
      <c r="R18" s="3">
        <f t="shared" si="1"/>
        <v>3.01</v>
      </c>
    </row>
    <row r="19" ht="22.5" customHeight="1">
      <c r="B19" s="7" t="s">
        <v>446</v>
      </c>
      <c r="C19" s="7">
        <v>10110.0</v>
      </c>
      <c r="D19" s="7">
        <v>9992832.0</v>
      </c>
      <c r="E19" s="7">
        <v>0.0</v>
      </c>
      <c r="F19" s="7">
        <v>0.0</v>
      </c>
      <c r="G19" s="7">
        <v>0.0</v>
      </c>
      <c r="H19" s="7">
        <v>126.0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 t="s">
        <v>409</v>
      </c>
      <c r="Q19" s="7">
        <v>3.1</v>
      </c>
      <c r="R19" s="3">
        <f t="shared" si="1"/>
        <v>3.1</v>
      </c>
    </row>
    <row r="20" ht="22.5" customHeight="1">
      <c r="B20" s="7" t="s">
        <v>493</v>
      </c>
      <c r="C20" s="7">
        <v>43977.0</v>
      </c>
      <c r="D20" s="7">
        <v>185569.0</v>
      </c>
      <c r="E20" s="7">
        <v>10005.0</v>
      </c>
      <c r="F20" s="7">
        <v>9749.0</v>
      </c>
      <c r="G20" s="7">
        <v>59526.0</v>
      </c>
      <c r="H20" s="7">
        <v>1.3131126E7</v>
      </c>
      <c r="I20" s="7">
        <v>538.0</v>
      </c>
      <c r="J20" s="7">
        <v>524.0</v>
      </c>
      <c r="K20" s="7">
        <v>14.0</v>
      </c>
      <c r="L20" s="7">
        <v>90.85</v>
      </c>
      <c r="M20" s="7">
        <v>-0.12</v>
      </c>
      <c r="N20" s="7">
        <v>23.0</v>
      </c>
      <c r="O20" s="7">
        <v>18251.0</v>
      </c>
      <c r="P20" s="7" t="s">
        <v>409</v>
      </c>
      <c r="Q20" s="7">
        <v>3.64</v>
      </c>
      <c r="R20" s="3">
        <f t="shared" si="1"/>
        <v>3.64</v>
      </c>
    </row>
    <row r="21" ht="22.5" customHeight="1">
      <c r="B21" s="7" t="s">
        <v>444</v>
      </c>
      <c r="C21" s="7">
        <v>14432.0</v>
      </c>
      <c r="D21" s="7">
        <v>7330186.0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 t="s">
        <v>409</v>
      </c>
      <c r="Q21" s="7">
        <v>3.9</v>
      </c>
      <c r="R21" s="3">
        <f t="shared" si="1"/>
        <v>3.9</v>
      </c>
    </row>
    <row r="22" ht="22.5" customHeight="1">
      <c r="B22" s="7" t="s">
        <v>464</v>
      </c>
      <c r="C22" s="7">
        <v>5096.0</v>
      </c>
      <c r="D22" s="7">
        <v>80154.0</v>
      </c>
      <c r="E22" s="7">
        <v>78335.0</v>
      </c>
      <c r="F22" s="7">
        <v>75822.0</v>
      </c>
      <c r="G22" s="7">
        <v>238379.0</v>
      </c>
      <c r="H22" s="7">
        <v>1.3682457E7</v>
      </c>
      <c r="I22" s="7">
        <v>1177.0</v>
      </c>
      <c r="J22" s="7">
        <v>1059.0</v>
      </c>
      <c r="K22" s="7">
        <v>118.0</v>
      </c>
      <c r="L22" s="7">
        <v>40.54</v>
      </c>
      <c r="M22" s="7">
        <v>-0.08</v>
      </c>
      <c r="N22" s="7">
        <v>185.0</v>
      </c>
      <c r="O22" s="7">
        <v>85009.0</v>
      </c>
      <c r="P22" s="7" t="s">
        <v>410</v>
      </c>
      <c r="Q22" s="7">
        <v>6.04</v>
      </c>
      <c r="R22" s="3">
        <f t="shared" si="1"/>
        <v>6.04</v>
      </c>
    </row>
    <row r="23" ht="22.5" customHeight="1">
      <c r="B23" s="7" t="s">
        <v>447</v>
      </c>
      <c r="C23" s="7">
        <v>19260.0</v>
      </c>
      <c r="D23" s="7">
        <v>5481578.0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 t="s">
        <v>409</v>
      </c>
      <c r="Q23" s="7">
        <v>6.62</v>
      </c>
      <c r="R23" s="3">
        <f t="shared" si="1"/>
        <v>6.62</v>
      </c>
    </row>
    <row r="24" ht="22.5" customHeight="1">
      <c r="B24" s="7" t="s">
        <v>451</v>
      </c>
      <c r="C24" s="7">
        <v>6737543.0</v>
      </c>
      <c r="D24" s="7">
        <v>1.6772613E7</v>
      </c>
      <c r="E24" s="7">
        <v>0.0</v>
      </c>
      <c r="F24" s="7">
        <v>0.0</v>
      </c>
      <c r="G24" s="7">
        <v>0.0</v>
      </c>
      <c r="H24" s="7">
        <v>833800.0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 t="s">
        <v>409</v>
      </c>
      <c r="Q24" s="7">
        <v>8.53</v>
      </c>
      <c r="R24" s="3">
        <f t="shared" si="1"/>
        <v>8.53</v>
      </c>
    </row>
    <row r="25" ht="22.5" customHeight="1">
      <c r="B25" s="7" t="s">
        <v>454</v>
      </c>
      <c r="C25" s="7">
        <v>12350.0</v>
      </c>
      <c r="D25" s="7">
        <v>2.5473024E7</v>
      </c>
      <c r="E25" s="7">
        <v>0.0</v>
      </c>
      <c r="F25" s="7">
        <v>0.0</v>
      </c>
      <c r="G25" s="7">
        <v>0.0</v>
      </c>
      <c r="H25" s="7">
        <v>62.0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 t="s">
        <v>409</v>
      </c>
      <c r="Q25" s="7">
        <v>8.9</v>
      </c>
      <c r="R25" s="3">
        <f t="shared" si="1"/>
        <v>8.9</v>
      </c>
    </row>
    <row r="26" ht="22.5" customHeight="1">
      <c r="B26" s="7" t="s">
        <v>445</v>
      </c>
      <c r="C26" s="7">
        <v>384.0</v>
      </c>
      <c r="D26" s="7">
        <v>44173.0</v>
      </c>
      <c r="E26" s="7">
        <v>104776.0</v>
      </c>
      <c r="F26" s="7">
        <v>101741.0</v>
      </c>
      <c r="G26" s="7">
        <v>185675.0</v>
      </c>
      <c r="H26" s="7">
        <v>1873499.0</v>
      </c>
      <c r="I26" s="7">
        <v>4449.0</v>
      </c>
      <c r="J26" s="7">
        <v>4302.0</v>
      </c>
      <c r="K26" s="7">
        <v>147.0</v>
      </c>
      <c r="L26" s="7">
        <v>167.29</v>
      </c>
      <c r="M26" s="7">
        <v>-0.06</v>
      </c>
      <c r="N26" s="7">
        <v>213.0</v>
      </c>
      <c r="O26" s="7">
        <v>65080.0</v>
      </c>
      <c r="P26" s="7" t="s">
        <v>409</v>
      </c>
      <c r="Q26" s="7">
        <v>10.56</v>
      </c>
      <c r="R26" s="3">
        <f t="shared" si="1"/>
        <v>10.56</v>
      </c>
    </row>
    <row r="27" ht="22.5" customHeight="1">
      <c r="B27" s="7" t="s">
        <v>501</v>
      </c>
      <c r="C27" s="7">
        <v>289.0</v>
      </c>
      <c r="D27" s="7">
        <v>242594.0</v>
      </c>
      <c r="E27" s="7">
        <v>159754.0</v>
      </c>
      <c r="F27" s="7">
        <v>156593.0</v>
      </c>
      <c r="G27" s="7">
        <v>203020.0</v>
      </c>
      <c r="H27" s="7">
        <v>4456975.0</v>
      </c>
      <c r="I27" s="7">
        <v>4256.0</v>
      </c>
      <c r="J27" s="7">
        <v>4037.0</v>
      </c>
      <c r="K27" s="7">
        <v>219.0</v>
      </c>
      <c r="L27" s="7">
        <v>29.57</v>
      </c>
      <c r="M27" s="7">
        <v>-0.04</v>
      </c>
      <c r="N27" s="7">
        <v>336.0</v>
      </c>
      <c r="O27" s="7">
        <v>86562.0</v>
      </c>
      <c r="P27" s="7" t="s">
        <v>409</v>
      </c>
      <c r="Q27" s="7">
        <v>10.82</v>
      </c>
      <c r="R27" s="3">
        <f t="shared" si="1"/>
        <v>10.82</v>
      </c>
    </row>
    <row r="28" ht="22.5" customHeight="1">
      <c r="B28" s="7" t="s">
        <v>504</v>
      </c>
      <c r="C28" s="7">
        <v>1900.0</v>
      </c>
      <c r="D28" s="7">
        <v>14440.0</v>
      </c>
      <c r="E28" s="7">
        <v>232097.0</v>
      </c>
      <c r="F28" s="7">
        <v>231206.0</v>
      </c>
      <c r="G28" s="7">
        <v>247194.0</v>
      </c>
      <c r="H28" s="7">
        <v>9161278.0</v>
      </c>
      <c r="I28" s="7">
        <v>4841.0</v>
      </c>
      <c r="J28" s="7">
        <v>4420.0</v>
      </c>
      <c r="K28" s="7">
        <v>421.0</v>
      </c>
      <c r="L28" s="7">
        <v>29.05</v>
      </c>
      <c r="M28" s="7">
        <v>-0.01</v>
      </c>
      <c r="N28" s="7">
        <v>650.0</v>
      </c>
      <c r="O28" s="7">
        <v>74406.0</v>
      </c>
      <c r="P28" s="7" t="s">
        <v>410</v>
      </c>
      <c r="Q28" s="7">
        <v>10.97</v>
      </c>
      <c r="R28" s="3">
        <f t="shared" si="1"/>
        <v>10.97</v>
      </c>
    </row>
    <row r="29" ht="22.5" customHeight="1">
      <c r="B29" s="7" t="s">
        <v>455</v>
      </c>
      <c r="C29" s="7">
        <v>8085143.0</v>
      </c>
      <c r="D29" s="7">
        <v>2.0127513E7</v>
      </c>
      <c r="E29" s="7">
        <v>0.0</v>
      </c>
      <c r="F29" s="7">
        <v>0.0</v>
      </c>
      <c r="G29" s="7">
        <v>0.0</v>
      </c>
      <c r="H29" s="7">
        <v>1000200.0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 t="s">
        <v>409</v>
      </c>
      <c r="Q29" s="7">
        <v>11.71</v>
      </c>
      <c r="R29" s="3">
        <f t="shared" si="1"/>
        <v>11.71</v>
      </c>
    </row>
    <row r="30" ht="22.5" customHeight="1">
      <c r="B30" s="7" t="s">
        <v>456</v>
      </c>
      <c r="C30" s="7">
        <v>9432743.0</v>
      </c>
      <c r="D30" s="7">
        <v>2.3482413E7</v>
      </c>
      <c r="E30" s="7">
        <v>0.0</v>
      </c>
      <c r="F30" s="7">
        <v>0.0</v>
      </c>
      <c r="G30" s="7">
        <v>0.0</v>
      </c>
      <c r="H30" s="7">
        <v>1166600.0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 t="s">
        <v>409</v>
      </c>
      <c r="Q30" s="7">
        <v>12.06</v>
      </c>
      <c r="R30" s="3">
        <f t="shared" si="1"/>
        <v>12.06</v>
      </c>
    </row>
    <row r="31" ht="22.5" customHeight="1">
      <c r="B31" s="7" t="s">
        <v>568</v>
      </c>
      <c r="C31" s="7">
        <v>180.0</v>
      </c>
      <c r="D31" s="7">
        <v>3160.0</v>
      </c>
      <c r="E31" s="7">
        <v>285430.0</v>
      </c>
      <c r="F31" s="7">
        <v>283071.0</v>
      </c>
      <c r="G31" s="7">
        <v>338562.0</v>
      </c>
      <c r="H31" s="7">
        <v>3780501.0</v>
      </c>
      <c r="I31" s="7">
        <v>9786.0</v>
      </c>
      <c r="J31" s="7">
        <v>9188.0</v>
      </c>
      <c r="K31" s="7">
        <v>598.0</v>
      </c>
      <c r="L31" s="7">
        <v>47.1</v>
      </c>
      <c r="M31" s="7">
        <v>-0.02</v>
      </c>
      <c r="N31" s="7">
        <v>859.0</v>
      </c>
      <c r="O31" s="7">
        <v>89603.0</v>
      </c>
      <c r="P31" s="7" t="s">
        <v>410</v>
      </c>
      <c r="Q31" s="7">
        <v>12.36</v>
      </c>
      <c r="R31" s="3">
        <f t="shared" si="1"/>
        <v>12.36</v>
      </c>
    </row>
    <row r="32" ht="22.5" customHeight="1">
      <c r="B32" s="7" t="s">
        <v>485</v>
      </c>
      <c r="C32" s="7">
        <v>53487.0</v>
      </c>
      <c r="D32" s="7">
        <v>79753.0</v>
      </c>
      <c r="E32" s="7">
        <v>38152.0</v>
      </c>
      <c r="F32" s="7">
        <v>37194.0</v>
      </c>
      <c r="G32" s="7">
        <v>120157.0</v>
      </c>
      <c r="H32" s="7">
        <v>4.8584824E7</v>
      </c>
      <c r="I32" s="7">
        <v>1363.0</v>
      </c>
      <c r="J32" s="7">
        <v>1317.0</v>
      </c>
      <c r="K32" s="7">
        <v>46.0</v>
      </c>
      <c r="L32" s="7">
        <v>47.58</v>
      </c>
      <c r="M32" s="7">
        <v>-0.08</v>
      </c>
      <c r="N32" s="7">
        <v>74.0</v>
      </c>
      <c r="O32" s="7">
        <v>23501.0</v>
      </c>
      <c r="P32" s="7" t="s">
        <v>409</v>
      </c>
      <c r="Q32" s="7">
        <v>13.0</v>
      </c>
      <c r="R32" s="3">
        <f t="shared" si="1"/>
        <v>13</v>
      </c>
    </row>
    <row r="33" ht="22.5" customHeight="1">
      <c r="B33" s="7" t="s">
        <v>458</v>
      </c>
      <c r="C33" s="7">
        <v>1.0780343E7</v>
      </c>
      <c r="D33" s="7">
        <v>2.6837313E7</v>
      </c>
      <c r="E33" s="7">
        <v>0.0</v>
      </c>
      <c r="F33" s="7">
        <v>0.0</v>
      </c>
      <c r="G33" s="7">
        <v>0.0</v>
      </c>
      <c r="H33" s="7">
        <v>1333000.0</v>
      </c>
      <c r="I33" s="7">
        <v>0.0</v>
      </c>
      <c r="J33" s="7">
        <v>0.0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 t="s">
        <v>409</v>
      </c>
      <c r="Q33" s="7">
        <v>13.16</v>
      </c>
      <c r="R33" s="3">
        <f t="shared" si="1"/>
        <v>13.16</v>
      </c>
    </row>
    <row r="34" ht="22.5" customHeight="1">
      <c r="B34" s="7" t="s">
        <v>449</v>
      </c>
      <c r="C34" s="7">
        <v>862.0</v>
      </c>
      <c r="D34" s="7">
        <v>855716.0</v>
      </c>
      <c r="E34" s="7">
        <v>21011.0</v>
      </c>
      <c r="F34" s="7">
        <v>20557.0</v>
      </c>
      <c r="G34" s="7">
        <v>447584.0</v>
      </c>
      <c r="H34" s="7">
        <v>539748.0</v>
      </c>
      <c r="I34" s="7">
        <v>91.0</v>
      </c>
      <c r="J34" s="7">
        <v>91.0</v>
      </c>
      <c r="K34" s="7">
        <v>0.0</v>
      </c>
      <c r="L34" s="7">
        <v>11.34</v>
      </c>
      <c r="M34" s="7">
        <v>-0.23</v>
      </c>
      <c r="N34" s="7">
        <v>17.0</v>
      </c>
      <c r="O34" s="7">
        <v>240624.0</v>
      </c>
      <c r="P34" s="7" t="s">
        <v>409</v>
      </c>
      <c r="Q34" s="7">
        <v>13.73</v>
      </c>
      <c r="R34" s="3">
        <f t="shared" si="1"/>
        <v>13.73</v>
      </c>
    </row>
    <row r="35" ht="22.5" customHeight="1">
      <c r="B35" s="7" t="s">
        <v>466</v>
      </c>
      <c r="C35" s="7">
        <v>178500.0</v>
      </c>
      <c r="D35" s="7">
        <v>4.3858644E7</v>
      </c>
      <c r="E35" s="7">
        <v>0.0</v>
      </c>
      <c r="F35" s="7">
        <v>0.0</v>
      </c>
      <c r="G35" s="7">
        <v>0.0</v>
      </c>
      <c r="H35" s="7">
        <v>0.0</v>
      </c>
      <c r="I35" s="7">
        <v>0.0</v>
      </c>
      <c r="J35" s="7">
        <v>0.0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 t="s">
        <v>409</v>
      </c>
      <c r="Q35" s="7">
        <v>14.03</v>
      </c>
      <c r="R35" s="3">
        <f t="shared" si="1"/>
        <v>14.03</v>
      </c>
    </row>
    <row r="36" ht="22.5" customHeight="1">
      <c r="B36" s="7" t="s">
        <v>461</v>
      </c>
      <c r="C36" s="7">
        <v>178500.0</v>
      </c>
      <c r="D36" s="7">
        <v>4.3865066E7</v>
      </c>
      <c r="E36" s="7">
        <v>0.0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7" t="s">
        <v>409</v>
      </c>
      <c r="Q36" s="7">
        <v>14.33</v>
      </c>
      <c r="R36" s="3">
        <f t="shared" si="1"/>
        <v>14.33</v>
      </c>
    </row>
    <row r="37" ht="22.5" customHeight="1">
      <c r="B37" s="7" t="s">
        <v>457</v>
      </c>
      <c r="C37" s="7">
        <v>7216.0</v>
      </c>
      <c r="D37" s="7">
        <v>2213253.0</v>
      </c>
      <c r="E37" s="7">
        <v>45961.0</v>
      </c>
      <c r="F37" s="7">
        <v>44962.0</v>
      </c>
      <c r="G37" s="7">
        <v>95136.0</v>
      </c>
      <c r="H37" s="7">
        <v>4006298.0</v>
      </c>
      <c r="I37" s="7">
        <v>1882.0</v>
      </c>
      <c r="J37" s="7">
        <v>1755.0</v>
      </c>
      <c r="K37" s="7">
        <v>127.0</v>
      </c>
      <c r="L37" s="7">
        <v>198.02</v>
      </c>
      <c r="M37" s="7">
        <v>-0.04</v>
      </c>
      <c r="N37" s="7">
        <v>165.0</v>
      </c>
      <c r="O37" s="7">
        <v>22370.0</v>
      </c>
      <c r="P37" s="7" t="s">
        <v>410</v>
      </c>
      <c r="Q37" s="7">
        <v>14.58</v>
      </c>
      <c r="R37" s="3">
        <f t="shared" si="1"/>
        <v>14.58</v>
      </c>
    </row>
    <row r="38" ht="22.5" customHeight="1">
      <c r="B38" s="7" t="s">
        <v>448</v>
      </c>
      <c r="C38" s="7">
        <v>568.0</v>
      </c>
      <c r="D38" s="7">
        <v>553495.0</v>
      </c>
      <c r="E38" s="7">
        <v>21014.0</v>
      </c>
      <c r="F38" s="7">
        <v>20589.0</v>
      </c>
      <c r="G38" s="7">
        <v>312016.0</v>
      </c>
      <c r="H38" s="7">
        <v>395234.0</v>
      </c>
      <c r="I38" s="7">
        <v>132.0</v>
      </c>
      <c r="J38" s="7">
        <v>131.0</v>
      </c>
      <c r="K38" s="7">
        <v>1.0</v>
      </c>
      <c r="L38" s="7">
        <v>11.46</v>
      </c>
      <c r="M38" s="7">
        <v>-0.19</v>
      </c>
      <c r="N38" s="7">
        <v>18.0</v>
      </c>
      <c r="O38" s="7">
        <v>161778.0</v>
      </c>
      <c r="P38" s="7" t="s">
        <v>409</v>
      </c>
      <c r="Q38" s="7">
        <v>15.76</v>
      </c>
      <c r="R38" s="3">
        <f t="shared" si="1"/>
        <v>15.76</v>
      </c>
    </row>
    <row r="39" ht="22.5" customHeight="1">
      <c r="B39" s="7" t="s">
        <v>465</v>
      </c>
      <c r="C39" s="7">
        <v>178500.0</v>
      </c>
      <c r="D39" s="7">
        <v>4.3869358E7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 t="s">
        <v>409</v>
      </c>
      <c r="Q39" s="7">
        <v>16.04</v>
      </c>
      <c r="R39" s="3">
        <f t="shared" si="1"/>
        <v>16.04</v>
      </c>
    </row>
    <row r="40" ht="22.5" customHeight="1">
      <c r="B40" s="7" t="s">
        <v>467</v>
      </c>
      <c r="C40" s="7">
        <v>1.3475543E7</v>
      </c>
      <c r="D40" s="7">
        <v>3.3547113E7</v>
      </c>
      <c r="E40" s="7">
        <v>0.0</v>
      </c>
      <c r="F40" s="7">
        <v>0.0</v>
      </c>
      <c r="G40" s="7">
        <v>0.0</v>
      </c>
      <c r="H40" s="7">
        <v>1665800.0</v>
      </c>
      <c r="I40" s="7">
        <v>0.0</v>
      </c>
      <c r="J40" s="7">
        <v>0.0</v>
      </c>
      <c r="K40" s="7">
        <v>0.0</v>
      </c>
      <c r="L40" s="7">
        <v>0.0</v>
      </c>
      <c r="M40" s="7">
        <v>0.0</v>
      </c>
      <c r="N40" s="7">
        <v>0.0</v>
      </c>
      <c r="O40" s="7">
        <v>0.0</v>
      </c>
      <c r="P40" s="7" t="s">
        <v>409</v>
      </c>
      <c r="Q40" s="7">
        <v>16.04</v>
      </c>
      <c r="R40" s="3">
        <f t="shared" si="1"/>
        <v>16.04</v>
      </c>
    </row>
    <row r="41" ht="22.5" customHeight="1">
      <c r="B41" s="7" t="s">
        <v>499</v>
      </c>
      <c r="C41" s="7">
        <v>5700.0</v>
      </c>
      <c r="D41" s="7">
        <v>42890.0</v>
      </c>
      <c r="E41" s="7">
        <v>222875.0</v>
      </c>
      <c r="F41" s="7">
        <v>221768.0</v>
      </c>
      <c r="G41" s="7">
        <v>238590.0</v>
      </c>
      <c r="H41" s="7">
        <v>7995618.0</v>
      </c>
      <c r="I41" s="7">
        <v>4917.0</v>
      </c>
      <c r="J41" s="7">
        <v>4499.0</v>
      </c>
      <c r="K41" s="7">
        <v>418.0</v>
      </c>
      <c r="L41" s="7">
        <v>30.9</v>
      </c>
      <c r="M41" s="7">
        <v>-0.01</v>
      </c>
      <c r="N41" s="7">
        <v>632.0</v>
      </c>
      <c r="O41" s="7">
        <v>74021.0</v>
      </c>
      <c r="P41" s="7" t="s">
        <v>410</v>
      </c>
      <c r="Q41" s="7">
        <v>17.47</v>
      </c>
      <c r="R41" s="3">
        <f t="shared" si="1"/>
        <v>17.47</v>
      </c>
    </row>
    <row r="42" ht="22.5" customHeight="1">
      <c r="B42" s="7" t="s">
        <v>460</v>
      </c>
      <c r="C42" s="7">
        <v>1.2127943E7</v>
      </c>
      <c r="D42" s="7">
        <v>3.0192213E7</v>
      </c>
      <c r="E42" s="7">
        <v>0.0</v>
      </c>
      <c r="F42" s="7">
        <v>0.0</v>
      </c>
      <c r="G42" s="7">
        <v>0.0</v>
      </c>
      <c r="H42" s="7">
        <v>1499400.0</v>
      </c>
      <c r="I42" s="7">
        <v>0.0</v>
      </c>
      <c r="J42" s="7">
        <v>0.0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7" t="s">
        <v>409</v>
      </c>
      <c r="Q42" s="7">
        <v>17.68</v>
      </c>
      <c r="R42" s="3">
        <f t="shared" si="1"/>
        <v>17.68</v>
      </c>
    </row>
    <row r="43" ht="22.5" customHeight="1">
      <c r="B43" s="7" t="s">
        <v>494</v>
      </c>
      <c r="C43" s="7">
        <v>600.0</v>
      </c>
      <c r="D43" s="7">
        <v>16790.0</v>
      </c>
      <c r="E43" s="7">
        <v>164632.0</v>
      </c>
      <c r="F43" s="7">
        <v>163277.0</v>
      </c>
      <c r="G43" s="7">
        <v>288768.0</v>
      </c>
      <c r="H43" s="7">
        <v>1.2536002E7</v>
      </c>
      <c r="I43" s="7">
        <v>10007.0</v>
      </c>
      <c r="J43" s="7">
        <v>9743.0</v>
      </c>
      <c r="K43" s="7">
        <v>264.0</v>
      </c>
      <c r="L43" s="7">
        <v>20.69</v>
      </c>
      <c r="M43" s="7">
        <v>-0.08</v>
      </c>
      <c r="N43" s="7">
        <v>389.0</v>
      </c>
      <c r="O43" s="7">
        <v>61671.0</v>
      </c>
      <c r="P43" s="7" t="s">
        <v>409</v>
      </c>
      <c r="Q43" s="7">
        <v>19.11</v>
      </c>
      <c r="R43" s="3">
        <f t="shared" si="1"/>
        <v>19.11</v>
      </c>
    </row>
    <row r="44" ht="22.5" customHeight="1">
      <c r="B44" s="7" t="s">
        <v>469</v>
      </c>
      <c r="C44" s="7">
        <v>1.6170743E7</v>
      </c>
      <c r="D44" s="7">
        <v>4.0256913E7</v>
      </c>
      <c r="E44" s="7">
        <v>0.0</v>
      </c>
      <c r="F44" s="7">
        <v>0.0</v>
      </c>
      <c r="G44" s="7">
        <v>0.0</v>
      </c>
      <c r="H44" s="7">
        <v>1998600.0</v>
      </c>
      <c r="I44" s="7">
        <v>0.0</v>
      </c>
      <c r="J44" s="7">
        <v>0.0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 t="s">
        <v>409</v>
      </c>
      <c r="Q44" s="7">
        <v>20.46</v>
      </c>
      <c r="R44" s="3">
        <f t="shared" si="1"/>
        <v>20.46</v>
      </c>
    </row>
    <row r="45" ht="22.5" customHeight="1">
      <c r="B45" s="7" t="s">
        <v>468</v>
      </c>
      <c r="C45" s="7">
        <v>1.4823143E7</v>
      </c>
      <c r="D45" s="7">
        <v>3.6902013E7</v>
      </c>
      <c r="E45" s="7">
        <v>0.0</v>
      </c>
      <c r="F45" s="7">
        <v>0.0</v>
      </c>
      <c r="G45" s="7">
        <v>0.0</v>
      </c>
      <c r="H45" s="7">
        <v>1832200.0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7" t="s">
        <v>409</v>
      </c>
      <c r="Q45" s="7">
        <v>21.55</v>
      </c>
      <c r="R45" s="3">
        <f t="shared" si="1"/>
        <v>21.55</v>
      </c>
    </row>
    <row r="46" ht="22.5" customHeight="1">
      <c r="B46" s="7" t="s">
        <v>543</v>
      </c>
      <c r="C46" s="7">
        <v>324.0</v>
      </c>
      <c r="D46" s="7">
        <v>313486.0</v>
      </c>
      <c r="E46" s="7">
        <v>384566.0</v>
      </c>
      <c r="F46" s="7">
        <v>376538.0</v>
      </c>
      <c r="G46" s="7">
        <v>484850.0</v>
      </c>
      <c r="H46" s="7">
        <v>1.0985036E7</v>
      </c>
      <c r="I46" s="7">
        <v>9473.0</v>
      </c>
      <c r="J46" s="7">
        <v>8985.0</v>
      </c>
      <c r="K46" s="7">
        <v>488.0</v>
      </c>
      <c r="L46" s="7">
        <v>30.94</v>
      </c>
      <c r="M46" s="7">
        <v>-0.04</v>
      </c>
      <c r="N46" s="7">
        <v>751.0</v>
      </c>
      <c r="O46" s="7">
        <v>222326.0</v>
      </c>
      <c r="P46" s="7" t="s">
        <v>409</v>
      </c>
      <c r="Q46" s="7">
        <v>22.6</v>
      </c>
      <c r="R46" s="3">
        <f t="shared" si="1"/>
        <v>22.6</v>
      </c>
    </row>
    <row r="47" ht="22.5" customHeight="1">
      <c r="B47" s="7" t="s">
        <v>471</v>
      </c>
      <c r="C47" s="7">
        <v>1.7518343E7</v>
      </c>
      <c r="D47" s="7">
        <v>4.3611813E7</v>
      </c>
      <c r="E47" s="7">
        <v>0.0</v>
      </c>
      <c r="F47" s="7">
        <v>0.0</v>
      </c>
      <c r="G47" s="7">
        <v>0.0</v>
      </c>
      <c r="H47" s="7">
        <v>2165000.0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 t="s">
        <v>409</v>
      </c>
      <c r="Q47" s="7">
        <v>22.63</v>
      </c>
      <c r="R47" s="3">
        <f t="shared" si="1"/>
        <v>22.63</v>
      </c>
    </row>
    <row r="48" ht="22.5" customHeight="1">
      <c r="B48" s="7" t="s">
        <v>518</v>
      </c>
      <c r="C48" s="7">
        <v>220.0</v>
      </c>
      <c r="D48" s="7">
        <v>1122.0</v>
      </c>
      <c r="E48" s="7">
        <v>303026.0</v>
      </c>
      <c r="F48" s="7">
        <v>300994.0</v>
      </c>
      <c r="G48" s="7">
        <v>348803.0</v>
      </c>
      <c r="H48" s="7">
        <v>4321045.0</v>
      </c>
      <c r="I48" s="7">
        <v>7891.0</v>
      </c>
      <c r="J48" s="7">
        <v>7349.0</v>
      </c>
      <c r="K48" s="7">
        <v>542.0</v>
      </c>
      <c r="L48" s="7">
        <v>28.5</v>
      </c>
      <c r="M48" s="7">
        <v>-0.03</v>
      </c>
      <c r="N48" s="7">
        <v>806.0</v>
      </c>
      <c r="O48" s="7">
        <v>117925.0</v>
      </c>
      <c r="P48" s="7" t="s">
        <v>410</v>
      </c>
      <c r="Q48" s="7">
        <v>23.23</v>
      </c>
      <c r="R48" s="3">
        <f t="shared" si="1"/>
        <v>23.23</v>
      </c>
    </row>
    <row r="49" ht="22.5" customHeight="1">
      <c r="B49" s="7" t="s">
        <v>472</v>
      </c>
      <c r="C49" s="7">
        <v>1.8865943E7</v>
      </c>
      <c r="D49" s="7">
        <v>4.6966713E7</v>
      </c>
      <c r="E49" s="7">
        <v>0.0</v>
      </c>
      <c r="F49" s="7">
        <v>0.0</v>
      </c>
      <c r="G49" s="7">
        <v>0.0</v>
      </c>
      <c r="H49" s="7">
        <v>2331400.0</v>
      </c>
      <c r="I49" s="7">
        <v>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 t="s">
        <v>409</v>
      </c>
      <c r="Q49" s="7">
        <v>25.03</v>
      </c>
      <c r="R49" s="3">
        <f t="shared" si="1"/>
        <v>25.03</v>
      </c>
    </row>
    <row r="50" ht="22.5" customHeight="1">
      <c r="B50" s="7" t="s">
        <v>453</v>
      </c>
      <c r="C50" s="7">
        <v>6087.0</v>
      </c>
      <c r="D50" s="7">
        <v>681814.0</v>
      </c>
      <c r="E50" s="7">
        <v>166368.0</v>
      </c>
      <c r="F50" s="7">
        <v>161324.0</v>
      </c>
      <c r="G50" s="7">
        <v>288205.0</v>
      </c>
      <c r="H50" s="7">
        <v>1.2729638E7</v>
      </c>
      <c r="I50" s="7">
        <v>6491.0</v>
      </c>
      <c r="J50" s="7">
        <v>6166.0</v>
      </c>
      <c r="K50" s="7">
        <v>325.0</v>
      </c>
      <c r="L50" s="7">
        <v>82.8</v>
      </c>
      <c r="M50" s="7">
        <v>-0.06</v>
      </c>
      <c r="N50" s="7">
        <v>450.0</v>
      </c>
      <c r="O50" s="7">
        <v>85784.0</v>
      </c>
      <c r="P50" s="7" t="s">
        <v>410</v>
      </c>
      <c r="Q50" s="7">
        <v>27.85</v>
      </c>
      <c r="R50" s="3">
        <f t="shared" si="1"/>
        <v>27.85</v>
      </c>
    </row>
    <row r="51" ht="22.5" customHeight="1">
      <c r="B51" s="7" t="s">
        <v>459</v>
      </c>
      <c r="C51" s="7">
        <v>1.05311E7</v>
      </c>
      <c r="D51" s="7">
        <v>2.6465625E7</v>
      </c>
      <c r="E51" s="7">
        <v>1003.0</v>
      </c>
      <c r="F51" s="7">
        <v>658.0</v>
      </c>
      <c r="G51" s="7">
        <v>1146721.0</v>
      </c>
      <c r="H51" s="7">
        <v>2.3913736E7</v>
      </c>
      <c r="I51" s="7">
        <v>40.0</v>
      </c>
      <c r="J51" s="7">
        <v>40.0</v>
      </c>
      <c r="K51" s="7">
        <v>0.0</v>
      </c>
      <c r="L51" s="7">
        <v>6.1</v>
      </c>
      <c r="M51" s="7">
        <v>-0.48</v>
      </c>
      <c r="N51" s="7">
        <v>1.0</v>
      </c>
      <c r="O51" s="7">
        <v>381002.0</v>
      </c>
      <c r="P51" s="7" t="s">
        <v>409</v>
      </c>
      <c r="Q51" s="7">
        <v>31.63</v>
      </c>
      <c r="R51" s="3">
        <f t="shared" si="1"/>
        <v>31.63</v>
      </c>
    </row>
    <row r="52" ht="22.5" customHeight="1">
      <c r="B52" s="7" t="s">
        <v>482</v>
      </c>
      <c r="C52" s="7">
        <v>260.0</v>
      </c>
      <c r="D52" s="7">
        <v>16640.0</v>
      </c>
      <c r="E52" s="7">
        <v>962421.0</v>
      </c>
      <c r="F52" s="7">
        <v>949510.0</v>
      </c>
      <c r="G52" s="7">
        <v>1150642.0</v>
      </c>
      <c r="H52" s="7">
        <v>1.426239E7</v>
      </c>
      <c r="I52" s="7">
        <v>22057.0</v>
      </c>
      <c r="J52" s="7">
        <v>20501.0</v>
      </c>
      <c r="K52" s="7">
        <v>1556.0</v>
      </c>
      <c r="L52" s="7">
        <v>14.99</v>
      </c>
      <c r="M52" s="7">
        <v>-0.03</v>
      </c>
      <c r="N52" s="7">
        <v>2515.0</v>
      </c>
      <c r="O52" s="7">
        <v>289774.0</v>
      </c>
      <c r="P52" s="7" t="s">
        <v>410</v>
      </c>
      <c r="Q52" s="7">
        <v>33.84</v>
      </c>
      <c r="R52" s="3">
        <f t="shared" si="1"/>
        <v>33.84</v>
      </c>
    </row>
    <row r="53" ht="22.5" customHeight="1">
      <c r="B53" s="7" t="s">
        <v>474</v>
      </c>
      <c r="C53" s="7">
        <v>29183.0</v>
      </c>
      <c r="D53" s="7">
        <v>697901.0</v>
      </c>
      <c r="E53" s="7">
        <v>255571.0</v>
      </c>
      <c r="F53" s="7">
        <v>251797.0</v>
      </c>
      <c r="G53" s="7">
        <v>395890.0</v>
      </c>
      <c r="H53" s="7">
        <v>1.2534173E7</v>
      </c>
      <c r="I53" s="7">
        <v>3508.0</v>
      </c>
      <c r="J53" s="7">
        <v>2965.0</v>
      </c>
      <c r="K53" s="7">
        <v>543.0</v>
      </c>
      <c r="L53" s="7">
        <v>74.02</v>
      </c>
      <c r="M53" s="7">
        <v>-0.02</v>
      </c>
      <c r="N53" s="7">
        <v>806.0</v>
      </c>
      <c r="O53" s="7">
        <v>100697.0</v>
      </c>
      <c r="P53" s="7" t="s">
        <v>409</v>
      </c>
      <c r="Q53" s="7">
        <v>34.19</v>
      </c>
      <c r="R53" s="3">
        <f t="shared" si="1"/>
        <v>34.19</v>
      </c>
    </row>
    <row r="54" ht="22.5" customHeight="1">
      <c r="B54" s="7" t="s">
        <v>473</v>
      </c>
      <c r="C54" s="7">
        <v>322.0</v>
      </c>
      <c r="D54" s="7">
        <v>1127.0</v>
      </c>
      <c r="E54" s="7">
        <v>528073.0</v>
      </c>
      <c r="F54" s="7">
        <v>513801.0</v>
      </c>
      <c r="G54" s="7">
        <v>1157719.0</v>
      </c>
      <c r="H54" s="7">
        <v>2.4663141E7</v>
      </c>
      <c r="I54" s="7">
        <v>19632.0</v>
      </c>
      <c r="J54" s="7">
        <v>19143.0</v>
      </c>
      <c r="K54" s="7">
        <v>489.0</v>
      </c>
      <c r="L54" s="7">
        <v>24.0</v>
      </c>
      <c r="M54" s="7">
        <v>-0.07</v>
      </c>
      <c r="N54" s="7">
        <v>780.0</v>
      </c>
      <c r="O54" s="7">
        <v>298422.0</v>
      </c>
      <c r="P54" s="7" t="s">
        <v>409</v>
      </c>
      <c r="Q54" s="7">
        <v>34.51</v>
      </c>
      <c r="R54" s="3">
        <f t="shared" si="1"/>
        <v>34.51</v>
      </c>
    </row>
    <row r="55" ht="22.5" customHeight="1">
      <c r="B55" s="7" t="s">
        <v>484</v>
      </c>
      <c r="C55" s="7">
        <v>2520.0</v>
      </c>
      <c r="D55" s="7">
        <v>8255.0</v>
      </c>
      <c r="E55" s="7">
        <v>363235.0</v>
      </c>
      <c r="F55" s="7">
        <v>357301.0</v>
      </c>
      <c r="G55" s="7">
        <v>667892.0</v>
      </c>
      <c r="H55" s="7">
        <v>7.260392E7</v>
      </c>
      <c r="I55" s="7">
        <v>17506.0</v>
      </c>
      <c r="J55" s="7">
        <v>17039.0</v>
      </c>
      <c r="K55" s="7">
        <v>467.0</v>
      </c>
      <c r="L55" s="7">
        <v>23.4</v>
      </c>
      <c r="M55" s="7">
        <v>-0.07</v>
      </c>
      <c r="N55" s="7">
        <v>731.0</v>
      </c>
      <c r="O55" s="7">
        <v>153696.0</v>
      </c>
      <c r="P55" s="7" t="s">
        <v>410</v>
      </c>
      <c r="Q55" s="7">
        <v>37.92</v>
      </c>
      <c r="R55" s="3">
        <f t="shared" si="1"/>
        <v>37.92</v>
      </c>
    </row>
    <row r="56" ht="22.5" customHeight="1">
      <c r="B56" s="7" t="s">
        <v>478</v>
      </c>
      <c r="C56" s="7">
        <v>568.0</v>
      </c>
      <c r="D56" s="7">
        <v>7150.0</v>
      </c>
      <c r="E56" s="7">
        <v>551576.0</v>
      </c>
      <c r="F56" s="7">
        <v>546383.0</v>
      </c>
      <c r="G56" s="7">
        <v>675453.0</v>
      </c>
      <c r="H56" s="7">
        <v>5.3484046E7</v>
      </c>
      <c r="I56" s="7">
        <v>22121.0</v>
      </c>
      <c r="J56" s="7">
        <v>21537.0</v>
      </c>
      <c r="K56" s="7">
        <v>584.0</v>
      </c>
      <c r="L56" s="7">
        <v>17.93</v>
      </c>
      <c r="M56" s="7">
        <v>-0.04</v>
      </c>
      <c r="N56" s="7">
        <v>911.0</v>
      </c>
      <c r="O56" s="7">
        <v>287885.0</v>
      </c>
      <c r="P56" s="7" t="s">
        <v>410</v>
      </c>
      <c r="Q56" s="7">
        <v>39.05</v>
      </c>
      <c r="R56" s="3">
        <f t="shared" si="1"/>
        <v>39.05</v>
      </c>
    </row>
    <row r="57" ht="22.5" customHeight="1">
      <c r="B57" s="7" t="s">
        <v>476</v>
      </c>
      <c r="C57" s="7">
        <v>25400.0</v>
      </c>
      <c r="D57" s="7">
        <v>1538668.0</v>
      </c>
      <c r="E57" s="7">
        <v>207975.0</v>
      </c>
      <c r="F57" s="7">
        <v>202808.0</v>
      </c>
      <c r="G57" s="7">
        <v>254411.0</v>
      </c>
      <c r="H57" s="7">
        <v>1.630477E7</v>
      </c>
      <c r="I57" s="7">
        <v>3091.0</v>
      </c>
      <c r="J57" s="7">
        <v>2727.0</v>
      </c>
      <c r="K57" s="7">
        <v>364.0</v>
      </c>
      <c r="L57" s="7">
        <v>43.09</v>
      </c>
      <c r="M57" s="7">
        <v>-0.04</v>
      </c>
      <c r="N57" s="7">
        <v>555.0</v>
      </c>
      <c r="O57" s="7">
        <v>86764.0</v>
      </c>
      <c r="P57" s="7" t="s">
        <v>410</v>
      </c>
      <c r="Q57" s="7">
        <v>40.4</v>
      </c>
      <c r="R57" s="3">
        <f t="shared" si="1"/>
        <v>40.4</v>
      </c>
    </row>
    <row r="58" ht="22.5" customHeight="1">
      <c r="B58" s="7" t="s">
        <v>481</v>
      </c>
      <c r="C58" s="7">
        <v>3.2170813E7</v>
      </c>
      <c r="D58" s="7">
        <v>7.4103667E7</v>
      </c>
      <c r="E58" s="7">
        <v>0.0</v>
      </c>
      <c r="F58" s="7">
        <v>0.0</v>
      </c>
      <c r="G58" s="7">
        <v>0.0</v>
      </c>
      <c r="H58" s="7">
        <v>6838597.0</v>
      </c>
      <c r="I58" s="7">
        <v>0.0</v>
      </c>
      <c r="J58" s="7">
        <v>0.0</v>
      </c>
      <c r="K58" s="7">
        <v>0.0</v>
      </c>
      <c r="L58" s="7">
        <v>0.0</v>
      </c>
      <c r="M58" s="7">
        <v>0.0</v>
      </c>
      <c r="N58" s="7">
        <v>0.0</v>
      </c>
      <c r="O58" s="7">
        <v>0.0</v>
      </c>
      <c r="P58" s="7" t="s">
        <v>409</v>
      </c>
      <c r="Q58" s="7">
        <v>41.61</v>
      </c>
      <c r="R58" s="3">
        <f t="shared" si="1"/>
        <v>41.61</v>
      </c>
    </row>
    <row r="59" ht="22.5" customHeight="1">
      <c r="B59" s="7" t="s">
        <v>475</v>
      </c>
      <c r="C59" s="7">
        <v>9630.0</v>
      </c>
      <c r="D59" s="7">
        <v>1991493.0</v>
      </c>
      <c r="E59" s="7">
        <v>172132.0</v>
      </c>
      <c r="F59" s="7">
        <v>167007.0</v>
      </c>
      <c r="G59" s="7">
        <v>286076.0</v>
      </c>
      <c r="H59" s="7">
        <v>2.6088931E7</v>
      </c>
      <c r="I59" s="7">
        <v>5155.0</v>
      </c>
      <c r="J59" s="7">
        <v>4793.0</v>
      </c>
      <c r="K59" s="7">
        <v>362.0</v>
      </c>
      <c r="L59" s="7">
        <v>91.2</v>
      </c>
      <c r="M59" s="7">
        <v>-0.05</v>
      </c>
      <c r="N59" s="7">
        <v>497.0</v>
      </c>
      <c r="O59" s="7">
        <v>90836.0</v>
      </c>
      <c r="P59" s="7" t="s">
        <v>410</v>
      </c>
      <c r="Q59" s="7">
        <v>41.94</v>
      </c>
      <c r="R59" s="3">
        <f t="shared" si="1"/>
        <v>41.94</v>
      </c>
    </row>
    <row r="60" ht="22.5" customHeight="1">
      <c r="B60" s="7" t="s">
        <v>452</v>
      </c>
      <c r="C60" s="7">
        <v>12662.0</v>
      </c>
      <c r="D60" s="7">
        <v>101807.0</v>
      </c>
      <c r="E60" s="7">
        <v>574512.0</v>
      </c>
      <c r="F60" s="7">
        <v>553160.0</v>
      </c>
      <c r="G60" s="7">
        <v>4261949.0</v>
      </c>
      <c r="H60" s="7">
        <v>5.3487552E7</v>
      </c>
      <c r="I60" s="7">
        <v>52458.0</v>
      </c>
      <c r="J60" s="7">
        <v>51931.0</v>
      </c>
      <c r="K60" s="7">
        <v>527.0</v>
      </c>
      <c r="L60" s="7">
        <v>16.58</v>
      </c>
      <c r="M60" s="7">
        <v>-0.25</v>
      </c>
      <c r="N60" s="7">
        <v>890.0</v>
      </c>
      <c r="O60" s="7">
        <v>578750.0</v>
      </c>
      <c r="P60" s="7" t="s">
        <v>409</v>
      </c>
      <c r="Q60" s="7">
        <v>46.04</v>
      </c>
      <c r="R60" s="3">
        <f t="shared" si="1"/>
        <v>46.04</v>
      </c>
    </row>
    <row r="61" ht="22.5" customHeight="1">
      <c r="B61" s="7" t="s">
        <v>479</v>
      </c>
      <c r="C61" s="7">
        <v>76014.0</v>
      </c>
      <c r="D61" s="7">
        <v>1420382.0</v>
      </c>
      <c r="E61" s="7">
        <v>154790.0</v>
      </c>
      <c r="F61" s="7">
        <v>146040.0</v>
      </c>
      <c r="G61" s="7">
        <v>1.591771E7</v>
      </c>
      <c r="H61" s="7">
        <v>1.37421397E8</v>
      </c>
      <c r="I61" s="7">
        <v>9006.0</v>
      </c>
      <c r="J61" s="7">
        <v>8917.0</v>
      </c>
      <c r="K61" s="7">
        <v>89.0</v>
      </c>
      <c r="L61" s="7">
        <v>126.69</v>
      </c>
      <c r="M61" s="7">
        <v>-0.2</v>
      </c>
      <c r="N61" s="7">
        <v>200.0</v>
      </c>
      <c r="O61" s="7">
        <v>1407219.0</v>
      </c>
      <c r="P61" s="7" t="s">
        <v>409</v>
      </c>
      <c r="Q61" s="7">
        <v>47.79</v>
      </c>
      <c r="R61" s="3">
        <f t="shared" si="1"/>
        <v>47.79</v>
      </c>
    </row>
    <row r="62" ht="22.5" customHeight="1">
      <c r="B62" s="7" t="s">
        <v>480</v>
      </c>
      <c r="C62" s="7">
        <v>500.0</v>
      </c>
      <c r="D62" s="7">
        <v>15526.0</v>
      </c>
      <c r="E62" s="7">
        <v>454095.0</v>
      </c>
      <c r="F62" s="7">
        <v>440083.0</v>
      </c>
      <c r="G62" s="7">
        <v>659846.0</v>
      </c>
      <c r="H62" s="7">
        <v>2.7350078E7</v>
      </c>
      <c r="I62" s="7">
        <v>11552.0</v>
      </c>
      <c r="J62" s="7">
        <v>11052.0</v>
      </c>
      <c r="K62" s="7">
        <v>500.0</v>
      </c>
      <c r="L62" s="7">
        <v>37.51</v>
      </c>
      <c r="M62" s="7">
        <v>-0.06</v>
      </c>
      <c r="N62" s="7">
        <v>764.0</v>
      </c>
      <c r="O62" s="7">
        <v>319312.0</v>
      </c>
      <c r="P62" s="7" t="s">
        <v>410</v>
      </c>
      <c r="Q62" s="7">
        <v>49.79</v>
      </c>
      <c r="R62" s="3">
        <f t="shared" si="1"/>
        <v>49.79</v>
      </c>
    </row>
    <row r="63" ht="22.5" customHeight="1">
      <c r="B63" s="7" t="s">
        <v>463</v>
      </c>
      <c r="C63" s="7">
        <v>138711.0</v>
      </c>
      <c r="D63" s="7">
        <v>4688533.0</v>
      </c>
      <c r="E63" s="7">
        <v>25222.0</v>
      </c>
      <c r="F63" s="7">
        <v>24450.0</v>
      </c>
      <c r="G63" s="7">
        <v>329463.0</v>
      </c>
      <c r="H63" s="7">
        <v>6.9284311E7</v>
      </c>
      <c r="I63" s="7">
        <v>1206.0</v>
      </c>
      <c r="J63" s="7">
        <v>1172.0</v>
      </c>
      <c r="K63" s="7">
        <v>34.0</v>
      </c>
      <c r="L63" s="7">
        <v>87.52</v>
      </c>
      <c r="M63" s="7">
        <v>-0.13</v>
      </c>
      <c r="N63" s="7">
        <v>51.0</v>
      </c>
      <c r="O63" s="7">
        <v>87109.0</v>
      </c>
      <c r="P63" s="7" t="s">
        <v>409</v>
      </c>
      <c r="Q63" s="7">
        <v>51.49</v>
      </c>
      <c r="R63" s="3">
        <f t="shared" si="1"/>
        <v>51.49</v>
      </c>
    </row>
    <row r="64" ht="22.5" customHeight="1">
      <c r="B64" s="7" t="s">
        <v>487</v>
      </c>
      <c r="C64" s="7">
        <v>2720.0</v>
      </c>
      <c r="D64" s="7">
        <v>105706.0</v>
      </c>
      <c r="E64" s="7">
        <v>225834.0</v>
      </c>
      <c r="F64" s="7">
        <v>220617.0</v>
      </c>
      <c r="G64" s="7">
        <v>424387.0</v>
      </c>
      <c r="H64" s="7">
        <v>1.7378534E7</v>
      </c>
      <c r="I64" s="7">
        <v>5045.0</v>
      </c>
      <c r="J64" s="7">
        <v>4672.0</v>
      </c>
      <c r="K64" s="7">
        <v>373.0</v>
      </c>
      <c r="L64" s="7">
        <v>47.4</v>
      </c>
      <c r="M64" s="7">
        <v>-0.05</v>
      </c>
      <c r="N64" s="7">
        <v>592.0</v>
      </c>
      <c r="O64" s="7">
        <v>92857.0</v>
      </c>
      <c r="P64" s="7" t="s">
        <v>410</v>
      </c>
      <c r="Q64" s="7">
        <v>54.34</v>
      </c>
      <c r="R64" s="3">
        <f t="shared" si="1"/>
        <v>54.34</v>
      </c>
    </row>
    <row r="65" ht="22.5" customHeight="1">
      <c r="B65" s="7" t="s">
        <v>502</v>
      </c>
      <c r="C65" s="7">
        <v>41734.0</v>
      </c>
      <c r="D65" s="7">
        <v>62235.0</v>
      </c>
      <c r="E65" s="7">
        <v>243634.0</v>
      </c>
      <c r="F65" s="7">
        <v>238932.0</v>
      </c>
      <c r="G65" s="7">
        <v>572305.0</v>
      </c>
      <c r="H65" s="7">
        <v>2.41282233E8</v>
      </c>
      <c r="I65" s="7">
        <v>6075.0</v>
      </c>
      <c r="J65" s="7">
        <v>5597.0</v>
      </c>
      <c r="K65" s="7">
        <v>478.0</v>
      </c>
      <c r="L65" s="7">
        <v>55.57</v>
      </c>
      <c r="M65" s="7">
        <v>-0.06</v>
      </c>
      <c r="N65" s="7">
        <v>725.0</v>
      </c>
      <c r="O65" s="7">
        <v>87016.0</v>
      </c>
      <c r="P65" s="7" t="s">
        <v>409</v>
      </c>
      <c r="Q65" s="7">
        <v>57.09</v>
      </c>
      <c r="R65" s="3">
        <f t="shared" si="1"/>
        <v>57.09</v>
      </c>
    </row>
    <row r="66" ht="22.5" customHeight="1">
      <c r="B66" s="7" t="s">
        <v>552</v>
      </c>
      <c r="C66" s="7">
        <v>12168.0</v>
      </c>
      <c r="D66" s="7">
        <v>55686.0</v>
      </c>
      <c r="E66" s="7">
        <v>221954.0</v>
      </c>
      <c r="F66" s="7">
        <v>217928.0</v>
      </c>
      <c r="G66" s="7">
        <v>352014.0</v>
      </c>
      <c r="H66" s="7">
        <v>2.04554479E8</v>
      </c>
      <c r="I66" s="7">
        <v>5094.0</v>
      </c>
      <c r="J66" s="7">
        <v>4697.0</v>
      </c>
      <c r="K66" s="7">
        <v>397.0</v>
      </c>
      <c r="L66" s="7">
        <v>63.77</v>
      </c>
      <c r="M66" s="7">
        <v>-0.05</v>
      </c>
      <c r="N66" s="7">
        <v>610.0</v>
      </c>
      <c r="O66" s="7">
        <v>79267.0</v>
      </c>
      <c r="P66" s="7" t="s">
        <v>409</v>
      </c>
      <c r="Q66" s="7">
        <v>61.67</v>
      </c>
      <c r="R66" s="3">
        <f t="shared" si="1"/>
        <v>61.67</v>
      </c>
    </row>
    <row r="67" ht="22.5" customHeight="1">
      <c r="B67" s="7" t="s">
        <v>495</v>
      </c>
      <c r="C67" s="7">
        <v>248213.0</v>
      </c>
      <c r="D67" s="7">
        <v>797751.0</v>
      </c>
      <c r="E67" s="7">
        <v>217306.0</v>
      </c>
      <c r="F67" s="7">
        <v>210040.0</v>
      </c>
      <c r="G67" s="7">
        <v>7951172.0</v>
      </c>
      <c r="H67" s="7">
        <v>8.1631094E7</v>
      </c>
      <c r="I67" s="7">
        <v>9254.0</v>
      </c>
      <c r="J67" s="7">
        <v>8856.0</v>
      </c>
      <c r="K67" s="7">
        <v>398.0</v>
      </c>
      <c r="L67" s="7">
        <v>151.19</v>
      </c>
      <c r="M67" s="7">
        <v>-0.13</v>
      </c>
      <c r="N67" s="7">
        <v>604.0</v>
      </c>
      <c r="O67" s="7">
        <v>748541.0</v>
      </c>
      <c r="P67" s="7" t="s">
        <v>409</v>
      </c>
      <c r="Q67" s="7">
        <v>68.35</v>
      </c>
      <c r="R67" s="3">
        <f t="shared" si="1"/>
        <v>68.35</v>
      </c>
    </row>
    <row r="68" ht="22.5" customHeight="1">
      <c r="B68" s="7" t="s">
        <v>533</v>
      </c>
      <c r="C68" s="7">
        <v>250.0</v>
      </c>
      <c r="D68" s="7">
        <v>12250.0</v>
      </c>
      <c r="E68" s="7">
        <v>1275106.0</v>
      </c>
      <c r="F68" s="7">
        <v>1250484.0</v>
      </c>
      <c r="G68" s="7">
        <v>2251048.0</v>
      </c>
      <c r="H68" s="7">
        <v>3.3875061E7</v>
      </c>
      <c r="I68" s="7">
        <v>22561.0</v>
      </c>
      <c r="J68" s="7">
        <v>20844.0</v>
      </c>
      <c r="K68" s="7">
        <v>1717.0</v>
      </c>
      <c r="L68" s="7">
        <v>42.82</v>
      </c>
      <c r="M68" s="7">
        <v>-0.04</v>
      </c>
      <c r="N68" s="7">
        <v>2769.0</v>
      </c>
      <c r="O68" s="7">
        <v>550939.0</v>
      </c>
      <c r="P68" s="7" t="s">
        <v>409</v>
      </c>
      <c r="Q68" s="7">
        <v>70.82</v>
      </c>
      <c r="R68" s="3">
        <f t="shared" si="1"/>
        <v>70.82</v>
      </c>
    </row>
    <row r="69" ht="22.5" customHeight="1">
      <c r="B69" s="7" t="s">
        <v>525</v>
      </c>
      <c r="C69" s="7">
        <v>48796.0</v>
      </c>
      <c r="D69" s="7">
        <v>72706.0</v>
      </c>
      <c r="E69" s="7">
        <v>238652.0</v>
      </c>
      <c r="F69" s="7">
        <v>233567.0</v>
      </c>
      <c r="G69" s="7">
        <v>571265.0</v>
      </c>
      <c r="H69" s="7">
        <v>3.05485487E8</v>
      </c>
      <c r="I69" s="7">
        <v>5947.0</v>
      </c>
      <c r="J69" s="7">
        <v>5507.0</v>
      </c>
      <c r="K69" s="7">
        <v>440.0</v>
      </c>
      <c r="L69" s="7">
        <v>60.06</v>
      </c>
      <c r="M69" s="7">
        <v>-0.06</v>
      </c>
      <c r="N69" s="7">
        <v>679.0</v>
      </c>
      <c r="O69" s="7">
        <v>89664.0</v>
      </c>
      <c r="P69" s="7" t="s">
        <v>409</v>
      </c>
      <c r="Q69" s="7">
        <v>76.97</v>
      </c>
      <c r="R69" s="3">
        <f t="shared" si="1"/>
        <v>76.97</v>
      </c>
    </row>
    <row r="70" ht="22.5" customHeight="1">
      <c r="B70" s="7" t="s">
        <v>489</v>
      </c>
      <c r="C70" s="7">
        <v>945.0</v>
      </c>
      <c r="D70" s="7">
        <v>61409.0</v>
      </c>
      <c r="E70" s="7">
        <v>811108.0</v>
      </c>
      <c r="F70" s="7">
        <v>793023.0</v>
      </c>
      <c r="G70" s="7">
        <v>1154746.0</v>
      </c>
      <c r="H70" s="7">
        <v>7.7721448E7</v>
      </c>
      <c r="I70" s="7">
        <v>20799.0</v>
      </c>
      <c r="J70" s="7">
        <v>19494.0</v>
      </c>
      <c r="K70" s="7">
        <v>1305.0</v>
      </c>
      <c r="L70" s="7">
        <v>54.97</v>
      </c>
      <c r="M70" s="7">
        <v>-0.05</v>
      </c>
      <c r="N70" s="7">
        <v>2030.0</v>
      </c>
      <c r="O70" s="7">
        <v>332060.0</v>
      </c>
      <c r="P70" s="7" t="s">
        <v>409</v>
      </c>
      <c r="Q70" s="7">
        <v>85.49</v>
      </c>
      <c r="R70" s="3">
        <f t="shared" si="1"/>
        <v>85.49</v>
      </c>
    </row>
    <row r="71" ht="22.5" customHeight="1">
      <c r="B71" s="7" t="s">
        <v>490</v>
      </c>
      <c r="C71" s="7">
        <v>2856.0</v>
      </c>
      <c r="D71" s="7">
        <v>10225.0</v>
      </c>
      <c r="E71" s="7">
        <v>1164087.0</v>
      </c>
      <c r="F71" s="7">
        <v>1149764.0</v>
      </c>
      <c r="G71" s="7">
        <v>2097005.0</v>
      </c>
      <c r="H71" s="7">
        <v>1.18689101E8</v>
      </c>
      <c r="I71" s="7">
        <v>42903.0</v>
      </c>
      <c r="J71" s="7">
        <v>40974.0</v>
      </c>
      <c r="K71" s="7">
        <v>1929.0</v>
      </c>
      <c r="L71" s="7">
        <v>23.46</v>
      </c>
      <c r="M71" s="7">
        <v>-0.07</v>
      </c>
      <c r="N71" s="7">
        <v>2981.0</v>
      </c>
      <c r="O71" s="7">
        <v>419636.0</v>
      </c>
      <c r="P71" s="7" t="s">
        <v>410</v>
      </c>
      <c r="Q71" s="7">
        <v>86.48</v>
      </c>
      <c r="R71" s="3">
        <f t="shared" si="1"/>
        <v>86.48</v>
      </c>
    </row>
    <row r="72" ht="22.5" customHeight="1">
      <c r="B72" s="7" t="s">
        <v>483</v>
      </c>
      <c r="C72" s="7">
        <v>83188.0</v>
      </c>
      <c r="D72" s="7">
        <v>1897458.0</v>
      </c>
      <c r="E72" s="7">
        <v>198330.0</v>
      </c>
      <c r="F72" s="7">
        <v>188540.0</v>
      </c>
      <c r="G72" s="7">
        <v>2.2594365E7</v>
      </c>
      <c r="H72" s="7">
        <v>1.65050982E8</v>
      </c>
      <c r="I72" s="7">
        <v>6877.0</v>
      </c>
      <c r="J72" s="7">
        <v>6680.0</v>
      </c>
      <c r="K72" s="7">
        <v>197.0</v>
      </c>
      <c r="L72" s="7">
        <v>124.85</v>
      </c>
      <c r="M72" s="7">
        <v>-0.18</v>
      </c>
      <c r="N72" s="7">
        <v>374.0</v>
      </c>
      <c r="O72" s="7">
        <v>2643491.0</v>
      </c>
      <c r="P72" s="7" t="s">
        <v>409</v>
      </c>
      <c r="Q72" s="7">
        <v>87.82</v>
      </c>
      <c r="R72" s="3">
        <f t="shared" si="1"/>
        <v>87.82</v>
      </c>
    </row>
    <row r="73" ht="22.5" customHeight="1">
      <c r="B73" s="7" t="s">
        <v>496</v>
      </c>
      <c r="C73" s="7">
        <v>74466.0</v>
      </c>
      <c r="D73" s="7">
        <v>111075.0</v>
      </c>
      <c r="E73" s="7">
        <v>62629.0</v>
      </c>
      <c r="F73" s="7">
        <v>61318.0</v>
      </c>
      <c r="G73" s="7">
        <v>182579.0</v>
      </c>
      <c r="H73" s="7">
        <v>9.1297546E7</v>
      </c>
      <c r="I73" s="7">
        <v>2091.0</v>
      </c>
      <c r="J73" s="7">
        <v>1951.0</v>
      </c>
      <c r="K73" s="7">
        <v>140.0</v>
      </c>
      <c r="L73" s="7">
        <v>67.8</v>
      </c>
      <c r="M73" s="7">
        <v>-0.08</v>
      </c>
      <c r="N73" s="7">
        <v>205.0</v>
      </c>
      <c r="O73" s="7">
        <v>24341.0</v>
      </c>
      <c r="P73" s="7" t="s">
        <v>409</v>
      </c>
      <c r="Q73" s="7">
        <v>88.04</v>
      </c>
      <c r="R73" s="3">
        <f t="shared" si="1"/>
        <v>88.04</v>
      </c>
    </row>
    <row r="74" ht="22.5" customHeight="1">
      <c r="B74" s="7" t="s">
        <v>477</v>
      </c>
      <c r="C74" s="7">
        <v>13211.0</v>
      </c>
      <c r="D74" s="7">
        <v>104874.0</v>
      </c>
      <c r="E74" s="7">
        <v>483684.0</v>
      </c>
      <c r="F74" s="7">
        <v>470585.0</v>
      </c>
      <c r="G74" s="7">
        <v>1845406.0</v>
      </c>
      <c r="H74" s="7">
        <v>1.87602572E8</v>
      </c>
      <c r="I74" s="7">
        <v>47643.0</v>
      </c>
      <c r="J74" s="7">
        <v>47202.0</v>
      </c>
      <c r="K74" s="7">
        <v>441.0</v>
      </c>
      <c r="L74" s="7">
        <v>20.11</v>
      </c>
      <c r="M74" s="7">
        <v>-0.21</v>
      </c>
      <c r="N74" s="7">
        <v>705.0</v>
      </c>
      <c r="O74" s="7">
        <v>298325.0</v>
      </c>
      <c r="P74" s="7" t="s">
        <v>409</v>
      </c>
      <c r="Q74" s="7">
        <v>94.93</v>
      </c>
      <c r="R74" s="3">
        <f t="shared" si="1"/>
        <v>94.93</v>
      </c>
    </row>
    <row r="75" ht="22.5" customHeight="1">
      <c r="B75" s="7" t="s">
        <v>503</v>
      </c>
      <c r="C75" s="7">
        <v>272.0</v>
      </c>
      <c r="D75" s="7">
        <v>200920.0</v>
      </c>
      <c r="E75" s="7">
        <v>1381833.0</v>
      </c>
      <c r="F75" s="7">
        <v>1353777.0</v>
      </c>
      <c r="G75" s="7">
        <v>1737580.0</v>
      </c>
      <c r="H75" s="7">
        <v>3.8753488E7</v>
      </c>
      <c r="I75" s="7">
        <v>34380.0</v>
      </c>
      <c r="J75" s="7">
        <v>32493.0</v>
      </c>
      <c r="K75" s="7">
        <v>1887.0</v>
      </c>
      <c r="L75" s="7">
        <v>26.96</v>
      </c>
      <c r="M75" s="7">
        <v>-0.04</v>
      </c>
      <c r="N75" s="7">
        <v>2937.0</v>
      </c>
      <c r="O75" s="7">
        <v>710663.0</v>
      </c>
      <c r="P75" s="7" t="s">
        <v>409</v>
      </c>
      <c r="Q75" s="7">
        <v>106.91</v>
      </c>
      <c r="R75" s="3">
        <f t="shared" si="1"/>
        <v>106.91</v>
      </c>
    </row>
    <row r="76" ht="22.5" customHeight="1">
      <c r="B76" s="7" t="s">
        <v>500</v>
      </c>
      <c r="C76" s="7">
        <v>268423.0</v>
      </c>
      <c r="D76" s="7">
        <v>1328859.0</v>
      </c>
      <c r="E76" s="7">
        <v>1111180.0</v>
      </c>
      <c r="F76" s="7">
        <v>1106930.0</v>
      </c>
      <c r="G76" s="7">
        <v>3764915.0</v>
      </c>
      <c r="H76" s="7">
        <v>4.9603743E7</v>
      </c>
      <c r="I76" s="7">
        <v>38975.0</v>
      </c>
      <c r="J76" s="7">
        <v>36404.0</v>
      </c>
      <c r="K76" s="7">
        <v>2571.0</v>
      </c>
      <c r="L76" s="7">
        <v>15.32</v>
      </c>
      <c r="M76" s="7">
        <v>-0.05</v>
      </c>
      <c r="N76" s="7">
        <v>3618.0</v>
      </c>
      <c r="O76" s="7">
        <v>620647.0</v>
      </c>
      <c r="P76" s="7" t="s">
        <v>410</v>
      </c>
      <c r="Q76" s="7">
        <v>111.28</v>
      </c>
      <c r="R76" s="3">
        <f t="shared" si="1"/>
        <v>111.28</v>
      </c>
    </row>
    <row r="77" ht="22.5" customHeight="1">
      <c r="B77" s="7" t="s">
        <v>497</v>
      </c>
      <c r="C77" s="7">
        <v>2240.0</v>
      </c>
      <c r="D77" s="7">
        <v>53398.0</v>
      </c>
      <c r="E77" s="7">
        <v>729550.0</v>
      </c>
      <c r="F77" s="7">
        <v>718243.0</v>
      </c>
      <c r="G77" s="7">
        <v>1010744.0</v>
      </c>
      <c r="H77" s="7">
        <v>3.0506775E7</v>
      </c>
      <c r="I77" s="7">
        <v>15175.0</v>
      </c>
      <c r="J77" s="7">
        <v>14188.0</v>
      </c>
      <c r="K77" s="7">
        <v>987.0</v>
      </c>
      <c r="L77" s="7">
        <v>64.74</v>
      </c>
      <c r="M77" s="7">
        <v>-0.03</v>
      </c>
      <c r="N77" s="7">
        <v>1587.0</v>
      </c>
      <c r="O77" s="7">
        <v>327963.0</v>
      </c>
      <c r="P77" s="7" t="s">
        <v>410</v>
      </c>
      <c r="Q77" s="7">
        <v>113.1</v>
      </c>
      <c r="R77" s="3">
        <f t="shared" si="1"/>
        <v>113.1</v>
      </c>
    </row>
    <row r="78" ht="22.5" customHeight="1">
      <c r="B78" s="7" t="s">
        <v>514</v>
      </c>
      <c r="C78" s="7">
        <v>28489.0</v>
      </c>
      <c r="D78" s="7">
        <v>97537.0</v>
      </c>
      <c r="E78" s="7">
        <v>691212.0</v>
      </c>
      <c r="F78" s="7">
        <v>681988.0</v>
      </c>
      <c r="G78" s="7">
        <v>3955950.0</v>
      </c>
      <c r="H78" s="7">
        <v>2.55338334E8</v>
      </c>
      <c r="I78" s="7">
        <v>46547.0</v>
      </c>
      <c r="J78" s="7">
        <v>45344.0</v>
      </c>
      <c r="K78" s="7">
        <v>1203.0</v>
      </c>
      <c r="L78" s="7">
        <v>29.47</v>
      </c>
      <c r="M78" s="7">
        <v>-0.13</v>
      </c>
      <c r="N78" s="7">
        <v>1743.0</v>
      </c>
      <c r="O78" s="7">
        <v>376406.0</v>
      </c>
      <c r="P78" s="7" t="s">
        <v>409</v>
      </c>
      <c r="Q78" s="7">
        <v>116.25</v>
      </c>
      <c r="R78" s="3">
        <f t="shared" si="1"/>
        <v>116.25</v>
      </c>
    </row>
    <row r="79" ht="22.5" customHeight="1">
      <c r="B79" s="7" t="s">
        <v>506</v>
      </c>
      <c r="C79" s="7">
        <v>69397.0</v>
      </c>
      <c r="D79" s="7">
        <v>225657.0</v>
      </c>
      <c r="E79" s="7">
        <v>42673.0</v>
      </c>
      <c r="F79" s="7">
        <v>41831.0</v>
      </c>
      <c r="G79" s="7">
        <v>123585.0</v>
      </c>
      <c r="H79" s="7">
        <v>3.37357211E8</v>
      </c>
      <c r="I79" s="7">
        <v>1423.0</v>
      </c>
      <c r="J79" s="7">
        <v>1358.0</v>
      </c>
      <c r="K79" s="7">
        <v>65.0</v>
      </c>
      <c r="L79" s="7">
        <v>69.29</v>
      </c>
      <c r="M79" s="7">
        <v>-0.07</v>
      </c>
      <c r="N79" s="7">
        <v>100.0</v>
      </c>
      <c r="O79" s="7">
        <v>35036.0</v>
      </c>
      <c r="P79" s="7" t="s">
        <v>410</v>
      </c>
      <c r="Q79" s="7">
        <v>145.04</v>
      </c>
      <c r="R79" s="3">
        <f t="shared" si="1"/>
        <v>145.04</v>
      </c>
    </row>
    <row r="80" ht="22.5" customHeight="1">
      <c r="B80" s="7" t="s">
        <v>515</v>
      </c>
      <c r="C80" s="7">
        <v>190686.0</v>
      </c>
      <c r="D80" s="7">
        <v>2439819.0</v>
      </c>
      <c r="E80" s="7">
        <v>167156.0</v>
      </c>
      <c r="F80" s="7">
        <v>162746.0</v>
      </c>
      <c r="G80" s="7">
        <v>972959.0</v>
      </c>
      <c r="H80" s="7">
        <v>1.93632074E8</v>
      </c>
      <c r="I80" s="7">
        <v>6666.0</v>
      </c>
      <c r="J80" s="7">
        <v>6414.0</v>
      </c>
      <c r="K80" s="7">
        <v>252.0</v>
      </c>
      <c r="L80" s="7">
        <v>18.06</v>
      </c>
      <c r="M80" s="7">
        <v>-0.14</v>
      </c>
      <c r="N80" s="7">
        <v>381.0</v>
      </c>
      <c r="O80" s="7">
        <v>282429.0</v>
      </c>
      <c r="P80" s="7" t="s">
        <v>409</v>
      </c>
      <c r="Q80" s="7">
        <v>159.61</v>
      </c>
      <c r="R80" s="3">
        <f t="shared" si="1"/>
        <v>159.61</v>
      </c>
    </row>
    <row r="81" ht="22.5" customHeight="1">
      <c r="B81" s="7" t="s">
        <v>492</v>
      </c>
      <c r="C81" s="7">
        <v>400.0</v>
      </c>
      <c r="D81" s="7">
        <v>1737.0</v>
      </c>
      <c r="E81" s="7">
        <v>1607950.0</v>
      </c>
      <c r="F81" s="7">
        <v>1583745.0</v>
      </c>
      <c r="G81" s="7">
        <v>2308922.0</v>
      </c>
      <c r="H81" s="7">
        <v>4.9608056E7</v>
      </c>
      <c r="I81" s="7">
        <v>72851.0</v>
      </c>
      <c r="J81" s="7">
        <v>71136.0</v>
      </c>
      <c r="K81" s="7">
        <v>1715.0</v>
      </c>
      <c r="L81" s="7">
        <v>15.07</v>
      </c>
      <c r="M81" s="7">
        <v>-0.06</v>
      </c>
      <c r="N81" s="7">
        <v>2768.0</v>
      </c>
      <c r="O81" s="7">
        <v>754455.0</v>
      </c>
      <c r="P81" s="7" t="s">
        <v>410</v>
      </c>
      <c r="Q81" s="7">
        <v>164.48</v>
      </c>
      <c r="R81" s="3">
        <f t="shared" si="1"/>
        <v>164.48</v>
      </c>
    </row>
    <row r="82" ht="22.5" customHeight="1">
      <c r="B82" s="7" t="s">
        <v>509</v>
      </c>
      <c r="C82" s="7">
        <v>30503.0</v>
      </c>
      <c r="D82" s="7">
        <v>91434.0</v>
      </c>
      <c r="E82" s="7">
        <v>526669.0</v>
      </c>
      <c r="F82" s="7">
        <v>517119.0</v>
      </c>
      <c r="G82" s="7">
        <v>1083242.0</v>
      </c>
      <c r="H82" s="7">
        <v>4.11571051E8</v>
      </c>
      <c r="I82" s="7">
        <v>29271.0</v>
      </c>
      <c r="J82" s="7">
        <v>28759.0</v>
      </c>
      <c r="K82" s="7">
        <v>512.0</v>
      </c>
      <c r="L82" s="7">
        <v>24.92</v>
      </c>
      <c r="M82" s="7">
        <v>-0.08</v>
      </c>
      <c r="N82" s="7">
        <v>802.0</v>
      </c>
      <c r="O82" s="7">
        <v>279238.0</v>
      </c>
      <c r="P82" s="7" t="s">
        <v>409</v>
      </c>
      <c r="Q82" s="7">
        <v>179.66</v>
      </c>
      <c r="R82" s="3">
        <f t="shared" si="1"/>
        <v>179.66</v>
      </c>
    </row>
    <row r="83" ht="22.5" customHeight="1">
      <c r="B83" s="7" t="s">
        <v>512</v>
      </c>
      <c r="C83" s="7">
        <v>5465836.0</v>
      </c>
      <c r="D83" s="7">
        <v>2.4527622E7</v>
      </c>
      <c r="E83" s="7">
        <v>21144.0</v>
      </c>
      <c r="F83" s="7">
        <v>13858.0</v>
      </c>
      <c r="G83" s="7">
        <v>208827.0</v>
      </c>
      <c r="H83" s="7">
        <v>1.22018778E8</v>
      </c>
      <c r="I83" s="7">
        <v>174.0</v>
      </c>
      <c r="J83" s="7">
        <v>146.0</v>
      </c>
      <c r="K83" s="7">
        <v>28.0</v>
      </c>
      <c r="L83" s="7">
        <v>382.05</v>
      </c>
      <c r="M83" s="7">
        <v>-0.04</v>
      </c>
      <c r="N83" s="7">
        <v>43.0</v>
      </c>
      <c r="O83" s="7">
        <v>58306.0</v>
      </c>
      <c r="P83" s="7" t="s">
        <v>410</v>
      </c>
      <c r="Q83" s="7">
        <v>184.13</v>
      </c>
      <c r="R83" s="3">
        <f t="shared" si="1"/>
        <v>184.13</v>
      </c>
    </row>
    <row r="84" ht="22.5" customHeight="1">
      <c r="B84" s="7" t="s">
        <v>462</v>
      </c>
      <c r="C84" s="7">
        <v>647.0</v>
      </c>
      <c r="D84" s="7">
        <v>3239.0</v>
      </c>
      <c r="E84" s="7">
        <v>2418582.0</v>
      </c>
      <c r="F84" s="7">
        <v>2370867.0</v>
      </c>
      <c r="G84" s="7">
        <v>5023940.0</v>
      </c>
      <c r="H84" s="7">
        <v>1.25940163E8</v>
      </c>
      <c r="I84" s="7">
        <v>119520.0</v>
      </c>
      <c r="J84" s="7">
        <v>116788.0</v>
      </c>
      <c r="K84" s="7">
        <v>2732.0</v>
      </c>
      <c r="L84" s="7">
        <v>21.03</v>
      </c>
      <c r="M84" s="7">
        <v>-0.09</v>
      </c>
      <c r="N84" s="7">
        <v>4358.0</v>
      </c>
      <c r="O84" s="7">
        <v>1126874.0</v>
      </c>
      <c r="P84" s="7" t="s">
        <v>409</v>
      </c>
      <c r="Q84" s="7">
        <v>184.82</v>
      </c>
      <c r="R84" s="3">
        <f t="shared" si="1"/>
        <v>184.82</v>
      </c>
    </row>
    <row r="85" ht="22.5" customHeight="1">
      <c r="B85" s="7" t="s">
        <v>486</v>
      </c>
      <c r="C85" s="7">
        <v>315093.0</v>
      </c>
      <c r="D85" s="7">
        <v>1546049.0</v>
      </c>
      <c r="E85" s="7">
        <v>367752.0</v>
      </c>
      <c r="F85" s="7">
        <v>359208.0</v>
      </c>
      <c r="G85" s="7">
        <v>3142806.0</v>
      </c>
      <c r="H85" s="7">
        <v>2.6977126E8</v>
      </c>
      <c r="I85" s="7">
        <v>24730.0</v>
      </c>
      <c r="J85" s="7">
        <v>24286.0</v>
      </c>
      <c r="K85" s="7">
        <v>444.0</v>
      </c>
      <c r="L85" s="7">
        <v>14.19</v>
      </c>
      <c r="M85" s="7">
        <v>-0.18</v>
      </c>
      <c r="N85" s="7">
        <v>708.0</v>
      </c>
      <c r="O85" s="7">
        <v>323806.0</v>
      </c>
      <c r="P85" s="7" t="s">
        <v>410</v>
      </c>
      <c r="Q85" s="7">
        <v>185.17</v>
      </c>
      <c r="R85" s="3">
        <f t="shared" si="1"/>
        <v>185.17</v>
      </c>
    </row>
    <row r="86" ht="22.5" customHeight="1">
      <c r="B86" s="7" t="s">
        <v>520</v>
      </c>
      <c r="C86" s="7">
        <v>126976.0</v>
      </c>
      <c r="D86" s="7">
        <v>296879.0</v>
      </c>
      <c r="E86" s="7">
        <v>162880.0</v>
      </c>
      <c r="F86" s="7">
        <v>160322.0</v>
      </c>
      <c r="G86" s="7">
        <v>3715371.0</v>
      </c>
      <c r="H86" s="7">
        <v>6.34390274E8</v>
      </c>
      <c r="I86" s="7">
        <v>13344.0</v>
      </c>
      <c r="J86" s="7">
        <v>13159.0</v>
      </c>
      <c r="K86" s="7">
        <v>185.0</v>
      </c>
      <c r="L86" s="7">
        <v>19.03</v>
      </c>
      <c r="M86" s="7">
        <v>-0.18</v>
      </c>
      <c r="N86" s="7">
        <v>308.0</v>
      </c>
      <c r="O86" s="7">
        <v>262490.0</v>
      </c>
      <c r="P86" s="7" t="s">
        <v>410</v>
      </c>
      <c r="Q86" s="7">
        <v>193.39</v>
      </c>
      <c r="R86" s="3">
        <f t="shared" si="1"/>
        <v>193.39</v>
      </c>
    </row>
    <row r="87" ht="22.5" customHeight="1">
      <c r="B87" s="7" t="s">
        <v>510</v>
      </c>
      <c r="C87" s="7">
        <v>14650.0</v>
      </c>
      <c r="D87" s="7">
        <v>110155.0</v>
      </c>
      <c r="E87" s="7">
        <v>1755805.0</v>
      </c>
      <c r="F87" s="7">
        <v>1721981.0</v>
      </c>
      <c r="G87" s="7">
        <v>3174221.0</v>
      </c>
      <c r="H87" s="7">
        <v>1.54751339E8</v>
      </c>
      <c r="I87" s="7">
        <v>80848.0</v>
      </c>
      <c r="J87" s="7">
        <v>79171.0</v>
      </c>
      <c r="K87" s="7">
        <v>1677.0</v>
      </c>
      <c r="L87" s="7">
        <v>20.3</v>
      </c>
      <c r="M87" s="7">
        <v>-0.09</v>
      </c>
      <c r="N87" s="7">
        <v>2730.0</v>
      </c>
      <c r="O87" s="7">
        <v>952568.0</v>
      </c>
      <c r="P87" s="7" t="s">
        <v>410</v>
      </c>
      <c r="Q87" s="7">
        <v>193.64</v>
      </c>
      <c r="R87" s="3">
        <f t="shared" si="1"/>
        <v>193.64</v>
      </c>
    </row>
    <row r="88" ht="22.5" customHeight="1">
      <c r="B88" s="7" t="s">
        <v>800</v>
      </c>
      <c r="C88" s="7">
        <v>56511.0</v>
      </c>
      <c r="D88" s="7">
        <v>161376.0</v>
      </c>
      <c r="E88" s="7">
        <v>825332.0</v>
      </c>
      <c r="F88" s="7">
        <v>800083.0</v>
      </c>
      <c r="G88" s="7">
        <v>8546118.0</v>
      </c>
      <c r="H88" s="7">
        <v>9.53498431E8</v>
      </c>
      <c r="I88" s="7">
        <v>47469.0</v>
      </c>
      <c r="J88" s="7">
        <v>45981.0</v>
      </c>
      <c r="K88" s="7">
        <v>1488.0</v>
      </c>
      <c r="L88" s="7">
        <v>155.34</v>
      </c>
      <c r="M88" s="7">
        <v>-0.13</v>
      </c>
      <c r="N88" s="7">
        <v>2233.0</v>
      </c>
      <c r="O88" s="7">
        <v>296224.0</v>
      </c>
      <c r="P88" s="7" t="s">
        <v>409</v>
      </c>
      <c r="Q88" s="7">
        <v>222.16</v>
      </c>
      <c r="R88" s="3">
        <f t="shared" si="1"/>
        <v>222.16</v>
      </c>
    </row>
    <row r="89" ht="22.5" customHeight="1">
      <c r="B89" s="7" t="s">
        <v>498</v>
      </c>
      <c r="C89" s="7">
        <v>1509852.0</v>
      </c>
      <c r="D89" s="7">
        <v>1.5272255E7</v>
      </c>
      <c r="E89" s="7">
        <v>19773.0</v>
      </c>
      <c r="F89" s="7">
        <v>8948.0</v>
      </c>
      <c r="G89" s="7">
        <v>545836.0</v>
      </c>
      <c r="H89" s="7">
        <v>7.14426709E8</v>
      </c>
      <c r="I89" s="7">
        <v>199.0</v>
      </c>
      <c r="J89" s="7">
        <v>182.0</v>
      </c>
      <c r="K89" s="7">
        <v>17.0</v>
      </c>
      <c r="L89" s="7">
        <v>861.46</v>
      </c>
      <c r="M89" s="7">
        <v>-0.06</v>
      </c>
      <c r="N89" s="7">
        <v>27.0</v>
      </c>
      <c r="O89" s="7">
        <v>79888.0</v>
      </c>
      <c r="P89" s="7" t="s">
        <v>410</v>
      </c>
      <c r="Q89" s="7">
        <v>225.82</v>
      </c>
      <c r="R89" s="3">
        <f t="shared" si="1"/>
        <v>225.82</v>
      </c>
    </row>
    <row r="90" ht="22.5" customHeight="1">
      <c r="B90" s="7" t="s">
        <v>524</v>
      </c>
      <c r="C90" s="7">
        <v>501283.0</v>
      </c>
      <c r="D90" s="7">
        <v>2445459.0</v>
      </c>
      <c r="E90" s="7">
        <v>1696299.0</v>
      </c>
      <c r="F90" s="7">
        <v>1688404.0</v>
      </c>
      <c r="G90" s="7">
        <v>1.0723938E7</v>
      </c>
      <c r="H90" s="7">
        <v>1.19407647E8</v>
      </c>
      <c r="I90" s="7">
        <v>82739.0</v>
      </c>
      <c r="J90" s="7">
        <v>79611.0</v>
      </c>
      <c r="K90" s="7">
        <v>3128.0</v>
      </c>
      <c r="L90" s="7">
        <v>15.01</v>
      </c>
      <c r="M90" s="7">
        <v>-0.08</v>
      </c>
      <c r="N90" s="7">
        <v>4171.0</v>
      </c>
      <c r="O90" s="7">
        <v>1779755.0</v>
      </c>
      <c r="P90" s="7" t="s">
        <v>410</v>
      </c>
      <c r="Q90" s="7">
        <v>242.22</v>
      </c>
      <c r="R90" s="3">
        <f t="shared" si="1"/>
        <v>242.22</v>
      </c>
    </row>
    <row r="91" ht="22.5" customHeight="1">
      <c r="B91" s="7" t="s">
        <v>531</v>
      </c>
      <c r="C91" s="7">
        <v>1000.0</v>
      </c>
      <c r="D91" s="7">
        <v>13500.0</v>
      </c>
      <c r="E91" s="7">
        <v>2130689.0</v>
      </c>
      <c r="F91" s="7">
        <v>2084978.0</v>
      </c>
      <c r="G91" s="7">
        <v>3412274.0</v>
      </c>
      <c r="H91" s="7">
        <v>1.59902649E8</v>
      </c>
      <c r="I91" s="7">
        <v>94237.0</v>
      </c>
      <c r="J91" s="7">
        <v>92254.0</v>
      </c>
      <c r="K91" s="7">
        <v>1983.0</v>
      </c>
      <c r="L91" s="7">
        <v>32.94</v>
      </c>
      <c r="M91" s="7">
        <v>-0.07</v>
      </c>
      <c r="N91" s="7">
        <v>3163.0</v>
      </c>
      <c r="O91" s="7">
        <v>1156340.0</v>
      </c>
      <c r="P91" s="7" t="s">
        <v>409</v>
      </c>
      <c r="Q91" s="7">
        <v>258.48</v>
      </c>
      <c r="R91" s="3">
        <f t="shared" si="1"/>
        <v>258.48</v>
      </c>
    </row>
    <row r="92" ht="22.5" customHeight="1">
      <c r="B92" s="7" t="s">
        <v>516</v>
      </c>
      <c r="C92" s="7">
        <v>3641.0</v>
      </c>
      <c r="D92" s="7">
        <v>4456.0</v>
      </c>
      <c r="E92" s="7">
        <v>2265447.0</v>
      </c>
      <c r="F92" s="7">
        <v>2248139.0</v>
      </c>
      <c r="G92" s="7">
        <v>2855349.0</v>
      </c>
      <c r="H92" s="7">
        <v>2.2806937E8</v>
      </c>
      <c r="I92" s="7">
        <v>105501.0</v>
      </c>
      <c r="J92" s="7">
        <v>103053.0</v>
      </c>
      <c r="K92" s="7">
        <v>2448.0</v>
      </c>
      <c r="L92" s="7">
        <v>23.19</v>
      </c>
      <c r="M92" s="7">
        <v>-0.04</v>
      </c>
      <c r="N92" s="7">
        <v>3838.0</v>
      </c>
      <c r="O92" s="7">
        <v>1106544.0</v>
      </c>
      <c r="P92" s="7" t="s">
        <v>410</v>
      </c>
      <c r="Q92" s="7">
        <v>272.69</v>
      </c>
      <c r="R92" s="3">
        <f t="shared" si="1"/>
        <v>272.69</v>
      </c>
    </row>
    <row r="93" ht="22.5" customHeight="1">
      <c r="B93" s="7" t="s">
        <v>733</v>
      </c>
      <c r="C93" s="7">
        <v>6900.0</v>
      </c>
      <c r="D93" s="7">
        <v>64260.0</v>
      </c>
      <c r="E93" s="7">
        <v>2615767.0</v>
      </c>
      <c r="F93" s="7">
        <v>2605309.0</v>
      </c>
      <c r="G93" s="7">
        <v>2845982.0</v>
      </c>
      <c r="H93" s="7">
        <v>1.11169949E8</v>
      </c>
      <c r="I93" s="7">
        <v>90548.0</v>
      </c>
      <c r="J93" s="7">
        <v>86232.0</v>
      </c>
      <c r="K93" s="7">
        <v>4316.0</v>
      </c>
      <c r="L93" s="7">
        <v>41.58</v>
      </c>
      <c r="M93" s="7">
        <v>-0.02</v>
      </c>
      <c r="N93" s="7">
        <v>6232.0</v>
      </c>
      <c r="O93" s="7">
        <v>1140334.0</v>
      </c>
      <c r="P93" s="7" t="s">
        <v>410</v>
      </c>
      <c r="Q93" s="7">
        <v>278.42</v>
      </c>
      <c r="R93" s="3">
        <f t="shared" si="1"/>
        <v>278.42</v>
      </c>
    </row>
    <row r="94" ht="22.5" customHeight="1">
      <c r="B94" s="7" t="s">
        <v>540</v>
      </c>
      <c r="C94" s="7">
        <v>306.0</v>
      </c>
      <c r="D94" s="7">
        <v>264104.0</v>
      </c>
      <c r="E94" s="7">
        <v>4264324.0</v>
      </c>
      <c r="F94" s="7">
        <v>4181243.0</v>
      </c>
      <c r="G94" s="7">
        <v>5247046.0</v>
      </c>
      <c r="H94" s="7">
        <v>1.24769627E8</v>
      </c>
      <c r="I94" s="7">
        <v>75655.0</v>
      </c>
      <c r="J94" s="7">
        <v>68099.0</v>
      </c>
      <c r="K94" s="7">
        <v>7556.0</v>
      </c>
      <c r="L94" s="7">
        <v>30.49</v>
      </c>
      <c r="M94" s="7">
        <v>-0.03</v>
      </c>
      <c r="N94" s="7">
        <v>11748.0</v>
      </c>
      <c r="O94" s="7">
        <v>1567635.0</v>
      </c>
      <c r="P94" s="7" t="s">
        <v>409</v>
      </c>
      <c r="Q94" s="7">
        <v>299.14</v>
      </c>
      <c r="R94" s="3">
        <f t="shared" si="1"/>
        <v>299.14</v>
      </c>
    </row>
    <row r="95" ht="22.5" customHeight="1">
      <c r="B95" s="7" t="s">
        <v>538</v>
      </c>
      <c r="C95" s="7">
        <v>380100.0</v>
      </c>
      <c r="D95" s="7">
        <v>3747692.0</v>
      </c>
      <c r="E95" s="7">
        <v>229099.0</v>
      </c>
      <c r="F95" s="7">
        <v>221637.0</v>
      </c>
      <c r="G95" s="7">
        <v>2581611.0</v>
      </c>
      <c r="H95" s="7">
        <v>1.057941076E9</v>
      </c>
      <c r="I95" s="7">
        <v>7481.0</v>
      </c>
      <c r="J95" s="7">
        <v>7089.0</v>
      </c>
      <c r="K95" s="7">
        <v>392.0</v>
      </c>
      <c r="L95" s="7">
        <v>827.47</v>
      </c>
      <c r="M95" s="7">
        <v>-0.11</v>
      </c>
      <c r="N95" s="7">
        <v>616.0</v>
      </c>
      <c r="O95" s="7">
        <v>195467.0</v>
      </c>
      <c r="P95" s="7" t="s">
        <v>409</v>
      </c>
      <c r="Q95" s="7">
        <v>326.87</v>
      </c>
      <c r="R95" s="3">
        <f t="shared" si="1"/>
        <v>326.87</v>
      </c>
    </row>
    <row r="96" ht="22.5" customHeight="1">
      <c r="B96" s="7" t="s">
        <v>566</v>
      </c>
      <c r="C96" s="7">
        <v>3220.0</v>
      </c>
      <c r="D96" s="7">
        <v>12314.0</v>
      </c>
      <c r="E96" s="7">
        <v>3672899.0</v>
      </c>
      <c r="F96" s="7">
        <v>3620754.0</v>
      </c>
      <c r="G96" s="7">
        <v>9400451.0</v>
      </c>
      <c r="H96" s="7">
        <v>2.77134259E8</v>
      </c>
      <c r="I96" s="7">
        <v>133266.0</v>
      </c>
      <c r="J96" s="7">
        <v>127096.0</v>
      </c>
      <c r="K96" s="7">
        <v>6170.0</v>
      </c>
      <c r="L96" s="7">
        <v>36.84</v>
      </c>
      <c r="M96" s="7">
        <v>-0.08</v>
      </c>
      <c r="N96" s="7">
        <v>9724.0</v>
      </c>
      <c r="O96" s="7">
        <v>1206644.0</v>
      </c>
      <c r="P96" s="7" t="s">
        <v>409</v>
      </c>
      <c r="Q96" s="7">
        <v>351.18</v>
      </c>
      <c r="R96" s="3">
        <f t="shared" si="1"/>
        <v>351.18</v>
      </c>
    </row>
    <row r="97" ht="22.5" customHeight="1">
      <c r="B97" s="7" t="s">
        <v>513</v>
      </c>
      <c r="C97" s="7">
        <v>500.0</v>
      </c>
      <c r="D97" s="7">
        <v>4498.0</v>
      </c>
      <c r="E97" s="7">
        <v>2297339.0</v>
      </c>
      <c r="F97" s="7">
        <v>2256148.0</v>
      </c>
      <c r="G97" s="7">
        <v>3883468.0</v>
      </c>
      <c r="H97" s="7">
        <v>1.57218421E8</v>
      </c>
      <c r="I97" s="7">
        <v>101744.0</v>
      </c>
      <c r="J97" s="7">
        <v>99423.0</v>
      </c>
      <c r="K97" s="7">
        <v>2321.0</v>
      </c>
      <c r="L97" s="7">
        <v>23.31</v>
      </c>
      <c r="M97" s="7">
        <v>-0.07</v>
      </c>
      <c r="N97" s="7">
        <v>3759.0</v>
      </c>
      <c r="O97" s="7">
        <v>1107696.0</v>
      </c>
      <c r="P97" s="7" t="s">
        <v>409</v>
      </c>
      <c r="Q97" s="7">
        <v>385.66</v>
      </c>
      <c r="R97" s="3">
        <f t="shared" si="1"/>
        <v>385.66</v>
      </c>
    </row>
    <row r="98" ht="22.5" customHeight="1">
      <c r="B98" s="7" t="s">
        <v>522</v>
      </c>
      <c r="C98" s="7">
        <v>184371.0</v>
      </c>
      <c r="D98" s="7">
        <v>2307471.0</v>
      </c>
      <c r="E98" s="7">
        <v>627801.0</v>
      </c>
      <c r="F98" s="7">
        <v>610239.0</v>
      </c>
      <c r="G98" s="7">
        <v>3639560.0</v>
      </c>
      <c r="H98" s="7">
        <v>6.77399651E8</v>
      </c>
      <c r="I98" s="7">
        <v>43588.0</v>
      </c>
      <c r="J98" s="7">
        <v>42805.0</v>
      </c>
      <c r="K98" s="7">
        <v>783.0</v>
      </c>
      <c r="L98" s="7">
        <v>21.36</v>
      </c>
      <c r="M98" s="7">
        <v>-0.18</v>
      </c>
      <c r="N98" s="7">
        <v>1226.0</v>
      </c>
      <c r="O98" s="7">
        <v>756380.0</v>
      </c>
      <c r="P98" s="7" t="s">
        <v>409</v>
      </c>
      <c r="Q98" s="7">
        <v>386.39</v>
      </c>
      <c r="R98" s="3">
        <f t="shared" si="1"/>
        <v>386.39</v>
      </c>
    </row>
    <row r="99" ht="22.5" customHeight="1">
      <c r="B99" s="7" t="s">
        <v>528</v>
      </c>
      <c r="C99" s="7">
        <v>3151111.0</v>
      </c>
      <c r="D99" s="7">
        <v>1.0869059E7</v>
      </c>
      <c r="E99" s="7">
        <v>290621.0</v>
      </c>
      <c r="F99" s="7">
        <v>277530.0</v>
      </c>
      <c r="G99" s="7">
        <v>1176396.0</v>
      </c>
      <c r="H99" s="7">
        <v>7.66108874E8</v>
      </c>
      <c r="I99" s="7">
        <v>10005.0</v>
      </c>
      <c r="J99" s="7">
        <v>9530.0</v>
      </c>
      <c r="K99" s="7">
        <v>475.0</v>
      </c>
      <c r="L99" s="7">
        <v>40.04</v>
      </c>
      <c r="M99" s="7">
        <v>-0.1</v>
      </c>
      <c r="N99" s="7">
        <v>737.0</v>
      </c>
      <c r="O99" s="7">
        <v>227047.0</v>
      </c>
      <c r="P99" s="7" t="s">
        <v>410</v>
      </c>
      <c r="Q99" s="7">
        <v>418.89</v>
      </c>
      <c r="R99" s="3">
        <f t="shared" si="1"/>
        <v>418.89</v>
      </c>
    </row>
    <row r="100" ht="22.5" customHeight="1">
      <c r="B100" s="7" t="s">
        <v>529</v>
      </c>
      <c r="C100" s="7">
        <v>527.0</v>
      </c>
      <c r="D100" s="7">
        <v>12692.0</v>
      </c>
      <c r="E100" s="7">
        <v>3249340.0</v>
      </c>
      <c r="F100" s="7">
        <v>3201451.0</v>
      </c>
      <c r="G100" s="7">
        <v>4052930.0</v>
      </c>
      <c r="H100" s="7">
        <v>1.08640834E8</v>
      </c>
      <c r="I100" s="7">
        <v>89855.0</v>
      </c>
      <c r="J100" s="7">
        <v>85247.0</v>
      </c>
      <c r="K100" s="7">
        <v>4608.0</v>
      </c>
      <c r="L100" s="7">
        <v>16.57</v>
      </c>
      <c r="M100" s="7">
        <v>-0.04</v>
      </c>
      <c r="N100" s="7">
        <v>7512.0</v>
      </c>
      <c r="O100" s="7">
        <v>1174313.0</v>
      </c>
      <c r="P100" s="7" t="s">
        <v>410</v>
      </c>
      <c r="Q100" s="7">
        <v>419.94</v>
      </c>
      <c r="R100" s="3">
        <f t="shared" si="1"/>
        <v>419.94</v>
      </c>
    </row>
    <row r="101" ht="22.5" customHeight="1">
      <c r="B101" s="7" t="s">
        <v>803</v>
      </c>
      <c r="C101" s="7">
        <v>551880.0</v>
      </c>
      <c r="D101" s="7">
        <v>7948745.0</v>
      </c>
      <c r="E101" s="7">
        <v>380929.0</v>
      </c>
      <c r="F101" s="7">
        <v>379370.0</v>
      </c>
      <c r="G101" s="7">
        <v>422172.0</v>
      </c>
      <c r="H101" s="7">
        <v>4.85635336E8</v>
      </c>
      <c r="I101" s="7">
        <v>13645.0</v>
      </c>
      <c r="J101" s="7">
        <v>13070.0</v>
      </c>
      <c r="K101" s="7">
        <v>575.0</v>
      </c>
      <c r="L101" s="7">
        <v>37.29</v>
      </c>
      <c r="M101" s="7">
        <v>-0.02</v>
      </c>
      <c r="N101" s="7">
        <v>838.0</v>
      </c>
      <c r="O101" s="7">
        <v>177015.0</v>
      </c>
      <c r="P101" s="7" t="s">
        <v>410</v>
      </c>
      <c r="Q101" s="7">
        <v>431.91</v>
      </c>
      <c r="R101" s="3">
        <f t="shared" si="1"/>
        <v>431.91</v>
      </c>
    </row>
    <row r="102" ht="22.5" customHeight="1">
      <c r="B102" s="7" t="s">
        <v>527</v>
      </c>
      <c r="C102" s="7">
        <v>2100.0</v>
      </c>
      <c r="D102" s="7">
        <v>17509.0</v>
      </c>
      <c r="E102" s="7">
        <v>9266529.0</v>
      </c>
      <c r="F102" s="7">
        <v>9204054.0</v>
      </c>
      <c r="G102" s="7">
        <v>1.0053781E7</v>
      </c>
      <c r="H102" s="7">
        <v>3.6636444E8</v>
      </c>
      <c r="I102" s="7">
        <v>325914.0</v>
      </c>
      <c r="J102" s="7">
        <v>315633.0</v>
      </c>
      <c r="K102" s="7">
        <v>10281.0</v>
      </c>
      <c r="L102" s="7">
        <v>19.05</v>
      </c>
      <c r="M102" s="7">
        <v>-0.02</v>
      </c>
      <c r="N102" s="7">
        <v>16134.0</v>
      </c>
      <c r="O102" s="7">
        <v>4653838.0</v>
      </c>
      <c r="P102" s="7" t="s">
        <v>410</v>
      </c>
      <c r="Q102" s="7">
        <v>456.4</v>
      </c>
      <c r="R102" s="3">
        <f t="shared" si="1"/>
        <v>456.4</v>
      </c>
    </row>
    <row r="103" ht="22.5" customHeight="1">
      <c r="B103" s="7" t="s">
        <v>618</v>
      </c>
      <c r="C103" s="7">
        <v>2300.0</v>
      </c>
      <c r="D103" s="7">
        <v>21816.0</v>
      </c>
      <c r="E103" s="7">
        <v>5054057.0</v>
      </c>
      <c r="F103" s="7">
        <v>5031075.0</v>
      </c>
      <c r="G103" s="7">
        <v>5418196.0</v>
      </c>
      <c r="H103" s="7">
        <v>2.20120695E8</v>
      </c>
      <c r="I103" s="7">
        <v>154549.0</v>
      </c>
      <c r="J103" s="7">
        <v>145649.0</v>
      </c>
      <c r="K103" s="7">
        <v>8900.0</v>
      </c>
      <c r="L103" s="7">
        <v>38.04</v>
      </c>
      <c r="M103" s="7">
        <v>-0.02</v>
      </c>
      <c r="N103" s="7">
        <v>13083.0</v>
      </c>
      <c r="O103" s="7">
        <v>1939828.0</v>
      </c>
      <c r="P103" s="7" t="s">
        <v>410</v>
      </c>
      <c r="Q103" s="7">
        <v>462.24</v>
      </c>
      <c r="R103" s="3">
        <f t="shared" si="1"/>
        <v>462.24</v>
      </c>
    </row>
    <row r="104" ht="22.5" customHeight="1">
      <c r="B104" s="7" t="s">
        <v>507</v>
      </c>
      <c r="C104" s="7">
        <v>6664.0</v>
      </c>
      <c r="D104" s="7">
        <v>89966.0</v>
      </c>
      <c r="E104" s="7">
        <v>3190529.0</v>
      </c>
      <c r="F104" s="7">
        <v>3115684.0</v>
      </c>
      <c r="G104" s="7">
        <v>5713455.0</v>
      </c>
      <c r="H104" s="7">
        <v>5.74654732E8</v>
      </c>
      <c r="I104" s="7">
        <v>99649.0</v>
      </c>
      <c r="J104" s="7">
        <v>94805.0</v>
      </c>
      <c r="K104" s="7">
        <v>4844.0</v>
      </c>
      <c r="L104" s="7">
        <v>45.08</v>
      </c>
      <c r="M104" s="7">
        <v>-0.07</v>
      </c>
      <c r="N104" s="7">
        <v>7652.0</v>
      </c>
      <c r="O104" s="7">
        <v>1236730.0</v>
      </c>
      <c r="P104" s="7" t="s">
        <v>410</v>
      </c>
      <c r="Q104" s="7">
        <v>477.99</v>
      </c>
      <c r="R104" s="3">
        <f t="shared" si="1"/>
        <v>477.99</v>
      </c>
    </row>
    <row r="105" ht="22.5" customHeight="1">
      <c r="B105" s="7" t="s">
        <v>521</v>
      </c>
      <c r="C105" s="7">
        <v>1854.0</v>
      </c>
      <c r="D105" s="7">
        <v>26809.0</v>
      </c>
      <c r="E105" s="7">
        <v>5815632.0</v>
      </c>
      <c r="F105" s="7">
        <v>5808009.0</v>
      </c>
      <c r="G105" s="7">
        <v>6154109.0</v>
      </c>
      <c r="H105" s="7">
        <v>3.93243086E8</v>
      </c>
      <c r="I105" s="7">
        <v>210155.0</v>
      </c>
      <c r="J105" s="7">
        <v>202812.0</v>
      </c>
      <c r="K105" s="7">
        <v>7343.0</v>
      </c>
      <c r="L105" s="7">
        <v>17.43</v>
      </c>
      <c r="M105" s="7">
        <v>-0.01</v>
      </c>
      <c r="N105" s="7">
        <v>11549.0</v>
      </c>
      <c r="O105" s="7">
        <v>2553759.0</v>
      </c>
      <c r="P105" s="7" t="s">
        <v>410</v>
      </c>
      <c r="Q105" s="7">
        <v>493.14</v>
      </c>
      <c r="R105" s="3">
        <f t="shared" si="1"/>
        <v>493.14</v>
      </c>
    </row>
    <row r="106" ht="22.5" customHeight="1">
      <c r="B106" s="7" t="s">
        <v>539</v>
      </c>
      <c r="C106" s="7">
        <v>218.0</v>
      </c>
      <c r="D106" s="7">
        <v>3080.0</v>
      </c>
      <c r="E106" s="7">
        <v>5621944.0</v>
      </c>
      <c r="F106" s="7">
        <v>5548617.0</v>
      </c>
      <c r="G106" s="7">
        <v>6240231.0</v>
      </c>
      <c r="H106" s="7">
        <v>8.9765574E7</v>
      </c>
      <c r="I106" s="7">
        <v>156493.0</v>
      </c>
      <c r="J106" s="7">
        <v>149851.0</v>
      </c>
      <c r="K106" s="7">
        <v>6642.0</v>
      </c>
      <c r="L106" s="7">
        <v>17.05</v>
      </c>
      <c r="M106" s="7">
        <v>-0.03</v>
      </c>
      <c r="N106" s="7">
        <v>10849.0</v>
      </c>
      <c r="O106" s="7">
        <v>2538944.0</v>
      </c>
      <c r="P106" s="7" t="s">
        <v>410</v>
      </c>
      <c r="Q106" s="7">
        <v>493.53</v>
      </c>
      <c r="R106" s="3">
        <f t="shared" si="1"/>
        <v>493.53</v>
      </c>
    </row>
    <row r="107" ht="22.5" customHeight="1">
      <c r="B107" s="7" t="s">
        <v>578</v>
      </c>
      <c r="C107" s="7">
        <v>3587746.0</v>
      </c>
      <c r="D107" s="7">
        <v>7142066.0</v>
      </c>
      <c r="E107" s="7">
        <v>231294.0</v>
      </c>
      <c r="F107" s="7">
        <v>226168.0</v>
      </c>
      <c r="G107" s="7">
        <v>731604.0</v>
      </c>
      <c r="H107" s="7">
        <v>6.05220104E8</v>
      </c>
      <c r="I107" s="7">
        <v>6043.0</v>
      </c>
      <c r="J107" s="7">
        <v>5644.0</v>
      </c>
      <c r="K107" s="7">
        <v>399.0</v>
      </c>
      <c r="L107" s="7">
        <v>19.23</v>
      </c>
      <c r="M107" s="7">
        <v>-0.08</v>
      </c>
      <c r="N107" s="7">
        <v>627.0</v>
      </c>
      <c r="O107" s="7">
        <v>106952.0</v>
      </c>
      <c r="P107" s="7" t="s">
        <v>409</v>
      </c>
      <c r="Q107" s="7">
        <v>521.33</v>
      </c>
      <c r="R107" s="3">
        <f t="shared" si="1"/>
        <v>521.33</v>
      </c>
    </row>
    <row r="108" ht="22.5" customHeight="1">
      <c r="B108" s="7" t="s">
        <v>557</v>
      </c>
      <c r="C108" s="7">
        <v>3560698.0</v>
      </c>
      <c r="D108" s="7">
        <v>7088306.0</v>
      </c>
      <c r="E108" s="7">
        <v>2303690.0</v>
      </c>
      <c r="F108" s="7">
        <v>2252812.0</v>
      </c>
      <c r="G108" s="7">
        <v>6285627.0</v>
      </c>
      <c r="H108" s="7">
        <v>1.509085018E9</v>
      </c>
      <c r="I108" s="7">
        <v>112721.0</v>
      </c>
      <c r="J108" s="7">
        <v>110196.0</v>
      </c>
      <c r="K108" s="7">
        <v>2525.0</v>
      </c>
      <c r="L108" s="7">
        <v>16.7</v>
      </c>
      <c r="M108" s="7">
        <v>-0.11</v>
      </c>
      <c r="N108" s="7">
        <v>3972.0</v>
      </c>
      <c r="O108" s="7">
        <v>1431231.0</v>
      </c>
      <c r="P108" s="7" t="s">
        <v>409</v>
      </c>
      <c r="Q108" s="7">
        <v>542.9</v>
      </c>
      <c r="R108" s="3">
        <f t="shared" si="1"/>
        <v>542.9</v>
      </c>
    </row>
    <row r="109" ht="22.5" customHeight="1">
      <c r="B109" s="7" t="s">
        <v>537</v>
      </c>
      <c r="C109" s="7">
        <v>220.0</v>
      </c>
      <c r="D109" s="7">
        <v>3136.0</v>
      </c>
      <c r="E109" s="7">
        <v>5993908.0</v>
      </c>
      <c r="F109" s="7">
        <v>5915585.0</v>
      </c>
      <c r="G109" s="7">
        <v>6656934.0</v>
      </c>
      <c r="H109" s="7">
        <v>9.5535769E7</v>
      </c>
      <c r="I109" s="7">
        <v>175646.0</v>
      </c>
      <c r="J109" s="7">
        <v>168990.0</v>
      </c>
      <c r="K109" s="7">
        <v>6656.0</v>
      </c>
      <c r="L109" s="7">
        <v>16.92</v>
      </c>
      <c r="M109" s="7">
        <v>-0.03</v>
      </c>
      <c r="N109" s="7">
        <v>10863.0</v>
      </c>
      <c r="O109" s="7">
        <v>2864938.0</v>
      </c>
      <c r="P109" s="7" t="s">
        <v>410</v>
      </c>
      <c r="Q109" s="7">
        <v>551.17</v>
      </c>
      <c r="R109" s="3">
        <f t="shared" si="1"/>
        <v>551.17</v>
      </c>
    </row>
    <row r="110" ht="22.5" customHeight="1">
      <c r="B110" s="7" t="s">
        <v>637</v>
      </c>
      <c r="C110" s="7">
        <v>450.0</v>
      </c>
      <c r="D110" s="7">
        <v>20035.0</v>
      </c>
      <c r="E110" s="7">
        <v>4632517.0</v>
      </c>
      <c r="F110" s="7">
        <v>4580144.0</v>
      </c>
      <c r="G110" s="7">
        <v>7739872.0</v>
      </c>
      <c r="H110" s="7">
        <v>1.05277284E8</v>
      </c>
      <c r="I110" s="7">
        <v>168122.0</v>
      </c>
      <c r="J110" s="7">
        <v>156803.0</v>
      </c>
      <c r="K110" s="7">
        <v>11319.0</v>
      </c>
      <c r="L110" s="7">
        <v>97.41</v>
      </c>
      <c r="M110" s="7">
        <v>-0.02</v>
      </c>
      <c r="N110" s="7">
        <v>15455.0</v>
      </c>
      <c r="O110" s="7">
        <v>1867375.0</v>
      </c>
      <c r="P110" s="7" t="s">
        <v>410</v>
      </c>
      <c r="Q110" s="7">
        <v>566.39</v>
      </c>
      <c r="R110" s="3">
        <f t="shared" si="1"/>
        <v>566.39</v>
      </c>
    </row>
    <row r="111" ht="22.5" customHeight="1">
      <c r="B111" s="7" t="s">
        <v>505</v>
      </c>
      <c r="C111" s="7">
        <v>25162.0</v>
      </c>
      <c r="D111" s="7">
        <v>542447.0</v>
      </c>
      <c r="E111" s="7">
        <v>914025.0</v>
      </c>
      <c r="F111" s="7">
        <v>880346.0</v>
      </c>
      <c r="G111" s="7">
        <v>2.8606806E7</v>
      </c>
      <c r="H111" s="7">
        <v>8.35593881E8</v>
      </c>
      <c r="I111" s="7">
        <v>24135.0</v>
      </c>
      <c r="J111" s="7">
        <v>22892.0</v>
      </c>
      <c r="K111" s="7">
        <v>1243.0</v>
      </c>
      <c r="L111" s="7">
        <v>597.75</v>
      </c>
      <c r="M111" s="7">
        <v>-0.13</v>
      </c>
      <c r="N111" s="7">
        <v>2130.0</v>
      </c>
      <c r="O111" s="7">
        <v>1316203.0</v>
      </c>
      <c r="P111" s="7" t="s">
        <v>409</v>
      </c>
      <c r="Q111" s="7">
        <v>575.39</v>
      </c>
      <c r="R111" s="3">
        <f t="shared" si="1"/>
        <v>575.39</v>
      </c>
    </row>
    <row r="112" ht="22.5" customHeight="1">
      <c r="B112" s="7" t="s">
        <v>536</v>
      </c>
      <c r="C112" s="7">
        <v>3148025.0</v>
      </c>
      <c r="D112" s="7">
        <v>1.0859973E7</v>
      </c>
      <c r="E112" s="7">
        <v>349735.0</v>
      </c>
      <c r="F112" s="7">
        <v>334258.0</v>
      </c>
      <c r="G112" s="7">
        <v>1645592.0</v>
      </c>
      <c r="H112" s="7">
        <v>1.124278597E9</v>
      </c>
      <c r="I112" s="7">
        <v>16227.0</v>
      </c>
      <c r="J112" s="7">
        <v>15691.0</v>
      </c>
      <c r="K112" s="7">
        <v>536.0</v>
      </c>
      <c r="L112" s="7">
        <v>38.06</v>
      </c>
      <c r="M112" s="7">
        <v>-0.13</v>
      </c>
      <c r="N112" s="7">
        <v>798.0</v>
      </c>
      <c r="O112" s="7">
        <v>257537.0</v>
      </c>
      <c r="P112" s="7" t="s">
        <v>410</v>
      </c>
      <c r="Q112" s="7">
        <v>587.47</v>
      </c>
      <c r="R112" s="3">
        <f t="shared" si="1"/>
        <v>587.47</v>
      </c>
    </row>
    <row r="113" ht="22.5" customHeight="1">
      <c r="B113" s="7" t="s">
        <v>508</v>
      </c>
      <c r="C113" s="7">
        <v>11749.0</v>
      </c>
      <c r="D113" s="7">
        <v>2075485.0</v>
      </c>
      <c r="E113" s="7">
        <v>3055073.0</v>
      </c>
      <c r="F113" s="7">
        <v>3013724.0</v>
      </c>
      <c r="G113" s="7">
        <v>4829779.0</v>
      </c>
      <c r="H113" s="7">
        <v>2.62323483E8</v>
      </c>
      <c r="I113" s="7">
        <v>114547.0</v>
      </c>
      <c r="J113" s="7">
        <v>110379.0</v>
      </c>
      <c r="K113" s="7">
        <v>4168.0</v>
      </c>
      <c r="L113" s="7">
        <v>28.01</v>
      </c>
      <c r="M113" s="7">
        <v>-0.06</v>
      </c>
      <c r="N113" s="7">
        <v>6774.0</v>
      </c>
      <c r="O113" s="7">
        <v>1106305.0</v>
      </c>
      <c r="P113" s="7" t="s">
        <v>410</v>
      </c>
      <c r="Q113" s="7">
        <v>594.98</v>
      </c>
      <c r="R113" s="3">
        <f t="shared" si="1"/>
        <v>594.98</v>
      </c>
    </row>
    <row r="114" ht="22.5" customHeight="1">
      <c r="B114" s="7" t="s">
        <v>749</v>
      </c>
      <c r="C114" s="7">
        <v>1150.0</v>
      </c>
      <c r="D114" s="7">
        <v>10770.0</v>
      </c>
      <c r="E114" s="7">
        <v>6298686.0</v>
      </c>
      <c r="F114" s="7">
        <v>6268647.0</v>
      </c>
      <c r="G114" s="7">
        <v>6811870.0</v>
      </c>
      <c r="H114" s="7">
        <v>2.46250295E8</v>
      </c>
      <c r="I114" s="7">
        <v>241685.0</v>
      </c>
      <c r="J114" s="7">
        <v>232951.0</v>
      </c>
      <c r="K114" s="7">
        <v>8734.0</v>
      </c>
      <c r="L114" s="7">
        <v>36.82</v>
      </c>
      <c r="M114" s="7">
        <v>-0.02</v>
      </c>
      <c r="N114" s="7">
        <v>12921.0</v>
      </c>
      <c r="O114" s="7">
        <v>2954218.0</v>
      </c>
      <c r="P114" s="7" t="s">
        <v>410</v>
      </c>
      <c r="Q114" s="7">
        <v>598.16</v>
      </c>
      <c r="R114" s="3">
        <f t="shared" si="1"/>
        <v>598.16</v>
      </c>
    </row>
    <row r="115" ht="22.5" customHeight="1">
      <c r="B115" s="7" t="s">
        <v>638</v>
      </c>
      <c r="C115" s="7">
        <v>4600.0</v>
      </c>
      <c r="D115" s="7">
        <v>43812.0</v>
      </c>
      <c r="E115" s="7">
        <v>4524923.0</v>
      </c>
      <c r="F115" s="7">
        <v>4506581.0</v>
      </c>
      <c r="G115" s="7">
        <v>4851691.0</v>
      </c>
      <c r="H115" s="7">
        <v>2.03779963E8</v>
      </c>
      <c r="I115" s="7">
        <v>129893.0</v>
      </c>
      <c r="J115" s="7">
        <v>120894.0</v>
      </c>
      <c r="K115" s="7">
        <v>8999.0</v>
      </c>
      <c r="L115" s="7">
        <v>39.32</v>
      </c>
      <c r="M115" s="7">
        <v>-0.01</v>
      </c>
      <c r="N115" s="7">
        <v>13181.0</v>
      </c>
      <c r="O115" s="7">
        <v>1480866.0</v>
      </c>
      <c r="P115" s="7" t="s">
        <v>410</v>
      </c>
      <c r="Q115" s="7">
        <v>624.31</v>
      </c>
      <c r="R115" s="3">
        <f t="shared" si="1"/>
        <v>624.31</v>
      </c>
    </row>
    <row r="116" ht="22.5" customHeight="1">
      <c r="B116" s="7" t="s">
        <v>545</v>
      </c>
      <c r="C116" s="7">
        <v>618715.0</v>
      </c>
      <c r="D116" s="7">
        <v>2602587.0</v>
      </c>
      <c r="E116" s="7">
        <v>1094761.0</v>
      </c>
      <c r="F116" s="7">
        <v>1062515.0</v>
      </c>
      <c r="G116" s="7">
        <v>3936016.0</v>
      </c>
      <c r="H116" s="7">
        <v>1.173249768E9</v>
      </c>
      <c r="I116" s="7">
        <v>38923.0</v>
      </c>
      <c r="J116" s="7">
        <v>36824.0</v>
      </c>
      <c r="K116" s="7">
        <v>2099.0</v>
      </c>
      <c r="L116" s="7">
        <v>75.03</v>
      </c>
      <c r="M116" s="7">
        <v>-0.1</v>
      </c>
      <c r="N116" s="7">
        <v>3149.0</v>
      </c>
      <c r="O116" s="7">
        <v>864446.0</v>
      </c>
      <c r="P116" s="7" t="s">
        <v>410</v>
      </c>
      <c r="Q116" s="7">
        <v>624.89</v>
      </c>
      <c r="R116" s="3">
        <f t="shared" si="1"/>
        <v>624.89</v>
      </c>
    </row>
    <row r="117" ht="22.5" customHeight="1">
      <c r="B117" s="7" t="s">
        <v>687</v>
      </c>
      <c r="C117" s="7">
        <v>141429.0</v>
      </c>
      <c r="D117" s="7">
        <v>646143.0</v>
      </c>
      <c r="E117" s="7">
        <v>35423.0</v>
      </c>
      <c r="F117" s="7">
        <v>34688.0</v>
      </c>
      <c r="G117" s="7">
        <v>236625.0</v>
      </c>
      <c r="H117" s="7">
        <v>1.353669674E9</v>
      </c>
      <c r="I117" s="7">
        <v>879.0</v>
      </c>
      <c r="J117" s="7">
        <v>845.0</v>
      </c>
      <c r="K117" s="7">
        <v>34.0</v>
      </c>
      <c r="L117" s="7">
        <v>81.9</v>
      </c>
      <c r="M117" s="7">
        <v>-0.07</v>
      </c>
      <c r="N117" s="7">
        <v>58.0</v>
      </c>
      <c r="O117" s="7">
        <v>30033.0</v>
      </c>
      <c r="P117" s="7" t="s">
        <v>410</v>
      </c>
      <c r="Q117" s="7">
        <v>625.55</v>
      </c>
      <c r="R117" s="3">
        <f t="shared" si="1"/>
        <v>625.55</v>
      </c>
    </row>
    <row r="118" ht="22.5" customHeight="1">
      <c r="B118" s="7" t="s">
        <v>546</v>
      </c>
      <c r="C118" s="7">
        <v>12159.0</v>
      </c>
      <c r="D118" s="7">
        <v>53210.0</v>
      </c>
      <c r="E118" s="7">
        <v>3360851.0</v>
      </c>
      <c r="F118" s="7">
        <v>3301950.0</v>
      </c>
      <c r="G118" s="7">
        <v>5712034.0</v>
      </c>
      <c r="H118" s="7">
        <v>9.95183106E8</v>
      </c>
      <c r="I118" s="7">
        <v>112525.0</v>
      </c>
      <c r="J118" s="7">
        <v>107635.0</v>
      </c>
      <c r="K118" s="7">
        <v>4890.0</v>
      </c>
      <c r="L118" s="7">
        <v>25.39</v>
      </c>
      <c r="M118" s="7">
        <v>-0.06</v>
      </c>
      <c r="N118" s="7">
        <v>7964.0</v>
      </c>
      <c r="O118" s="7">
        <v>1175780.0</v>
      </c>
      <c r="P118" s="7" t="s">
        <v>410</v>
      </c>
      <c r="Q118" s="7">
        <v>631.07</v>
      </c>
      <c r="R118" s="3">
        <f t="shared" si="1"/>
        <v>631.07</v>
      </c>
    </row>
    <row r="119" ht="22.5" customHeight="1">
      <c r="B119" s="7" t="s">
        <v>560</v>
      </c>
      <c r="C119" s="7">
        <v>158783.0</v>
      </c>
      <c r="D119" s="7">
        <v>373469.0</v>
      </c>
      <c r="E119" s="7">
        <v>156448.0</v>
      </c>
      <c r="F119" s="7">
        <v>153861.0</v>
      </c>
      <c r="G119" s="7">
        <v>4057342.0</v>
      </c>
      <c r="H119" s="7">
        <v>1.358360037E9</v>
      </c>
      <c r="I119" s="7">
        <v>14734.0</v>
      </c>
      <c r="J119" s="7">
        <v>14559.0</v>
      </c>
      <c r="K119" s="7">
        <v>175.0</v>
      </c>
      <c r="L119" s="7">
        <v>27.75</v>
      </c>
      <c r="M119" s="7">
        <v>-0.19</v>
      </c>
      <c r="N119" s="7">
        <v>288.0</v>
      </c>
      <c r="O119" s="7">
        <v>307639.0</v>
      </c>
      <c r="P119" s="7" t="s">
        <v>410</v>
      </c>
      <c r="Q119" s="7">
        <v>639.71</v>
      </c>
      <c r="R119" s="3">
        <f t="shared" si="1"/>
        <v>639.71</v>
      </c>
    </row>
    <row r="120" ht="22.5" customHeight="1">
      <c r="B120" s="7" t="s">
        <v>602</v>
      </c>
      <c r="C120" s="7">
        <v>24552.0</v>
      </c>
      <c r="D120" s="7">
        <v>91999.0</v>
      </c>
      <c r="E120" s="7">
        <v>2096290.0</v>
      </c>
      <c r="F120" s="7">
        <v>2066722.0</v>
      </c>
      <c r="G120" s="7">
        <v>4918775.0</v>
      </c>
      <c r="H120" s="7">
        <v>3.45603795E8</v>
      </c>
      <c r="I120" s="7">
        <v>131506.0</v>
      </c>
      <c r="J120" s="7">
        <v>129389.0</v>
      </c>
      <c r="K120" s="7">
        <v>2117.0</v>
      </c>
      <c r="L120" s="7">
        <v>23.08</v>
      </c>
      <c r="M120" s="7">
        <v>-0.1</v>
      </c>
      <c r="N120" s="7">
        <v>3244.0</v>
      </c>
      <c r="O120" s="7">
        <v>1121682.0</v>
      </c>
      <c r="P120" s="7" t="s">
        <v>409</v>
      </c>
      <c r="Q120" s="7">
        <v>671.54</v>
      </c>
      <c r="R120" s="3">
        <f t="shared" si="1"/>
        <v>671.54</v>
      </c>
    </row>
    <row r="121" ht="22.5" customHeight="1">
      <c r="B121" s="7" t="s">
        <v>761</v>
      </c>
      <c r="C121" s="7">
        <v>1186.0</v>
      </c>
      <c r="D121" s="7">
        <v>22686.0</v>
      </c>
      <c r="E121" s="7">
        <v>2563615.0</v>
      </c>
      <c r="F121" s="7">
        <v>2542695.0</v>
      </c>
      <c r="G121" s="7">
        <v>4540007.0</v>
      </c>
      <c r="H121" s="7">
        <v>3.06211499E8</v>
      </c>
      <c r="I121" s="7">
        <v>132169.0</v>
      </c>
      <c r="J121" s="7">
        <v>128566.0</v>
      </c>
      <c r="K121" s="7">
        <v>3603.0</v>
      </c>
      <c r="L121" s="7">
        <v>29.04</v>
      </c>
      <c r="M121" s="7">
        <v>-0.07</v>
      </c>
      <c r="N121" s="7">
        <v>5448.0</v>
      </c>
      <c r="O121" s="7">
        <v>1078633.0</v>
      </c>
      <c r="P121" s="7" t="s">
        <v>409</v>
      </c>
      <c r="Q121" s="7">
        <v>689.59</v>
      </c>
      <c r="R121" s="3">
        <f t="shared" si="1"/>
        <v>689.59</v>
      </c>
    </row>
    <row r="122" ht="22.5" customHeight="1">
      <c r="B122" s="7" t="s">
        <v>519</v>
      </c>
      <c r="C122" s="7">
        <v>240933.0</v>
      </c>
      <c r="D122" s="7">
        <v>3100411.0</v>
      </c>
      <c r="E122" s="7">
        <v>573164.0</v>
      </c>
      <c r="F122" s="7">
        <v>557135.0</v>
      </c>
      <c r="G122" s="7">
        <v>4162054.0</v>
      </c>
      <c r="H122" s="7">
        <v>9.65948514E8</v>
      </c>
      <c r="I122" s="7">
        <v>29228.0</v>
      </c>
      <c r="J122" s="7">
        <v>28551.0</v>
      </c>
      <c r="K122" s="7">
        <v>677.0</v>
      </c>
      <c r="L122" s="7">
        <v>19.15</v>
      </c>
      <c r="M122" s="7">
        <v>-0.16</v>
      </c>
      <c r="N122" s="7">
        <v>1037.0</v>
      </c>
      <c r="O122" s="7">
        <v>1292104.0</v>
      </c>
      <c r="P122" s="7" t="s">
        <v>409</v>
      </c>
      <c r="Q122" s="7">
        <v>722.9</v>
      </c>
      <c r="R122" s="3">
        <f t="shared" si="1"/>
        <v>722.9</v>
      </c>
    </row>
    <row r="123" ht="22.5" customHeight="1">
      <c r="B123" s="7" t="s">
        <v>551</v>
      </c>
      <c r="C123" s="7">
        <v>381708.0</v>
      </c>
      <c r="D123" s="7">
        <v>1618887.0</v>
      </c>
      <c r="E123" s="7">
        <v>554977.0</v>
      </c>
      <c r="F123" s="7">
        <v>439456.0</v>
      </c>
      <c r="G123" s="7">
        <v>5066984.0</v>
      </c>
      <c r="H123" s="7">
        <v>4.656275746E9</v>
      </c>
      <c r="I123" s="7">
        <v>20051.0</v>
      </c>
      <c r="J123" s="7">
        <v>19381.0</v>
      </c>
      <c r="K123" s="7">
        <v>670.0</v>
      </c>
      <c r="L123" s="7">
        <v>247.13</v>
      </c>
      <c r="M123" s="7">
        <v>-0.12</v>
      </c>
      <c r="N123" s="7">
        <v>994.0</v>
      </c>
      <c r="O123" s="7">
        <v>620597.0</v>
      </c>
      <c r="P123" s="7" t="s">
        <v>409</v>
      </c>
      <c r="Q123" s="7">
        <v>746.98</v>
      </c>
      <c r="R123" s="3">
        <f t="shared" si="1"/>
        <v>746.98</v>
      </c>
    </row>
    <row r="124" ht="22.5" customHeight="1">
      <c r="B124" s="7" t="s">
        <v>534</v>
      </c>
      <c r="C124" s="7">
        <v>24822.0</v>
      </c>
      <c r="D124" s="7">
        <v>216649.0</v>
      </c>
      <c r="E124" s="7">
        <v>2581100.0</v>
      </c>
      <c r="F124" s="7">
        <v>2514279.0</v>
      </c>
      <c r="G124" s="7">
        <v>9082110.0</v>
      </c>
      <c r="H124" s="7">
        <v>1.146687855E9</v>
      </c>
      <c r="I124" s="7">
        <v>132505.0</v>
      </c>
      <c r="J124" s="7">
        <v>129309.0</v>
      </c>
      <c r="K124" s="7">
        <v>3196.0</v>
      </c>
      <c r="L124" s="7">
        <v>26.33</v>
      </c>
      <c r="M124" s="7">
        <v>-0.16</v>
      </c>
      <c r="N124" s="7">
        <v>5071.0</v>
      </c>
      <c r="O124" s="7">
        <v>1967168.0</v>
      </c>
      <c r="P124" s="7" t="s">
        <v>409</v>
      </c>
      <c r="Q124" s="7">
        <v>774.45</v>
      </c>
      <c r="R124" s="3">
        <f t="shared" si="1"/>
        <v>774.45</v>
      </c>
    </row>
    <row r="125" ht="22.5" customHeight="1">
      <c r="B125" s="7" t="s">
        <v>523</v>
      </c>
      <c r="C125" s="7">
        <v>249327.0</v>
      </c>
      <c r="D125" s="7">
        <v>746442.0</v>
      </c>
      <c r="E125" s="7">
        <v>2135473.0</v>
      </c>
      <c r="F125" s="7">
        <v>2059059.0</v>
      </c>
      <c r="G125" s="7">
        <v>1.7346307E7</v>
      </c>
      <c r="H125" s="7">
        <v>2.333345756E9</v>
      </c>
      <c r="I125" s="7">
        <v>90193.0</v>
      </c>
      <c r="J125" s="7">
        <v>87933.0</v>
      </c>
      <c r="K125" s="7">
        <v>2260.0</v>
      </c>
      <c r="L125" s="7">
        <v>79.58</v>
      </c>
      <c r="M125" s="7">
        <v>-0.13</v>
      </c>
      <c r="N125" s="7">
        <v>3443.0</v>
      </c>
      <c r="O125" s="7">
        <v>2634382.0</v>
      </c>
      <c r="P125" s="7" t="s">
        <v>410</v>
      </c>
      <c r="Q125" s="7">
        <v>777.83</v>
      </c>
      <c r="R125" s="3">
        <f t="shared" si="1"/>
        <v>777.83</v>
      </c>
    </row>
    <row r="126" ht="22.5" customHeight="1">
      <c r="B126" s="7" t="s">
        <v>585</v>
      </c>
      <c r="C126" s="7">
        <v>11020.0</v>
      </c>
      <c r="D126" s="7">
        <v>241824.0</v>
      </c>
      <c r="E126" s="7">
        <v>2571717.0</v>
      </c>
      <c r="F126" s="7">
        <v>2507477.0</v>
      </c>
      <c r="G126" s="7">
        <v>7539318.0</v>
      </c>
      <c r="H126" s="7">
        <v>7.23921162E8</v>
      </c>
      <c r="I126" s="7">
        <v>115581.0</v>
      </c>
      <c r="J126" s="7">
        <v>111977.0</v>
      </c>
      <c r="K126" s="7">
        <v>3604.0</v>
      </c>
      <c r="L126" s="7">
        <v>45.0</v>
      </c>
      <c r="M126" s="7">
        <v>-0.1</v>
      </c>
      <c r="N126" s="7">
        <v>5459.0</v>
      </c>
      <c r="O126" s="7">
        <v>1570955.0</v>
      </c>
      <c r="P126" s="7" t="s">
        <v>409</v>
      </c>
      <c r="Q126" s="7">
        <v>821.16</v>
      </c>
      <c r="R126" s="3">
        <f t="shared" si="1"/>
        <v>821.16</v>
      </c>
    </row>
    <row r="127" ht="22.5" customHeight="1">
      <c r="B127" s="7" t="s">
        <v>571</v>
      </c>
      <c r="C127" s="7">
        <v>1206085.0</v>
      </c>
      <c r="D127" s="7">
        <v>3942659.0</v>
      </c>
      <c r="E127" s="7">
        <v>1068468.0</v>
      </c>
      <c r="F127" s="7">
        <v>1058574.0</v>
      </c>
      <c r="G127" s="7">
        <v>1585980.0</v>
      </c>
      <c r="H127" s="7">
        <v>1.506029482E9</v>
      </c>
      <c r="I127" s="7">
        <v>29998.0</v>
      </c>
      <c r="J127" s="7">
        <v>28307.0</v>
      </c>
      <c r="K127" s="7">
        <v>1691.0</v>
      </c>
      <c r="L127" s="7">
        <v>18.34</v>
      </c>
      <c r="M127" s="7">
        <v>-0.05</v>
      </c>
      <c r="N127" s="7">
        <v>2745.0</v>
      </c>
      <c r="O127" s="7">
        <v>322648.0</v>
      </c>
      <c r="P127" s="7" t="s">
        <v>410</v>
      </c>
      <c r="Q127" s="7">
        <v>821.78</v>
      </c>
      <c r="R127" s="3">
        <f t="shared" si="1"/>
        <v>821.78</v>
      </c>
    </row>
    <row r="128" ht="22.5" customHeight="1">
      <c r="B128" s="7" t="s">
        <v>470</v>
      </c>
      <c r="C128" s="7">
        <v>2420.0</v>
      </c>
      <c r="D128" s="7">
        <v>33572.0</v>
      </c>
      <c r="E128" s="7">
        <v>4007770.0</v>
      </c>
      <c r="F128" s="7">
        <v>3906325.0</v>
      </c>
      <c r="G128" s="7">
        <v>1.6666186E7</v>
      </c>
      <c r="H128" s="7">
        <v>6.82555399E8</v>
      </c>
      <c r="I128" s="7">
        <v>127361.0</v>
      </c>
      <c r="J128" s="7">
        <v>120077.0</v>
      </c>
      <c r="K128" s="7">
        <v>7284.0</v>
      </c>
      <c r="L128" s="7">
        <v>155.43</v>
      </c>
      <c r="M128" s="7">
        <v>-0.08</v>
      </c>
      <c r="N128" s="7">
        <v>11344.0</v>
      </c>
      <c r="O128" s="7">
        <v>1496813.0</v>
      </c>
      <c r="P128" s="7" t="s">
        <v>409</v>
      </c>
      <c r="Q128" s="7">
        <v>851.82</v>
      </c>
      <c r="R128" s="3">
        <f t="shared" si="1"/>
        <v>851.82</v>
      </c>
    </row>
    <row r="129" ht="22.5" customHeight="1">
      <c r="B129" s="7" t="s">
        <v>596</v>
      </c>
      <c r="C129" s="7">
        <v>2777.0</v>
      </c>
      <c r="D129" s="7">
        <v>9203.0</v>
      </c>
      <c r="E129" s="7">
        <v>5753077.0</v>
      </c>
      <c r="F129" s="7">
        <v>5681103.0</v>
      </c>
      <c r="G129" s="7">
        <v>8902290.0</v>
      </c>
      <c r="H129" s="7">
        <v>7.29152521E8</v>
      </c>
      <c r="I129" s="7">
        <v>240178.0</v>
      </c>
      <c r="J129" s="7">
        <v>233342.0</v>
      </c>
      <c r="K129" s="7">
        <v>6836.0</v>
      </c>
      <c r="L129" s="7">
        <v>26.8</v>
      </c>
      <c r="M129" s="7">
        <v>-0.06</v>
      </c>
      <c r="N129" s="7">
        <v>11041.0</v>
      </c>
      <c r="O129" s="7">
        <v>2442786.0</v>
      </c>
      <c r="P129" s="7" t="s">
        <v>410</v>
      </c>
      <c r="Q129" s="7">
        <v>857.1</v>
      </c>
      <c r="R129" s="3">
        <f t="shared" si="1"/>
        <v>857.1</v>
      </c>
    </row>
    <row r="130" ht="22.5" customHeight="1">
      <c r="B130" s="7" t="s">
        <v>555</v>
      </c>
      <c r="C130" s="7">
        <v>488843.0</v>
      </c>
      <c r="D130" s="7">
        <v>1553934.0</v>
      </c>
      <c r="E130" s="7">
        <v>1773147.0</v>
      </c>
      <c r="F130" s="7">
        <v>1711127.0</v>
      </c>
      <c r="G130" s="7">
        <v>2.08230265E8</v>
      </c>
      <c r="H130" s="7">
        <v>2.029888583E9</v>
      </c>
      <c r="I130" s="7">
        <v>52391.0</v>
      </c>
      <c r="J130" s="7">
        <v>50621.0</v>
      </c>
      <c r="K130" s="7">
        <v>1770.0</v>
      </c>
      <c r="L130" s="7">
        <v>34.98</v>
      </c>
      <c r="M130" s="7">
        <v>-0.12</v>
      </c>
      <c r="N130" s="7">
        <v>2821.0</v>
      </c>
      <c r="O130" s="7">
        <v>1.05511967E8</v>
      </c>
      <c r="P130" s="7" t="s">
        <v>410</v>
      </c>
      <c r="Q130" s="7">
        <v>869.26</v>
      </c>
      <c r="R130" s="3">
        <f t="shared" si="1"/>
        <v>869.26</v>
      </c>
    </row>
    <row r="131" ht="22.5" customHeight="1">
      <c r="B131" s="7" t="s">
        <v>491</v>
      </c>
      <c r="C131" s="7">
        <v>381577.0</v>
      </c>
      <c r="D131" s="7">
        <v>2669607.0</v>
      </c>
      <c r="E131" s="7">
        <v>2346743.0</v>
      </c>
      <c r="F131" s="7">
        <v>2276099.0</v>
      </c>
      <c r="G131" s="7">
        <v>1.39049976E8</v>
      </c>
      <c r="H131" s="7">
        <v>1.027401554E9</v>
      </c>
      <c r="I131" s="7">
        <v>96859.0</v>
      </c>
      <c r="J131" s="7">
        <v>94146.0</v>
      </c>
      <c r="K131" s="7">
        <v>2713.0</v>
      </c>
      <c r="L131" s="7">
        <v>97.01</v>
      </c>
      <c r="M131" s="7">
        <v>-0.14</v>
      </c>
      <c r="N131" s="7">
        <v>4221.0</v>
      </c>
      <c r="O131" s="7">
        <v>1.4786429E7</v>
      </c>
      <c r="P131" s="7" t="s">
        <v>409</v>
      </c>
      <c r="Q131" s="7">
        <v>872.15</v>
      </c>
      <c r="R131" s="3">
        <f t="shared" si="1"/>
        <v>872.15</v>
      </c>
    </row>
    <row r="132" ht="22.5" customHeight="1">
      <c r="B132" s="7" t="s">
        <v>548</v>
      </c>
      <c r="C132" s="7">
        <v>23931.0</v>
      </c>
      <c r="D132" s="7">
        <v>298759.0</v>
      </c>
      <c r="E132" s="7">
        <v>3233486.0</v>
      </c>
      <c r="F132" s="7">
        <v>3187813.0</v>
      </c>
      <c r="G132" s="7">
        <v>4865871.0</v>
      </c>
      <c r="H132" s="7">
        <v>2.786007642E9</v>
      </c>
      <c r="I132" s="7">
        <v>112031.0</v>
      </c>
      <c r="J132" s="7">
        <v>107392.0</v>
      </c>
      <c r="K132" s="7">
        <v>4639.0</v>
      </c>
      <c r="L132" s="7">
        <v>29.4</v>
      </c>
      <c r="M132" s="7">
        <v>-0.05</v>
      </c>
      <c r="N132" s="7">
        <v>7520.0</v>
      </c>
      <c r="O132" s="7">
        <v>1138608.0</v>
      </c>
      <c r="P132" s="7" t="s">
        <v>410</v>
      </c>
      <c r="Q132" s="7">
        <v>918.03</v>
      </c>
      <c r="R132" s="3">
        <f t="shared" si="1"/>
        <v>918.03</v>
      </c>
    </row>
    <row r="133" ht="22.5" customHeight="1">
      <c r="B133" s="7" t="s">
        <v>559</v>
      </c>
      <c r="C133" s="7">
        <v>4367.0</v>
      </c>
      <c r="D133" s="7">
        <v>15918.0</v>
      </c>
      <c r="E133" s="7">
        <v>6260176.0</v>
      </c>
      <c r="F133" s="7">
        <v>6172970.0</v>
      </c>
      <c r="G133" s="7">
        <v>1.2277233E7</v>
      </c>
      <c r="H133" s="7">
        <v>7.59068076E8</v>
      </c>
      <c r="I133" s="7">
        <v>297167.0</v>
      </c>
      <c r="J133" s="7">
        <v>289294.0</v>
      </c>
      <c r="K133" s="7">
        <v>7873.0</v>
      </c>
      <c r="L133" s="7">
        <v>25.76</v>
      </c>
      <c r="M133" s="7">
        <v>-0.08</v>
      </c>
      <c r="N133" s="7">
        <v>12073.0</v>
      </c>
      <c r="O133" s="7">
        <v>3076827.0</v>
      </c>
      <c r="P133" s="7" t="s">
        <v>410</v>
      </c>
      <c r="Q133" s="7">
        <v>936.42</v>
      </c>
      <c r="R133" s="3">
        <f t="shared" si="1"/>
        <v>936.42</v>
      </c>
    </row>
    <row r="134" ht="22.5" customHeight="1">
      <c r="B134" s="7" t="s">
        <v>582</v>
      </c>
      <c r="C134" s="7">
        <v>851.0</v>
      </c>
      <c r="D134" s="7">
        <v>2731.0</v>
      </c>
      <c r="E134" s="7">
        <v>5549757.0</v>
      </c>
      <c r="F134" s="7">
        <v>5480459.0</v>
      </c>
      <c r="G134" s="7">
        <v>7487620.0</v>
      </c>
      <c r="H134" s="7">
        <v>1.98602737E8</v>
      </c>
      <c r="I134" s="7">
        <v>216692.0</v>
      </c>
      <c r="J134" s="7">
        <v>209985.0</v>
      </c>
      <c r="K134" s="7">
        <v>6707.0</v>
      </c>
      <c r="L134" s="7">
        <v>16.82</v>
      </c>
      <c r="M134" s="7">
        <v>-0.05</v>
      </c>
      <c r="N134" s="7">
        <v>10915.0</v>
      </c>
      <c r="O134" s="7">
        <v>2288901.0</v>
      </c>
      <c r="P134" s="7" t="s">
        <v>410</v>
      </c>
      <c r="Q134" s="7">
        <v>954.0</v>
      </c>
      <c r="R134" s="3">
        <f t="shared" si="1"/>
        <v>954</v>
      </c>
    </row>
    <row r="135" ht="22.5" customHeight="1">
      <c r="B135" s="7" t="s">
        <v>542</v>
      </c>
      <c r="C135" s="7">
        <v>5244.0</v>
      </c>
      <c r="D135" s="7">
        <v>118126.0</v>
      </c>
      <c r="E135" s="7">
        <v>2433630.0</v>
      </c>
      <c r="F135" s="7">
        <v>2379388.0</v>
      </c>
      <c r="G135" s="7">
        <v>8535022.0</v>
      </c>
      <c r="H135" s="7">
        <v>9.50082098E8</v>
      </c>
      <c r="I135" s="7">
        <v>106194.0</v>
      </c>
      <c r="J135" s="7">
        <v>103245.0</v>
      </c>
      <c r="K135" s="7">
        <v>2949.0</v>
      </c>
      <c r="L135" s="7">
        <v>87.14</v>
      </c>
      <c r="M135" s="7">
        <v>-0.09</v>
      </c>
      <c r="N135" s="7">
        <v>4595.0</v>
      </c>
      <c r="O135" s="7">
        <v>1335952.0</v>
      </c>
      <c r="P135" s="7" t="s">
        <v>409</v>
      </c>
      <c r="Q135" s="7">
        <v>956.02</v>
      </c>
      <c r="R135" s="3">
        <f t="shared" si="1"/>
        <v>956.02</v>
      </c>
    </row>
    <row r="136" ht="22.5" customHeight="1">
      <c r="B136" s="7" t="s">
        <v>576</v>
      </c>
      <c r="C136" s="7">
        <v>70581.0</v>
      </c>
      <c r="D136" s="7">
        <v>1411168.0</v>
      </c>
      <c r="E136" s="7">
        <v>2592448.0</v>
      </c>
      <c r="F136" s="7">
        <v>2477766.0</v>
      </c>
      <c r="G136" s="7">
        <v>1.64531569E8</v>
      </c>
      <c r="H136" s="7">
        <v>2.698185858E9</v>
      </c>
      <c r="I136" s="7">
        <v>161205.0</v>
      </c>
      <c r="J136" s="7">
        <v>157925.0</v>
      </c>
      <c r="K136" s="7">
        <v>3280.0</v>
      </c>
      <c r="L136" s="7">
        <v>207.76</v>
      </c>
      <c r="M136" s="7">
        <v>-0.17</v>
      </c>
      <c r="N136" s="7">
        <v>5168.0</v>
      </c>
      <c r="O136" s="7">
        <v>1.0783303E7</v>
      </c>
      <c r="P136" s="7" t="s">
        <v>409</v>
      </c>
      <c r="Q136" s="7">
        <v>988.54</v>
      </c>
      <c r="R136" s="3">
        <f t="shared" si="1"/>
        <v>988.54</v>
      </c>
    </row>
    <row r="137" ht="22.5" customHeight="1">
      <c r="B137" s="7" t="s">
        <v>572</v>
      </c>
      <c r="C137" s="7">
        <v>320.0</v>
      </c>
      <c r="D137" s="7">
        <v>7628.0</v>
      </c>
      <c r="E137" s="7">
        <v>1.0397604E7</v>
      </c>
      <c r="F137" s="7">
        <v>1.0210608E7</v>
      </c>
      <c r="G137" s="7">
        <v>1.1758634E7</v>
      </c>
      <c r="H137" s="7">
        <v>2.49619435E8</v>
      </c>
      <c r="I137" s="7">
        <v>266235.0</v>
      </c>
      <c r="J137" s="7">
        <v>254262.0</v>
      </c>
      <c r="K137" s="7">
        <v>11973.0</v>
      </c>
      <c r="L137" s="7">
        <v>18.95</v>
      </c>
      <c r="M137" s="7">
        <v>-0.03</v>
      </c>
      <c r="N137" s="7">
        <v>19572.0</v>
      </c>
      <c r="O137" s="7">
        <v>5057471.0</v>
      </c>
      <c r="P137" s="7" t="s">
        <v>410</v>
      </c>
      <c r="Q137" s="7">
        <v>994.03</v>
      </c>
      <c r="R137" s="3">
        <f t="shared" si="1"/>
        <v>994.03</v>
      </c>
    </row>
    <row r="138" ht="22.5" customHeight="1">
      <c r="B138" s="7" t="s">
        <v>526</v>
      </c>
      <c r="C138" s="7">
        <v>549360.0</v>
      </c>
      <c r="D138" s="7">
        <v>7926624.0</v>
      </c>
      <c r="E138" s="7">
        <v>169823.0</v>
      </c>
      <c r="F138" s="7">
        <v>165568.0</v>
      </c>
      <c r="G138" s="7">
        <v>3421265.0</v>
      </c>
      <c r="H138" s="7">
        <v>7.97032407E8</v>
      </c>
      <c r="I138" s="7">
        <v>3884.0</v>
      </c>
      <c r="J138" s="7">
        <v>3657.0</v>
      </c>
      <c r="K138" s="7">
        <v>227.0</v>
      </c>
      <c r="L138" s="7">
        <v>95.01</v>
      </c>
      <c r="M138" s="7">
        <v>-0.08</v>
      </c>
      <c r="N138" s="7">
        <v>360.0</v>
      </c>
      <c r="O138" s="7">
        <v>303081.0</v>
      </c>
      <c r="P138" s="7" t="s">
        <v>409</v>
      </c>
      <c r="Q138" s="7">
        <v>1003.25</v>
      </c>
      <c r="R138" s="3">
        <f t="shared" si="1"/>
        <v>1003.25</v>
      </c>
    </row>
    <row r="139" ht="22.5" customHeight="1">
      <c r="B139" s="7" t="s">
        <v>575</v>
      </c>
      <c r="C139" s="7">
        <v>322.0</v>
      </c>
      <c r="D139" s="7">
        <v>7723.0</v>
      </c>
      <c r="E139" s="7">
        <v>1.043789E7</v>
      </c>
      <c r="F139" s="7">
        <v>1.0249598E7</v>
      </c>
      <c r="G139" s="7">
        <v>1.1791446E7</v>
      </c>
      <c r="H139" s="7">
        <v>2.51345302E8</v>
      </c>
      <c r="I139" s="7">
        <v>262514.0</v>
      </c>
      <c r="J139" s="7">
        <v>250233.0</v>
      </c>
      <c r="K139" s="7">
        <v>12281.0</v>
      </c>
      <c r="L139" s="7">
        <v>19.06</v>
      </c>
      <c r="M139" s="7">
        <v>-0.03</v>
      </c>
      <c r="N139" s="7">
        <v>19940.0</v>
      </c>
      <c r="O139" s="7">
        <v>5067642.0</v>
      </c>
      <c r="P139" s="7" t="s">
        <v>410</v>
      </c>
      <c r="Q139" s="7">
        <v>1007.5</v>
      </c>
      <c r="R139" s="3">
        <f t="shared" si="1"/>
        <v>1007.5</v>
      </c>
    </row>
    <row r="140" ht="22.5" customHeight="1">
      <c r="B140" s="7" t="s">
        <v>554</v>
      </c>
      <c r="C140" s="7">
        <v>72868.0</v>
      </c>
      <c r="D140" s="7">
        <v>2934162.0</v>
      </c>
      <c r="E140" s="7">
        <v>222319.0</v>
      </c>
      <c r="F140" s="7">
        <v>210578.0</v>
      </c>
      <c r="G140" s="7">
        <v>633144.0</v>
      </c>
      <c r="H140" s="7">
        <v>1.187582935E9</v>
      </c>
      <c r="I140" s="7">
        <v>8287.0</v>
      </c>
      <c r="J140" s="7">
        <v>7920.0</v>
      </c>
      <c r="K140" s="7">
        <v>367.0</v>
      </c>
      <c r="L140" s="7">
        <v>32.91</v>
      </c>
      <c r="M140" s="7">
        <v>-0.11</v>
      </c>
      <c r="N140" s="7">
        <v>581.0</v>
      </c>
      <c r="O140" s="7">
        <v>122200.0</v>
      </c>
      <c r="P140" s="7" t="s">
        <v>409</v>
      </c>
      <c r="Q140" s="7">
        <v>1009.16</v>
      </c>
      <c r="R140" s="3">
        <f t="shared" si="1"/>
        <v>1009.16</v>
      </c>
    </row>
    <row r="141" ht="22.5" customHeight="1">
      <c r="B141" s="7" t="s">
        <v>550</v>
      </c>
      <c r="C141" s="7">
        <v>2731.0</v>
      </c>
      <c r="D141" s="7">
        <v>17637.0</v>
      </c>
      <c r="E141" s="7">
        <v>3768377.0</v>
      </c>
      <c r="F141" s="7">
        <v>3732388.0</v>
      </c>
      <c r="G141" s="7">
        <v>5119467.0</v>
      </c>
      <c r="H141" s="7">
        <v>2.65957068E8</v>
      </c>
      <c r="I141" s="7">
        <v>94105.0</v>
      </c>
      <c r="J141" s="7">
        <v>88170.0</v>
      </c>
      <c r="K141" s="7">
        <v>5935.0</v>
      </c>
      <c r="L141" s="7">
        <v>34.53</v>
      </c>
      <c r="M141" s="7">
        <v>-0.04</v>
      </c>
      <c r="N141" s="7">
        <v>9638.0</v>
      </c>
      <c r="O141" s="7">
        <v>1201634.0</v>
      </c>
      <c r="P141" s="7" t="s">
        <v>410</v>
      </c>
      <c r="Q141" s="7">
        <v>1118.03</v>
      </c>
      <c r="R141" s="3">
        <f t="shared" si="1"/>
        <v>1118.03</v>
      </c>
    </row>
    <row r="142" ht="22.5" customHeight="1">
      <c r="B142" s="7" t="s">
        <v>597</v>
      </c>
      <c r="C142" s="7">
        <v>54037.0</v>
      </c>
      <c r="D142" s="7">
        <v>80649.0</v>
      </c>
      <c r="E142" s="7">
        <v>2138796.0</v>
      </c>
      <c r="F142" s="7">
        <v>2086741.0</v>
      </c>
      <c r="G142" s="7">
        <v>7026980.0</v>
      </c>
      <c r="H142" s="7">
        <v>2.687495262E9</v>
      </c>
      <c r="I142" s="7">
        <v>91335.0</v>
      </c>
      <c r="J142" s="7">
        <v>89191.0</v>
      </c>
      <c r="K142" s="7">
        <v>2144.0</v>
      </c>
      <c r="L142" s="7">
        <v>61.78</v>
      </c>
      <c r="M142" s="7">
        <v>-0.07</v>
      </c>
      <c r="N142" s="7">
        <v>3337.0</v>
      </c>
      <c r="O142" s="7">
        <v>1302477.0</v>
      </c>
      <c r="P142" s="7" t="s">
        <v>409</v>
      </c>
      <c r="Q142" s="7">
        <v>1127.91</v>
      </c>
      <c r="R142" s="3">
        <f t="shared" si="1"/>
        <v>1127.91</v>
      </c>
    </row>
    <row r="143" ht="22.5" customHeight="1">
      <c r="B143" s="7" t="s">
        <v>563</v>
      </c>
      <c r="C143" s="7">
        <v>400.0</v>
      </c>
      <c r="D143" s="7">
        <v>30926.0</v>
      </c>
      <c r="E143" s="7">
        <v>7705235.0</v>
      </c>
      <c r="F143" s="7">
        <v>7492344.0</v>
      </c>
      <c r="G143" s="7">
        <v>1.0012258E7</v>
      </c>
      <c r="H143" s="7">
        <v>2.05418811E8</v>
      </c>
      <c r="I143" s="7">
        <v>229569.0</v>
      </c>
      <c r="J143" s="7">
        <v>221602.0</v>
      </c>
      <c r="K143" s="7">
        <v>7967.0</v>
      </c>
      <c r="L143" s="7">
        <v>79.78</v>
      </c>
      <c r="M143" s="7">
        <v>-0.05</v>
      </c>
      <c r="N143" s="7">
        <v>12151.0</v>
      </c>
      <c r="O143" s="7">
        <v>4970206.0</v>
      </c>
      <c r="P143" s="7" t="s">
        <v>409</v>
      </c>
      <c r="Q143" s="7">
        <v>1131.45</v>
      </c>
      <c r="R143" s="3">
        <f t="shared" si="1"/>
        <v>1131.45</v>
      </c>
    </row>
    <row r="144" ht="22.5" customHeight="1">
      <c r="B144" s="7" t="s">
        <v>511</v>
      </c>
      <c r="C144" s="7">
        <v>501.0</v>
      </c>
      <c r="D144" s="7">
        <v>63088.0</v>
      </c>
      <c r="E144" s="7">
        <v>4082571.0</v>
      </c>
      <c r="F144" s="7">
        <v>3955856.0</v>
      </c>
      <c r="G144" s="7">
        <v>6817561.0</v>
      </c>
      <c r="H144" s="7">
        <v>8.833641E7</v>
      </c>
      <c r="I144" s="7">
        <v>98341.0</v>
      </c>
      <c r="J144" s="7">
        <v>87372.0</v>
      </c>
      <c r="K144" s="7">
        <v>10969.0</v>
      </c>
      <c r="L144" s="7">
        <v>136.1</v>
      </c>
      <c r="M144" s="7">
        <v>-0.04</v>
      </c>
      <c r="N144" s="7">
        <v>15086.0</v>
      </c>
      <c r="O144" s="7">
        <v>1531630.0</v>
      </c>
      <c r="P144" s="7" t="s">
        <v>410</v>
      </c>
      <c r="Q144" s="7">
        <v>1141.92</v>
      </c>
      <c r="R144" s="3">
        <f t="shared" si="1"/>
        <v>1141.92</v>
      </c>
    </row>
    <row r="145" ht="22.5" customHeight="1">
      <c r="B145" s="7" t="s">
        <v>567</v>
      </c>
      <c r="C145" s="7">
        <v>13176.0</v>
      </c>
      <c r="D145" s="7">
        <v>103872.0</v>
      </c>
      <c r="E145" s="7">
        <v>3831475.0</v>
      </c>
      <c r="F145" s="7">
        <v>3757175.0</v>
      </c>
      <c r="G145" s="7">
        <v>5828813.0</v>
      </c>
      <c r="H145" s="7">
        <v>1.893915869E9</v>
      </c>
      <c r="I145" s="7">
        <v>86776.0</v>
      </c>
      <c r="J145" s="7">
        <v>80115.0</v>
      </c>
      <c r="K145" s="7">
        <v>6661.0</v>
      </c>
      <c r="L145" s="7">
        <v>35.42</v>
      </c>
      <c r="M145" s="7">
        <v>-0.04</v>
      </c>
      <c r="N145" s="7">
        <v>10445.0</v>
      </c>
      <c r="O145" s="7">
        <v>1394844.0</v>
      </c>
      <c r="P145" s="7" t="s">
        <v>410</v>
      </c>
      <c r="Q145" s="7">
        <v>1297.76</v>
      </c>
      <c r="R145" s="3">
        <f t="shared" si="1"/>
        <v>1297.76</v>
      </c>
    </row>
    <row r="146" ht="22.5" customHeight="1">
      <c r="B146" s="7" t="s">
        <v>688</v>
      </c>
      <c r="C146" s="7">
        <v>31141.0</v>
      </c>
      <c r="D146" s="7">
        <v>796467.0</v>
      </c>
      <c r="E146" s="7">
        <v>6923032.0</v>
      </c>
      <c r="F146" s="7">
        <v>6817105.0</v>
      </c>
      <c r="G146" s="7">
        <v>8815730.0</v>
      </c>
      <c r="H146" s="7">
        <v>3.83537691E8</v>
      </c>
      <c r="I146" s="7">
        <v>293878.0</v>
      </c>
      <c r="J146" s="7">
        <v>284919.0</v>
      </c>
      <c r="K146" s="7">
        <v>8959.0</v>
      </c>
      <c r="L146" s="7">
        <v>112.6</v>
      </c>
      <c r="M146" s="7">
        <v>-0.03</v>
      </c>
      <c r="N146" s="7">
        <v>13133.0</v>
      </c>
      <c r="O146" s="7">
        <v>3634781.0</v>
      </c>
      <c r="P146" s="7" t="s">
        <v>409</v>
      </c>
      <c r="Q146" s="7">
        <v>1368.14</v>
      </c>
      <c r="R146" s="3">
        <f t="shared" si="1"/>
        <v>1368.14</v>
      </c>
    </row>
    <row r="147" ht="22.5" customHeight="1">
      <c r="B147" s="7" t="s">
        <v>579</v>
      </c>
      <c r="C147" s="7">
        <v>339136.0</v>
      </c>
      <c r="D147" s="7">
        <v>4421843.0</v>
      </c>
      <c r="E147" s="7">
        <v>2082434.0</v>
      </c>
      <c r="F147" s="7">
        <v>2015143.0</v>
      </c>
      <c r="G147" s="7">
        <v>1.3826269E7</v>
      </c>
      <c r="H147" s="7">
        <v>2.668987347E9</v>
      </c>
      <c r="I147" s="7">
        <v>133654.0</v>
      </c>
      <c r="J147" s="7">
        <v>131676.0</v>
      </c>
      <c r="K147" s="7">
        <v>1978.0</v>
      </c>
      <c r="L147" s="7">
        <v>22.45</v>
      </c>
      <c r="M147" s="7">
        <v>-0.18</v>
      </c>
      <c r="N147" s="7">
        <v>3083.0</v>
      </c>
      <c r="O147" s="7">
        <v>3996091.0</v>
      </c>
      <c r="P147" s="7" t="s">
        <v>409</v>
      </c>
      <c r="Q147" s="7">
        <v>1528.45</v>
      </c>
      <c r="R147" s="3">
        <f t="shared" si="1"/>
        <v>1528.45</v>
      </c>
    </row>
    <row r="148" ht="22.5" customHeight="1">
      <c r="B148" s="7" t="s">
        <v>824</v>
      </c>
      <c r="C148" s="7">
        <v>441.0</v>
      </c>
      <c r="D148" s="7">
        <v>627443.0</v>
      </c>
      <c r="E148" s="7">
        <v>1.263576E7</v>
      </c>
      <c r="F148" s="7">
        <v>1.2377969E7</v>
      </c>
      <c r="G148" s="7">
        <v>1.5569001E7</v>
      </c>
      <c r="H148" s="7">
        <v>4.10283784E8</v>
      </c>
      <c r="I148" s="7">
        <v>225005.0</v>
      </c>
      <c r="J148" s="7">
        <v>204766.0</v>
      </c>
      <c r="K148" s="7">
        <v>20239.0</v>
      </c>
      <c r="L148" s="7">
        <v>36.53</v>
      </c>
      <c r="M148" s="7">
        <v>-0.03</v>
      </c>
      <c r="N148" s="7">
        <v>31244.0</v>
      </c>
      <c r="O148" s="7">
        <v>5696190.0</v>
      </c>
      <c r="P148" s="7" t="s">
        <v>409</v>
      </c>
      <c r="Q148" s="7">
        <v>1551.71</v>
      </c>
      <c r="R148" s="3">
        <f t="shared" si="1"/>
        <v>1551.71</v>
      </c>
    </row>
    <row r="149" ht="22.5" customHeight="1">
      <c r="B149" s="7" t="s">
        <v>488</v>
      </c>
      <c r="C149" s="7">
        <v>361.0</v>
      </c>
      <c r="D149" s="7">
        <v>401368.0</v>
      </c>
      <c r="E149" s="7">
        <v>1.2156462E7</v>
      </c>
      <c r="F149" s="7">
        <v>1.190744E7</v>
      </c>
      <c r="G149" s="7">
        <v>1.509164E7</v>
      </c>
      <c r="H149" s="7">
        <v>3.68007458E8</v>
      </c>
      <c r="I149" s="7">
        <v>250206.0</v>
      </c>
      <c r="J149" s="7">
        <v>231504.0</v>
      </c>
      <c r="K149" s="7">
        <v>18702.0</v>
      </c>
      <c r="L149" s="7">
        <v>32.4</v>
      </c>
      <c r="M149" s="7">
        <v>-0.03</v>
      </c>
      <c r="N149" s="7">
        <v>28973.0</v>
      </c>
      <c r="O149" s="7">
        <v>5623660.0</v>
      </c>
      <c r="P149" s="7" t="s">
        <v>409</v>
      </c>
      <c r="Q149" s="7">
        <v>1634.59</v>
      </c>
      <c r="R149" s="3">
        <f t="shared" si="1"/>
        <v>1634.59</v>
      </c>
    </row>
    <row r="150" ht="22.5" customHeight="1">
      <c r="B150" s="7" t="s">
        <v>517</v>
      </c>
      <c r="C150" s="7">
        <v>11680.0</v>
      </c>
      <c r="D150" s="7">
        <v>74577.0</v>
      </c>
      <c r="E150" s="7">
        <v>1713422.0</v>
      </c>
      <c r="F150" s="7">
        <v>1671095.0</v>
      </c>
      <c r="G150" s="7">
        <v>4919531.0</v>
      </c>
      <c r="H150" s="7">
        <v>1.235747576E9</v>
      </c>
      <c r="I150" s="7">
        <v>86797.0</v>
      </c>
      <c r="J150" s="7">
        <v>84925.0</v>
      </c>
      <c r="K150" s="7">
        <v>1872.0</v>
      </c>
      <c r="L150" s="7">
        <v>41.62</v>
      </c>
      <c r="M150" s="7">
        <v>-0.13</v>
      </c>
      <c r="N150" s="7">
        <v>2924.0</v>
      </c>
      <c r="O150" s="7">
        <v>1172753.0</v>
      </c>
      <c r="P150" s="7" t="s">
        <v>410</v>
      </c>
      <c r="Q150" s="7">
        <v>1648.65</v>
      </c>
      <c r="R150" s="3">
        <f t="shared" si="1"/>
        <v>1648.65</v>
      </c>
    </row>
    <row r="151" ht="22.5" customHeight="1">
      <c r="B151" s="7" t="s">
        <v>558</v>
      </c>
      <c r="C151" s="7">
        <v>4322.0</v>
      </c>
      <c r="D151" s="7">
        <v>18947.0</v>
      </c>
      <c r="E151" s="7">
        <v>9428780.0</v>
      </c>
      <c r="F151" s="7">
        <v>9293906.0</v>
      </c>
      <c r="G151" s="7">
        <v>1.5750356E7</v>
      </c>
      <c r="H151" s="7">
        <v>2.317065497E9</v>
      </c>
      <c r="I151" s="7">
        <v>442440.0</v>
      </c>
      <c r="J151" s="7">
        <v>432597.0</v>
      </c>
      <c r="K151" s="7">
        <v>9843.0</v>
      </c>
      <c r="L151" s="7">
        <v>23.64</v>
      </c>
      <c r="M151" s="7">
        <v>-0.07</v>
      </c>
      <c r="N151" s="7">
        <v>15954.0</v>
      </c>
      <c r="O151" s="7">
        <v>4403692.0</v>
      </c>
      <c r="P151" s="7" t="s">
        <v>410</v>
      </c>
      <c r="Q151" s="7">
        <v>1729.72</v>
      </c>
      <c r="R151" s="3">
        <f t="shared" si="1"/>
        <v>1729.72</v>
      </c>
    </row>
    <row r="152" ht="22.5" customHeight="1">
      <c r="B152" s="7" t="s">
        <v>532</v>
      </c>
      <c r="C152" s="7">
        <v>29863.0</v>
      </c>
      <c r="D152" s="7">
        <v>739433.0</v>
      </c>
      <c r="E152" s="7">
        <v>8749929.0</v>
      </c>
      <c r="F152" s="7">
        <v>8628502.0</v>
      </c>
      <c r="G152" s="7">
        <v>1.1270218E7</v>
      </c>
      <c r="H152" s="7">
        <v>4.61328618E8</v>
      </c>
      <c r="I152" s="7">
        <v>394140.0</v>
      </c>
      <c r="J152" s="7">
        <v>383478.0</v>
      </c>
      <c r="K152" s="7">
        <v>10662.0</v>
      </c>
      <c r="L152" s="7">
        <v>109.37</v>
      </c>
      <c r="M152" s="7">
        <v>-0.03</v>
      </c>
      <c r="N152" s="7">
        <v>15696.0</v>
      </c>
      <c r="O152" s="7">
        <v>4642782.0</v>
      </c>
      <c r="P152" s="7" t="s">
        <v>409</v>
      </c>
      <c r="Q152" s="7">
        <v>1753.22</v>
      </c>
      <c r="R152" s="3">
        <f t="shared" si="1"/>
        <v>1753.22</v>
      </c>
    </row>
    <row r="153" ht="22.5" customHeight="1">
      <c r="B153" s="7" t="s">
        <v>549</v>
      </c>
      <c r="C153" s="7">
        <v>250.0</v>
      </c>
      <c r="D153" s="7">
        <v>1000.0</v>
      </c>
      <c r="E153" s="7">
        <v>1.6564721E7</v>
      </c>
      <c r="F153" s="7">
        <v>1.6563673E7</v>
      </c>
      <c r="G153" s="7">
        <v>1.6630764E7</v>
      </c>
      <c r="H153" s="7">
        <v>1.094342405E9</v>
      </c>
      <c r="I153" s="7">
        <v>272006.0</v>
      </c>
      <c r="J153" s="7">
        <v>244976.0</v>
      </c>
      <c r="K153" s="7">
        <v>27030.0</v>
      </c>
      <c r="L153" s="7">
        <v>23.55</v>
      </c>
      <c r="M153" s="7">
        <v>0.0</v>
      </c>
      <c r="N153" s="7">
        <v>43885.0</v>
      </c>
      <c r="O153" s="7">
        <v>4942065.0</v>
      </c>
      <c r="P153" s="7" t="s">
        <v>409</v>
      </c>
      <c r="Q153" s="7">
        <v>1981.52</v>
      </c>
      <c r="R153" s="3">
        <f t="shared" si="1"/>
        <v>1981.52</v>
      </c>
    </row>
    <row r="154" ht="22.5" customHeight="1">
      <c r="B154" s="7" t="s">
        <v>591</v>
      </c>
      <c r="C154" s="7">
        <v>9612.0</v>
      </c>
      <c r="D154" s="7">
        <v>210000.0</v>
      </c>
      <c r="E154" s="7">
        <v>5127875.0</v>
      </c>
      <c r="F154" s="7">
        <v>5011016.0</v>
      </c>
      <c r="G154" s="7">
        <v>1.3936546E7</v>
      </c>
      <c r="H154" s="7">
        <v>1.35416064E9</v>
      </c>
      <c r="I154" s="7">
        <v>205207.0</v>
      </c>
      <c r="J154" s="7">
        <v>197096.0</v>
      </c>
      <c r="K154" s="7">
        <v>8111.0</v>
      </c>
      <c r="L154" s="7">
        <v>50.54</v>
      </c>
      <c r="M154" s="7">
        <v>-0.09</v>
      </c>
      <c r="N154" s="7">
        <v>12302.0</v>
      </c>
      <c r="O154" s="7">
        <v>2461460.0</v>
      </c>
      <c r="P154" s="7" t="s">
        <v>409</v>
      </c>
      <c r="Q154" s="7">
        <v>2006.85</v>
      </c>
      <c r="R154" s="3">
        <f t="shared" si="1"/>
        <v>2006.85</v>
      </c>
    </row>
    <row r="155" ht="22.5" customHeight="1">
      <c r="B155" s="7" t="s">
        <v>593</v>
      </c>
      <c r="C155" s="7">
        <v>400.0</v>
      </c>
      <c r="D155" s="7">
        <v>503685.0</v>
      </c>
      <c r="E155" s="7">
        <v>1.5932001E7</v>
      </c>
      <c r="F155" s="7">
        <v>1.5613842E7</v>
      </c>
      <c r="G155" s="7">
        <v>1.9486705E7</v>
      </c>
      <c r="H155" s="7">
        <v>5.09043773E8</v>
      </c>
      <c r="I155" s="7">
        <v>243877.0</v>
      </c>
      <c r="J155" s="7">
        <v>214844.0</v>
      </c>
      <c r="K155" s="7">
        <v>29033.0</v>
      </c>
      <c r="L155" s="7">
        <v>35.2</v>
      </c>
      <c r="M155" s="7">
        <v>-0.03</v>
      </c>
      <c r="N155" s="7">
        <v>45097.0</v>
      </c>
      <c r="O155" s="7">
        <v>5668051.0</v>
      </c>
      <c r="P155" s="7" t="s">
        <v>409</v>
      </c>
      <c r="Q155" s="7">
        <v>2145.55</v>
      </c>
      <c r="R155" s="3">
        <f t="shared" si="1"/>
        <v>2145.55</v>
      </c>
    </row>
    <row r="156" ht="22.5" customHeight="1">
      <c r="B156" s="7" t="s">
        <v>570</v>
      </c>
      <c r="C156" s="7">
        <v>201.0</v>
      </c>
      <c r="D156" s="7">
        <v>707.0</v>
      </c>
      <c r="E156" s="7">
        <v>5815844.0</v>
      </c>
      <c r="F156" s="7">
        <v>5711002.0</v>
      </c>
      <c r="G156" s="7">
        <v>9049935.0</v>
      </c>
      <c r="H156" s="7">
        <v>1.69107023E8</v>
      </c>
      <c r="I156" s="7">
        <v>235029.0</v>
      </c>
      <c r="J156" s="7">
        <v>228267.0</v>
      </c>
      <c r="K156" s="7">
        <v>6762.0</v>
      </c>
      <c r="L156" s="7">
        <v>16.82</v>
      </c>
      <c r="M156" s="7">
        <v>-0.06</v>
      </c>
      <c r="N156" s="7">
        <v>10967.0</v>
      </c>
      <c r="O156" s="7">
        <v>2487001.0</v>
      </c>
      <c r="P156" s="7" t="s">
        <v>410</v>
      </c>
      <c r="Q156" s="7">
        <v>2198.45</v>
      </c>
      <c r="R156" s="3">
        <f t="shared" si="1"/>
        <v>2198.45</v>
      </c>
    </row>
    <row r="157" ht="22.5" customHeight="1">
      <c r="B157" s="7" t="s">
        <v>726</v>
      </c>
      <c r="C157" s="7">
        <v>96955.0</v>
      </c>
      <c r="D157" s="7">
        <v>144776.0</v>
      </c>
      <c r="E157" s="7">
        <v>2606737.0</v>
      </c>
      <c r="F157" s="7">
        <v>2544253.0</v>
      </c>
      <c r="G157" s="7">
        <v>9502521.0</v>
      </c>
      <c r="H157" s="7">
        <v>4.520680472E9</v>
      </c>
      <c r="I157" s="7">
        <v>102627.0</v>
      </c>
      <c r="J157" s="7">
        <v>99118.0</v>
      </c>
      <c r="K157" s="7">
        <v>3509.0</v>
      </c>
      <c r="L157" s="7">
        <v>82.79</v>
      </c>
      <c r="M157" s="7">
        <v>-0.08</v>
      </c>
      <c r="N157" s="7">
        <v>5421.0</v>
      </c>
      <c r="O157" s="7">
        <v>1375600.0</v>
      </c>
      <c r="P157" s="7" t="s">
        <v>409</v>
      </c>
      <c r="Q157" s="7">
        <v>2214.42</v>
      </c>
      <c r="R157" s="3">
        <f t="shared" si="1"/>
        <v>2214.42</v>
      </c>
    </row>
    <row r="158" ht="22.5" customHeight="1">
      <c r="B158" s="7" t="s">
        <v>599</v>
      </c>
      <c r="C158" s="7">
        <v>436022.0</v>
      </c>
      <c r="D158" s="7">
        <v>6000959.0</v>
      </c>
      <c r="E158" s="7">
        <v>2404490.0</v>
      </c>
      <c r="F158" s="7">
        <v>2330389.0</v>
      </c>
      <c r="G158" s="7">
        <v>1.5981252E7</v>
      </c>
      <c r="H158" s="7">
        <v>4.274414701E9</v>
      </c>
      <c r="I158" s="7">
        <v>133741.0</v>
      </c>
      <c r="J158" s="7">
        <v>130880.0</v>
      </c>
      <c r="K158" s="7">
        <v>2861.0</v>
      </c>
      <c r="L158" s="7">
        <v>25.6</v>
      </c>
      <c r="M158" s="7">
        <v>-0.17</v>
      </c>
      <c r="N158" s="7">
        <v>4460.0</v>
      </c>
      <c r="O158" s="7">
        <v>4162558.0</v>
      </c>
      <c r="P158" s="7" t="s">
        <v>409</v>
      </c>
      <c r="Q158" s="7">
        <v>2250.22</v>
      </c>
      <c r="R158" s="3">
        <f t="shared" si="1"/>
        <v>2250.22</v>
      </c>
    </row>
    <row r="159" ht="22.5" customHeight="1">
      <c r="B159" s="7" t="s">
        <v>564</v>
      </c>
      <c r="C159" s="7">
        <v>171148.0</v>
      </c>
      <c r="D159" s="7">
        <v>6573168.0</v>
      </c>
      <c r="E159" s="7">
        <v>3173061.0</v>
      </c>
      <c r="F159" s="7">
        <v>3140785.0</v>
      </c>
      <c r="G159" s="7">
        <v>5231538.0</v>
      </c>
      <c r="H159" s="7">
        <v>1.822827579E9</v>
      </c>
      <c r="I159" s="7">
        <v>114684.0</v>
      </c>
      <c r="J159" s="7">
        <v>109556.0</v>
      </c>
      <c r="K159" s="7">
        <v>5128.0</v>
      </c>
      <c r="L159" s="7">
        <v>25.8</v>
      </c>
      <c r="M159" s="7">
        <v>-0.06</v>
      </c>
      <c r="N159" s="7">
        <v>7911.0</v>
      </c>
      <c r="O159" s="7">
        <v>1098744.0</v>
      </c>
      <c r="P159" s="7" t="s">
        <v>410</v>
      </c>
      <c r="Q159" s="7">
        <v>2269.72</v>
      </c>
      <c r="R159" s="3">
        <f t="shared" si="1"/>
        <v>2269.72</v>
      </c>
    </row>
    <row r="160" ht="22.5" customHeight="1">
      <c r="B160" s="7" t="s">
        <v>561</v>
      </c>
      <c r="C160" s="7">
        <v>600.0</v>
      </c>
      <c r="D160" s="7">
        <v>5405.0</v>
      </c>
      <c r="E160" s="7">
        <v>7316656.0</v>
      </c>
      <c r="F160" s="7">
        <v>7182291.0</v>
      </c>
      <c r="G160" s="7">
        <v>1.3340081E7</v>
      </c>
      <c r="H160" s="7">
        <v>5.53294437E8</v>
      </c>
      <c r="I160" s="7">
        <v>342554.0</v>
      </c>
      <c r="J160" s="7">
        <v>335695.0</v>
      </c>
      <c r="K160" s="7">
        <v>6859.0</v>
      </c>
      <c r="L160" s="7">
        <v>27.75</v>
      </c>
      <c r="M160" s="7">
        <v>-0.07</v>
      </c>
      <c r="N160" s="7">
        <v>11062.0</v>
      </c>
      <c r="O160" s="7">
        <v>3703104.0</v>
      </c>
      <c r="P160" s="7" t="s">
        <v>409</v>
      </c>
      <c r="Q160" s="7">
        <v>2361.76</v>
      </c>
      <c r="R160" s="3">
        <f t="shared" si="1"/>
        <v>2361.76</v>
      </c>
    </row>
    <row r="161" ht="22.5" customHeight="1">
      <c r="B161" s="7" t="s">
        <v>580</v>
      </c>
      <c r="C161" s="7">
        <v>1529550.0</v>
      </c>
      <c r="D161" s="7">
        <v>8597643.0</v>
      </c>
      <c r="E161" s="7">
        <v>831812.0</v>
      </c>
      <c r="F161" s="7">
        <v>770602.0</v>
      </c>
      <c r="G161" s="7">
        <v>5.6194877E7</v>
      </c>
      <c r="H161" s="7">
        <v>1.2778164609E10</v>
      </c>
      <c r="I161" s="7">
        <v>21544.0</v>
      </c>
      <c r="J161" s="7">
        <v>20559.0</v>
      </c>
      <c r="K161" s="7">
        <v>985.0</v>
      </c>
      <c r="L161" s="7">
        <v>581.79</v>
      </c>
      <c r="M161" s="7">
        <v>-0.18</v>
      </c>
      <c r="N161" s="7">
        <v>1745.0</v>
      </c>
      <c r="O161" s="7">
        <v>8464307.0</v>
      </c>
      <c r="P161" s="7" t="s">
        <v>409</v>
      </c>
      <c r="Q161" s="7">
        <v>2411.28</v>
      </c>
      <c r="R161" s="3">
        <f t="shared" si="1"/>
        <v>2411.28</v>
      </c>
    </row>
    <row r="162" ht="22.5" customHeight="1">
      <c r="B162" s="7" t="s">
        <v>544</v>
      </c>
      <c r="C162" s="7">
        <v>484.0</v>
      </c>
      <c r="D162" s="7">
        <v>7056.0</v>
      </c>
      <c r="E162" s="7">
        <v>3570182.0</v>
      </c>
      <c r="F162" s="7">
        <v>3541414.0</v>
      </c>
      <c r="G162" s="7">
        <v>4272036.0</v>
      </c>
      <c r="H162" s="7">
        <v>3.60985229E8</v>
      </c>
      <c r="I162" s="7">
        <v>112916.0</v>
      </c>
      <c r="J162" s="7">
        <v>106958.0</v>
      </c>
      <c r="K162" s="7">
        <v>5958.0</v>
      </c>
      <c r="L162" s="7">
        <v>26.3</v>
      </c>
      <c r="M162" s="7">
        <v>-0.02</v>
      </c>
      <c r="N162" s="7">
        <v>9356.0</v>
      </c>
      <c r="O162" s="7">
        <v>1100963.0</v>
      </c>
      <c r="P162" s="7" t="s">
        <v>409</v>
      </c>
      <c r="Q162" s="7">
        <v>2422.56</v>
      </c>
      <c r="R162" s="3">
        <f t="shared" si="1"/>
        <v>2422.56</v>
      </c>
    </row>
    <row r="163" ht="22.5" customHeight="1">
      <c r="B163" s="7" t="s">
        <v>670</v>
      </c>
      <c r="C163" s="7">
        <v>308.0</v>
      </c>
      <c r="D163" s="7">
        <v>2030.0</v>
      </c>
      <c r="E163" s="7">
        <v>2.2466302E7</v>
      </c>
      <c r="F163" s="7">
        <v>2.2278365E7</v>
      </c>
      <c r="G163" s="7">
        <v>2.5186711E7</v>
      </c>
      <c r="H163" s="7">
        <v>3.51224814E8</v>
      </c>
      <c r="I163" s="7">
        <v>780947.0</v>
      </c>
      <c r="J163" s="7">
        <v>747327.0</v>
      </c>
      <c r="K163" s="7">
        <v>33620.0</v>
      </c>
      <c r="L163" s="7">
        <v>38.09</v>
      </c>
      <c r="M163" s="7">
        <v>-0.03</v>
      </c>
      <c r="N163" s="7">
        <v>50353.0</v>
      </c>
      <c r="O163" s="7">
        <v>9730877.0</v>
      </c>
      <c r="P163" s="7" t="s">
        <v>410</v>
      </c>
      <c r="Q163" s="7">
        <v>2465.61</v>
      </c>
      <c r="R163" s="3">
        <f t="shared" si="1"/>
        <v>2465.61</v>
      </c>
    </row>
    <row r="164" ht="22.5" customHeight="1">
      <c r="B164" s="7" t="s">
        <v>590</v>
      </c>
      <c r="C164" s="7">
        <v>4038010.0</v>
      </c>
      <c r="D164" s="7">
        <v>1.4110352E7</v>
      </c>
      <c r="E164" s="7">
        <v>1042132.0</v>
      </c>
      <c r="F164" s="7">
        <v>997985.0</v>
      </c>
      <c r="G164" s="7">
        <v>1.0130419E7</v>
      </c>
      <c r="H164" s="7">
        <v>7.13033085E9</v>
      </c>
      <c r="I164" s="7">
        <v>27735.0</v>
      </c>
      <c r="J164" s="7">
        <v>26059.0</v>
      </c>
      <c r="K164" s="7">
        <v>1676.0</v>
      </c>
      <c r="L164" s="7">
        <v>42.91</v>
      </c>
      <c r="M164" s="7">
        <v>-0.12</v>
      </c>
      <c r="N164" s="7">
        <v>2728.0</v>
      </c>
      <c r="O164" s="7">
        <v>1572611.0</v>
      </c>
      <c r="P164" s="7" t="s">
        <v>410</v>
      </c>
      <c r="Q164" s="7">
        <v>2598.05</v>
      </c>
      <c r="R164" s="3">
        <f t="shared" si="1"/>
        <v>2598.05</v>
      </c>
    </row>
    <row r="165" ht="22.5" customHeight="1">
      <c r="B165" s="7" t="s">
        <v>589</v>
      </c>
      <c r="C165" s="7">
        <v>891394.0</v>
      </c>
      <c r="D165" s="7">
        <v>3518573.0</v>
      </c>
      <c r="E165" s="7">
        <v>2521333.0</v>
      </c>
      <c r="F165" s="7">
        <v>2499380.0</v>
      </c>
      <c r="G165" s="7">
        <v>4178716.0</v>
      </c>
      <c r="H165" s="7">
        <v>6.160482176E9</v>
      </c>
      <c r="I165" s="7">
        <v>97318.0</v>
      </c>
      <c r="J165" s="7">
        <v>94335.0</v>
      </c>
      <c r="K165" s="7">
        <v>2983.0</v>
      </c>
      <c r="L165" s="7">
        <v>25.24</v>
      </c>
      <c r="M165" s="7">
        <v>-0.05</v>
      </c>
      <c r="N165" s="7">
        <v>4768.0</v>
      </c>
      <c r="O165" s="7">
        <v>1148969.0</v>
      </c>
      <c r="P165" s="7" t="s">
        <v>409</v>
      </c>
      <c r="Q165" s="7">
        <v>2755.95</v>
      </c>
      <c r="R165" s="3">
        <f t="shared" si="1"/>
        <v>2755.95</v>
      </c>
    </row>
    <row r="166" ht="22.5" customHeight="1">
      <c r="B166" s="7" t="s">
        <v>556</v>
      </c>
      <c r="C166" s="7">
        <v>4288.0</v>
      </c>
      <c r="D166" s="7">
        <v>76353.0</v>
      </c>
      <c r="E166" s="7">
        <v>1.1298332E7</v>
      </c>
      <c r="F166" s="7">
        <v>1.0977732E7</v>
      </c>
      <c r="G166" s="7">
        <v>1.619668E8</v>
      </c>
      <c r="H166" s="7">
        <v>1.5757158E9</v>
      </c>
      <c r="I166" s="7">
        <v>438921.0</v>
      </c>
      <c r="J166" s="7">
        <v>419601.0</v>
      </c>
      <c r="K166" s="7">
        <v>19320.0</v>
      </c>
      <c r="L166" s="7">
        <v>91.41</v>
      </c>
      <c r="M166" s="7">
        <v>-0.18</v>
      </c>
      <c r="N166" s="7">
        <v>28273.0</v>
      </c>
      <c r="O166" s="7">
        <v>2.2593441E7</v>
      </c>
      <c r="P166" s="7" t="s">
        <v>409</v>
      </c>
      <c r="Q166" s="7">
        <v>2757.08</v>
      </c>
      <c r="R166" s="3">
        <f t="shared" si="1"/>
        <v>2757.08</v>
      </c>
    </row>
    <row r="167" ht="22.5" customHeight="1">
      <c r="B167" s="7" t="s">
        <v>603</v>
      </c>
      <c r="C167" s="7">
        <v>445862.0</v>
      </c>
      <c r="D167" s="7">
        <v>6243399.0</v>
      </c>
      <c r="E167" s="7">
        <v>2459981.0</v>
      </c>
      <c r="F167" s="7">
        <v>2378989.0</v>
      </c>
      <c r="G167" s="7">
        <v>1.7182129E7</v>
      </c>
      <c r="H167" s="7">
        <v>4.143389253E9</v>
      </c>
      <c r="I167" s="7">
        <v>144705.0</v>
      </c>
      <c r="J167" s="7">
        <v>141730.0</v>
      </c>
      <c r="K167" s="7">
        <v>2975.0</v>
      </c>
      <c r="L167" s="7">
        <v>30.18</v>
      </c>
      <c r="M167" s="7">
        <v>-0.16</v>
      </c>
      <c r="N167" s="7">
        <v>4660.0</v>
      </c>
      <c r="O167" s="7">
        <v>4214423.0</v>
      </c>
      <c r="P167" s="7" t="s">
        <v>409</v>
      </c>
      <c r="Q167" s="7">
        <v>2779.38</v>
      </c>
      <c r="R167" s="3">
        <f t="shared" si="1"/>
        <v>2779.38</v>
      </c>
    </row>
    <row r="168" ht="22.5" customHeight="1">
      <c r="B168" s="7" t="s">
        <v>586</v>
      </c>
      <c r="C168" s="7">
        <v>88944.0</v>
      </c>
      <c r="D168" s="7">
        <v>1.2614028E7</v>
      </c>
      <c r="E168" s="7">
        <v>3441808.0</v>
      </c>
      <c r="F168" s="7">
        <v>3248840.0</v>
      </c>
      <c r="G168" s="7">
        <v>3.1906602E7</v>
      </c>
      <c r="H168" s="7">
        <v>1.694875231E9</v>
      </c>
      <c r="I168" s="7">
        <v>42086.0</v>
      </c>
      <c r="J168" s="7">
        <v>35556.0</v>
      </c>
      <c r="K168" s="7">
        <v>6530.0</v>
      </c>
      <c r="L168" s="7">
        <v>1202.5</v>
      </c>
      <c r="M168" s="7">
        <v>-0.05</v>
      </c>
      <c r="N168" s="7">
        <v>9708.0</v>
      </c>
      <c r="O168" s="7">
        <v>4026267.0</v>
      </c>
      <c r="P168" s="7" t="s">
        <v>409</v>
      </c>
      <c r="Q168" s="7">
        <v>2905.81</v>
      </c>
      <c r="R168" s="3">
        <f t="shared" si="1"/>
        <v>2905.81</v>
      </c>
    </row>
    <row r="169" ht="22.5" customHeight="1">
      <c r="B169" s="7" t="s">
        <v>594</v>
      </c>
      <c r="C169" s="7">
        <v>300.0</v>
      </c>
      <c r="D169" s="7">
        <v>17700.0</v>
      </c>
      <c r="E169" s="7">
        <v>1.8528369E7</v>
      </c>
      <c r="F169" s="7">
        <v>1.8183955E7</v>
      </c>
      <c r="G169" s="7">
        <v>3.3394341E7</v>
      </c>
      <c r="H169" s="7">
        <v>4.96962452E8</v>
      </c>
      <c r="I169" s="7">
        <v>347390.0</v>
      </c>
      <c r="J169" s="7">
        <v>320090.0</v>
      </c>
      <c r="K169" s="7">
        <v>27300.0</v>
      </c>
      <c r="L169" s="7">
        <v>43.59</v>
      </c>
      <c r="M169" s="7">
        <v>-0.04</v>
      </c>
      <c r="N169" s="7">
        <v>44110.0</v>
      </c>
      <c r="O169" s="7">
        <v>6875374.0</v>
      </c>
      <c r="P169" s="7" t="s">
        <v>409</v>
      </c>
      <c r="Q169" s="7">
        <v>2934.35</v>
      </c>
      <c r="R169" s="3">
        <f t="shared" si="1"/>
        <v>2934.35</v>
      </c>
    </row>
    <row r="170" ht="22.5" customHeight="1">
      <c r="B170" s="7" t="s">
        <v>541</v>
      </c>
      <c r="C170" s="7">
        <v>550.0</v>
      </c>
      <c r="D170" s="7">
        <v>4941.0</v>
      </c>
      <c r="E170" s="7">
        <v>8692316.0</v>
      </c>
      <c r="F170" s="7">
        <v>8546812.0</v>
      </c>
      <c r="G170" s="7">
        <v>1.4317224E7</v>
      </c>
      <c r="H170" s="7">
        <v>6.07441929E8</v>
      </c>
      <c r="I170" s="7">
        <v>394421.0</v>
      </c>
      <c r="J170" s="7">
        <v>386373.0</v>
      </c>
      <c r="K170" s="7">
        <v>8048.0</v>
      </c>
      <c r="L170" s="7">
        <v>24.21</v>
      </c>
      <c r="M170" s="7">
        <v>-0.07</v>
      </c>
      <c r="N170" s="7">
        <v>13024.0</v>
      </c>
      <c r="O170" s="7">
        <v>4436453.0</v>
      </c>
      <c r="P170" s="7" t="s">
        <v>409</v>
      </c>
      <c r="Q170" s="7">
        <v>2966.62</v>
      </c>
      <c r="R170" s="3">
        <f t="shared" si="1"/>
        <v>2966.62</v>
      </c>
    </row>
    <row r="171" ht="22.5" customHeight="1">
      <c r="B171" s="7" t="s">
        <v>727</v>
      </c>
      <c r="C171" s="7">
        <v>440.0</v>
      </c>
      <c r="D171" s="7">
        <v>4220.0</v>
      </c>
      <c r="E171" s="7">
        <v>2.0334948E7</v>
      </c>
      <c r="F171" s="7">
        <v>2.0136956E7</v>
      </c>
      <c r="G171" s="7">
        <v>2.29532E7</v>
      </c>
      <c r="H171" s="7">
        <v>4.34179445E8</v>
      </c>
      <c r="I171" s="7">
        <v>657653.0</v>
      </c>
      <c r="J171" s="7">
        <v>623600.0</v>
      </c>
      <c r="K171" s="7">
        <v>34053.0</v>
      </c>
      <c r="L171" s="7">
        <v>45.56</v>
      </c>
      <c r="M171" s="7">
        <v>-0.03</v>
      </c>
      <c r="N171" s="7">
        <v>50777.0</v>
      </c>
      <c r="O171" s="7">
        <v>7757871.0</v>
      </c>
      <c r="P171" s="7" t="s">
        <v>410</v>
      </c>
      <c r="Q171" s="7">
        <v>2982.69</v>
      </c>
      <c r="R171" s="3">
        <f t="shared" si="1"/>
        <v>2982.69</v>
      </c>
    </row>
    <row r="172" ht="22.5" customHeight="1">
      <c r="B172" s="7" t="s">
        <v>535</v>
      </c>
      <c r="C172" s="7">
        <v>3142183.0</v>
      </c>
      <c r="D172" s="7">
        <v>1.0275923E7</v>
      </c>
      <c r="E172" s="7">
        <v>1007369.0</v>
      </c>
      <c r="F172" s="7">
        <v>998812.0</v>
      </c>
      <c r="G172" s="7">
        <v>1483859.0</v>
      </c>
      <c r="H172" s="7">
        <v>5.676998718E9</v>
      </c>
      <c r="I172" s="7">
        <v>31856.0</v>
      </c>
      <c r="J172" s="7">
        <v>30180.0</v>
      </c>
      <c r="K172" s="7">
        <v>1676.0</v>
      </c>
      <c r="L172" s="7">
        <v>18.55</v>
      </c>
      <c r="M172" s="7">
        <v>-0.05</v>
      </c>
      <c r="N172" s="7">
        <v>2706.0</v>
      </c>
      <c r="O172" s="7">
        <v>270002.0</v>
      </c>
      <c r="P172" s="7" t="s">
        <v>410</v>
      </c>
      <c r="Q172" s="7">
        <v>3012.23</v>
      </c>
      <c r="R172" s="3">
        <f t="shared" si="1"/>
        <v>3012.23</v>
      </c>
    </row>
    <row r="173" ht="22.5" customHeight="1">
      <c r="B173" s="7" t="s">
        <v>610</v>
      </c>
      <c r="C173" s="7">
        <v>537752.0</v>
      </c>
      <c r="D173" s="7">
        <v>1.2951595E7</v>
      </c>
      <c r="E173" s="7">
        <v>5585620.0</v>
      </c>
      <c r="F173" s="7">
        <v>5419819.0</v>
      </c>
      <c r="G173" s="7">
        <v>1.4418837E7</v>
      </c>
      <c r="H173" s="7">
        <v>3.165622809E9</v>
      </c>
      <c r="I173" s="7">
        <v>216867.0</v>
      </c>
      <c r="J173" s="7">
        <v>208406.0</v>
      </c>
      <c r="K173" s="7">
        <v>8461.0</v>
      </c>
      <c r="L173" s="7">
        <v>27.05</v>
      </c>
      <c r="M173" s="7">
        <v>-0.1</v>
      </c>
      <c r="N173" s="7">
        <v>12649.0</v>
      </c>
      <c r="O173" s="7">
        <v>3654130.0</v>
      </c>
      <c r="P173" s="7" t="s">
        <v>410</v>
      </c>
      <c r="Q173" s="7">
        <v>3071.75</v>
      </c>
      <c r="R173" s="3">
        <f t="shared" si="1"/>
        <v>3071.75</v>
      </c>
    </row>
    <row r="174" ht="22.5" customHeight="1">
      <c r="B174" s="7" t="s">
        <v>587</v>
      </c>
      <c r="C174" s="7">
        <v>2295.0</v>
      </c>
      <c r="D174" s="7">
        <v>30422.0</v>
      </c>
      <c r="E174" s="7">
        <v>9978927.0</v>
      </c>
      <c r="F174" s="7">
        <v>9917373.0</v>
      </c>
      <c r="G174" s="7">
        <v>1.3695499E7</v>
      </c>
      <c r="H174" s="7">
        <v>5.66700328E8</v>
      </c>
      <c r="I174" s="7">
        <v>422031.0</v>
      </c>
      <c r="J174" s="7">
        <v>410875.0</v>
      </c>
      <c r="K174" s="7">
        <v>11156.0</v>
      </c>
      <c r="L174" s="7">
        <v>20.59</v>
      </c>
      <c r="M174" s="7">
        <v>-0.04</v>
      </c>
      <c r="N174" s="7">
        <v>18119.0</v>
      </c>
      <c r="O174" s="7">
        <v>4318639.0</v>
      </c>
      <c r="P174" s="7" t="s">
        <v>410</v>
      </c>
      <c r="Q174" s="7">
        <v>3079.87</v>
      </c>
      <c r="R174" s="3">
        <f t="shared" si="1"/>
        <v>3079.87</v>
      </c>
    </row>
    <row r="175" ht="22.5" customHeight="1">
      <c r="B175" s="7" t="s">
        <v>592</v>
      </c>
      <c r="C175" s="7">
        <v>3306.0</v>
      </c>
      <c r="D175" s="7">
        <v>22933.0</v>
      </c>
      <c r="E175" s="7">
        <v>2.8725774E7</v>
      </c>
      <c r="F175" s="7">
        <v>2.8395222E7</v>
      </c>
      <c r="G175" s="7">
        <v>2.06235319E8</v>
      </c>
      <c r="H175" s="7">
        <v>1.280687421E9</v>
      </c>
      <c r="I175" s="7">
        <v>1775086.0</v>
      </c>
      <c r="J175" s="7">
        <v>1743712.0</v>
      </c>
      <c r="K175" s="7">
        <v>31374.0</v>
      </c>
      <c r="L175" s="7">
        <v>20.95</v>
      </c>
      <c r="M175" s="7">
        <v>-0.12</v>
      </c>
      <c r="N175" s="7">
        <v>48164.0</v>
      </c>
      <c r="O175" s="7">
        <v>3.1782801E7</v>
      </c>
      <c r="P175" s="7" t="s">
        <v>410</v>
      </c>
      <c r="Q175" s="7">
        <v>3112.98</v>
      </c>
      <c r="R175" s="3">
        <f t="shared" si="1"/>
        <v>3112.98</v>
      </c>
    </row>
    <row r="176" ht="22.5" customHeight="1">
      <c r="B176" s="7" t="s">
        <v>604</v>
      </c>
      <c r="C176" s="7">
        <v>842026.0</v>
      </c>
      <c r="D176" s="7">
        <v>2261966.0</v>
      </c>
      <c r="E176" s="7">
        <v>1488135.0</v>
      </c>
      <c r="F176" s="7">
        <v>1262588.0</v>
      </c>
      <c r="G176" s="7">
        <v>8603200.0</v>
      </c>
      <c r="H176" s="7">
        <v>1.1243903742E10</v>
      </c>
      <c r="I176" s="7">
        <v>39142.0</v>
      </c>
      <c r="J176" s="7">
        <v>36909.0</v>
      </c>
      <c r="K176" s="7">
        <v>2233.0</v>
      </c>
      <c r="L176" s="7">
        <v>157.81</v>
      </c>
      <c r="M176" s="7">
        <v>-0.1</v>
      </c>
      <c r="N176" s="7">
        <v>3245.0</v>
      </c>
      <c r="O176" s="7">
        <v>1338923.0</v>
      </c>
      <c r="P176" s="7" t="s">
        <v>410</v>
      </c>
      <c r="Q176" s="7">
        <v>3141.4</v>
      </c>
      <c r="R176" s="3">
        <f t="shared" si="1"/>
        <v>3141.4</v>
      </c>
    </row>
    <row r="177" ht="22.5" customHeight="1">
      <c r="B177" s="7" t="s">
        <v>588</v>
      </c>
      <c r="C177" s="7">
        <v>538014.0</v>
      </c>
      <c r="D177" s="7">
        <v>7629684.0</v>
      </c>
      <c r="E177" s="7">
        <v>2321183.0</v>
      </c>
      <c r="F177" s="7">
        <v>2250989.0</v>
      </c>
      <c r="G177" s="7">
        <v>1.921336E7</v>
      </c>
      <c r="H177" s="7">
        <v>5.221565194E9</v>
      </c>
      <c r="I177" s="7">
        <v>106182.0</v>
      </c>
      <c r="J177" s="7">
        <v>103502.0</v>
      </c>
      <c r="K177" s="7">
        <v>2680.0</v>
      </c>
      <c r="L177" s="7">
        <v>20.15</v>
      </c>
      <c r="M177" s="7">
        <v>-0.16</v>
      </c>
      <c r="N177" s="7">
        <v>4150.0</v>
      </c>
      <c r="O177" s="7">
        <v>6428943.0</v>
      </c>
      <c r="P177" s="7" t="s">
        <v>409</v>
      </c>
      <c r="Q177" s="7">
        <v>3144.33</v>
      </c>
      <c r="R177" s="3">
        <f t="shared" si="1"/>
        <v>3144.33</v>
      </c>
    </row>
    <row r="178" ht="22.5" customHeight="1">
      <c r="B178" s="7" t="s">
        <v>600</v>
      </c>
      <c r="C178" s="7">
        <v>28362.0</v>
      </c>
      <c r="D178" s="7">
        <v>251281.0</v>
      </c>
      <c r="E178" s="7">
        <v>1.099288E7</v>
      </c>
      <c r="F178" s="7">
        <v>1.0736388E7</v>
      </c>
      <c r="G178" s="7">
        <v>3.0496997E7</v>
      </c>
      <c r="H178" s="7">
        <v>4.089004992E9</v>
      </c>
      <c r="I178" s="7">
        <v>431279.0</v>
      </c>
      <c r="J178" s="7">
        <v>416688.0</v>
      </c>
      <c r="K178" s="7">
        <v>14591.0</v>
      </c>
      <c r="L178" s="7">
        <v>27.65</v>
      </c>
      <c r="M178" s="7">
        <v>-0.12</v>
      </c>
      <c r="N178" s="7">
        <v>23101.0</v>
      </c>
      <c r="O178" s="7">
        <v>7094067.0</v>
      </c>
      <c r="P178" s="7" t="s">
        <v>409</v>
      </c>
      <c r="Q178" s="7">
        <v>3250.18</v>
      </c>
      <c r="R178" s="3">
        <f t="shared" si="1"/>
        <v>3250.18</v>
      </c>
    </row>
    <row r="179" ht="22.5" customHeight="1">
      <c r="B179" s="7" t="s">
        <v>584</v>
      </c>
      <c r="C179" s="7">
        <v>3176.0</v>
      </c>
      <c r="D179" s="7">
        <v>9950.0</v>
      </c>
      <c r="E179" s="7">
        <v>1.4596455E7</v>
      </c>
      <c r="F179" s="7">
        <v>1.447319E7</v>
      </c>
      <c r="G179" s="7">
        <v>2.1599027E7</v>
      </c>
      <c r="H179" s="7">
        <v>1.071496899E9</v>
      </c>
      <c r="I179" s="7">
        <v>507157.0</v>
      </c>
      <c r="J179" s="7">
        <v>484538.0</v>
      </c>
      <c r="K179" s="7">
        <v>22619.0</v>
      </c>
      <c r="L179" s="7">
        <v>23.65</v>
      </c>
      <c r="M179" s="7">
        <v>-0.04</v>
      </c>
      <c r="N179" s="7">
        <v>36690.0</v>
      </c>
      <c r="O179" s="7">
        <v>4137548.0</v>
      </c>
      <c r="P179" s="7" t="s">
        <v>409</v>
      </c>
      <c r="Q179" s="7">
        <v>3328.2</v>
      </c>
      <c r="R179" s="3">
        <f t="shared" si="1"/>
        <v>3328.2</v>
      </c>
    </row>
    <row r="180" ht="22.5" customHeight="1">
      <c r="B180" s="7" t="s">
        <v>658</v>
      </c>
      <c r="C180" s="7">
        <v>540.0</v>
      </c>
      <c r="D180" s="7">
        <v>6657.0</v>
      </c>
      <c r="E180" s="7">
        <v>1.223073E7</v>
      </c>
      <c r="F180" s="7">
        <v>1.1977511E7</v>
      </c>
      <c r="G180" s="7">
        <v>1.6595555E7</v>
      </c>
      <c r="H180" s="7">
        <v>6.75139894E8</v>
      </c>
      <c r="I180" s="7">
        <v>313992.0</v>
      </c>
      <c r="J180" s="7">
        <v>296312.0</v>
      </c>
      <c r="K180" s="7">
        <v>17680.0</v>
      </c>
      <c r="L180" s="7">
        <v>45.15</v>
      </c>
      <c r="M180" s="7">
        <v>-0.05</v>
      </c>
      <c r="N180" s="7">
        <v>28088.0</v>
      </c>
      <c r="O180" s="7">
        <v>4895008.0</v>
      </c>
      <c r="P180" s="7" t="s">
        <v>409</v>
      </c>
      <c r="Q180" s="7">
        <v>3360.11</v>
      </c>
      <c r="R180" s="3">
        <f t="shared" si="1"/>
        <v>3360.11</v>
      </c>
    </row>
    <row r="181" ht="22.5" customHeight="1">
      <c r="B181" s="7" t="s">
        <v>734</v>
      </c>
      <c r="C181" s="7">
        <v>11020.0</v>
      </c>
      <c r="D181" s="7">
        <v>241816.0</v>
      </c>
      <c r="E181" s="7">
        <v>6384114.0</v>
      </c>
      <c r="F181" s="7">
        <v>6231670.0</v>
      </c>
      <c r="G181" s="7">
        <v>1.7891548E7</v>
      </c>
      <c r="H181" s="7">
        <v>1.984146251E9</v>
      </c>
      <c r="I181" s="7">
        <v>289053.0</v>
      </c>
      <c r="J181" s="7">
        <v>280915.0</v>
      </c>
      <c r="K181" s="7">
        <v>8138.0</v>
      </c>
      <c r="L181" s="7">
        <v>56.45</v>
      </c>
      <c r="M181" s="7">
        <v>-0.09</v>
      </c>
      <c r="N181" s="7">
        <v>12328.0</v>
      </c>
      <c r="O181" s="7">
        <v>3749313.0</v>
      </c>
      <c r="P181" s="7" t="s">
        <v>409</v>
      </c>
      <c r="Q181" s="7">
        <v>3385.14</v>
      </c>
      <c r="R181" s="3">
        <f t="shared" si="1"/>
        <v>3385.14</v>
      </c>
    </row>
    <row r="182" ht="22.5" customHeight="1">
      <c r="B182" s="7" t="s">
        <v>649</v>
      </c>
      <c r="C182" s="7">
        <v>3120.0</v>
      </c>
      <c r="D182" s="7">
        <v>477680.0</v>
      </c>
      <c r="E182" s="7">
        <v>5.1776929E7</v>
      </c>
      <c r="F182" s="7">
        <v>5.1324999E7</v>
      </c>
      <c r="G182" s="7">
        <v>1.56481601E8</v>
      </c>
      <c r="H182" s="7">
        <v>3.70674425E8</v>
      </c>
      <c r="I182" s="7">
        <v>1683732.0</v>
      </c>
      <c r="J182" s="7">
        <v>1599225.0</v>
      </c>
      <c r="K182" s="7">
        <v>84507.0</v>
      </c>
      <c r="L182" s="7">
        <v>18.65</v>
      </c>
      <c r="M182" s="7">
        <v>-0.08</v>
      </c>
      <c r="N182" s="7">
        <v>130544.0</v>
      </c>
      <c r="O182" s="7">
        <v>4.2158047E7</v>
      </c>
      <c r="P182" s="7" t="s">
        <v>410</v>
      </c>
      <c r="Q182" s="7">
        <v>3581.38</v>
      </c>
      <c r="R182" s="3">
        <f t="shared" si="1"/>
        <v>3581.38</v>
      </c>
    </row>
    <row r="183" ht="22.5" customHeight="1">
      <c r="B183" s="7" t="s">
        <v>617</v>
      </c>
      <c r="C183" s="7">
        <v>7502.0</v>
      </c>
      <c r="D183" s="7">
        <v>23237.0</v>
      </c>
      <c r="E183" s="7">
        <v>1.0508749E7</v>
      </c>
      <c r="F183" s="7">
        <v>1.0380469E7</v>
      </c>
      <c r="G183" s="7">
        <v>1.6452268E7</v>
      </c>
      <c r="H183" s="7">
        <v>2.520174494E9</v>
      </c>
      <c r="I183" s="7">
        <v>426414.0</v>
      </c>
      <c r="J183" s="7">
        <v>413282.0</v>
      </c>
      <c r="K183" s="7">
        <v>13132.0</v>
      </c>
      <c r="L183" s="7">
        <v>58.32</v>
      </c>
      <c r="M183" s="7">
        <v>-0.05</v>
      </c>
      <c r="N183" s="7">
        <v>20897.0</v>
      </c>
      <c r="O183" s="7">
        <v>4560956.0</v>
      </c>
      <c r="P183" s="7" t="s">
        <v>410</v>
      </c>
      <c r="Q183" s="7">
        <v>3685.57</v>
      </c>
      <c r="R183" s="3">
        <f t="shared" si="1"/>
        <v>3685.57</v>
      </c>
    </row>
    <row r="184" ht="22.5" customHeight="1">
      <c r="B184" s="7" t="s">
        <v>574</v>
      </c>
      <c r="C184" s="7">
        <v>1527525.0</v>
      </c>
      <c r="D184" s="7">
        <v>8590893.0</v>
      </c>
      <c r="E184" s="7">
        <v>844685.0</v>
      </c>
      <c r="F184" s="7">
        <v>778691.0</v>
      </c>
      <c r="G184" s="7">
        <v>6.1990206E7</v>
      </c>
      <c r="H184" s="7">
        <v>1.4277778229E10</v>
      </c>
      <c r="I184" s="7">
        <v>24180.0</v>
      </c>
      <c r="J184" s="7">
        <v>23293.0</v>
      </c>
      <c r="K184" s="7">
        <v>887.0</v>
      </c>
      <c r="L184" s="7">
        <v>920.36</v>
      </c>
      <c r="M184" s="7">
        <v>-0.19</v>
      </c>
      <c r="N184" s="7">
        <v>1667.0</v>
      </c>
      <c r="O184" s="7">
        <v>7921767.0</v>
      </c>
      <c r="P184" s="7" t="s">
        <v>409</v>
      </c>
      <c r="Q184" s="7">
        <v>3798.87</v>
      </c>
      <c r="R184" s="3">
        <f t="shared" si="1"/>
        <v>3798.87</v>
      </c>
    </row>
    <row r="185" ht="22.5" customHeight="1">
      <c r="B185" s="7" t="s">
        <v>698</v>
      </c>
      <c r="C185" s="7">
        <v>1559925.0</v>
      </c>
      <c r="D185" s="7">
        <v>8698893.0</v>
      </c>
      <c r="E185" s="7">
        <v>628099.0</v>
      </c>
      <c r="F185" s="7">
        <v>556745.0</v>
      </c>
      <c r="G185" s="7">
        <v>4.7048374E7</v>
      </c>
      <c r="H185" s="7">
        <v>1.2506085329E10</v>
      </c>
      <c r="I185" s="7">
        <v>24717.0</v>
      </c>
      <c r="J185" s="7">
        <v>24217.0</v>
      </c>
      <c r="K185" s="7">
        <v>500.0</v>
      </c>
      <c r="L185" s="7">
        <v>619.66</v>
      </c>
      <c r="M185" s="7">
        <v>-0.25</v>
      </c>
      <c r="N185" s="7">
        <v>944.0</v>
      </c>
      <c r="O185" s="7">
        <v>7817030.0</v>
      </c>
      <c r="P185" s="7" t="s">
        <v>409</v>
      </c>
      <c r="Q185" s="7">
        <v>3870.13</v>
      </c>
      <c r="R185" s="3">
        <f t="shared" si="1"/>
        <v>3870.13</v>
      </c>
    </row>
    <row r="186" ht="22.5" customHeight="1">
      <c r="B186" s="7" t="s">
        <v>762</v>
      </c>
      <c r="C186" s="7">
        <v>9612.0</v>
      </c>
      <c r="D186" s="7">
        <v>210000.0</v>
      </c>
      <c r="E186" s="7">
        <v>7849037.0</v>
      </c>
      <c r="F186" s="7">
        <v>7643886.0</v>
      </c>
      <c r="G186" s="7">
        <v>2.436686E7</v>
      </c>
      <c r="H186" s="7">
        <v>2.184047674E9</v>
      </c>
      <c r="I186" s="7">
        <v>401814.0</v>
      </c>
      <c r="J186" s="7">
        <v>393495.0</v>
      </c>
      <c r="K186" s="7">
        <v>8319.0</v>
      </c>
      <c r="L186" s="7">
        <v>56.52</v>
      </c>
      <c r="M186" s="7">
        <v>-0.1</v>
      </c>
      <c r="N186" s="7">
        <v>12508.0</v>
      </c>
      <c r="O186" s="7">
        <v>5052823.0</v>
      </c>
      <c r="P186" s="7" t="s">
        <v>409</v>
      </c>
      <c r="Q186" s="7">
        <v>4066.49</v>
      </c>
      <c r="R186" s="3">
        <f t="shared" si="1"/>
        <v>4066.49</v>
      </c>
    </row>
    <row r="187" ht="22.5" customHeight="1">
      <c r="B187" s="7" t="s">
        <v>616</v>
      </c>
      <c r="C187" s="7">
        <v>450.0</v>
      </c>
      <c r="D187" s="7">
        <v>1426.0</v>
      </c>
      <c r="E187" s="7">
        <v>1.5016825E7</v>
      </c>
      <c r="F187" s="7">
        <v>1.4963091E7</v>
      </c>
      <c r="G187" s="7">
        <v>1.6870101E7</v>
      </c>
      <c r="H187" s="7">
        <v>4.21391924E8</v>
      </c>
      <c r="I187" s="7">
        <v>475217.0</v>
      </c>
      <c r="J187" s="7">
        <v>450773.0</v>
      </c>
      <c r="K187" s="7">
        <v>24444.0</v>
      </c>
      <c r="L187" s="7">
        <v>27.05</v>
      </c>
      <c r="M187" s="7">
        <v>-0.02</v>
      </c>
      <c r="N187" s="7">
        <v>39168.0</v>
      </c>
      <c r="O187" s="7">
        <v>4324783.0</v>
      </c>
      <c r="P187" s="7" t="s">
        <v>410</v>
      </c>
      <c r="Q187" s="7">
        <v>4105.03</v>
      </c>
      <c r="R187" s="3">
        <f t="shared" si="1"/>
        <v>4105.03</v>
      </c>
    </row>
    <row r="188" ht="22.5" customHeight="1">
      <c r="B188" s="7" t="s">
        <v>569</v>
      </c>
      <c r="C188" s="7">
        <v>625.0</v>
      </c>
      <c r="D188" s="7">
        <v>9216.0</v>
      </c>
      <c r="E188" s="7">
        <v>5010603.0</v>
      </c>
      <c r="F188" s="7">
        <v>4994145.0</v>
      </c>
      <c r="G188" s="7">
        <v>5716665.0</v>
      </c>
      <c r="H188" s="7">
        <v>8.37686951E8</v>
      </c>
      <c r="I188" s="7">
        <v>177233.0</v>
      </c>
      <c r="J188" s="7">
        <v>169601.0</v>
      </c>
      <c r="K188" s="7">
        <v>7632.0</v>
      </c>
      <c r="L188" s="7">
        <v>37.06</v>
      </c>
      <c r="M188" s="7">
        <v>-0.01</v>
      </c>
      <c r="N188" s="7">
        <v>11839.0</v>
      </c>
      <c r="O188" s="7">
        <v>1824303.0</v>
      </c>
      <c r="P188" s="7" t="s">
        <v>411</v>
      </c>
      <c r="Q188" s="7">
        <v>5003.57</v>
      </c>
      <c r="R188" s="3">
        <f t="shared" si="1"/>
        <v>10000</v>
      </c>
    </row>
    <row r="189" ht="22.5" customHeight="1">
      <c r="B189" s="7" t="s">
        <v>619</v>
      </c>
      <c r="C189" s="7">
        <v>9612.0</v>
      </c>
      <c r="D189" s="7">
        <v>210000.0</v>
      </c>
      <c r="E189" s="7">
        <v>7311757.0</v>
      </c>
      <c r="F189" s="7">
        <v>7133917.0</v>
      </c>
      <c r="G189" s="7">
        <v>2.1909256E7</v>
      </c>
      <c r="H189" s="7">
        <v>2.020612984E9</v>
      </c>
      <c r="I189" s="7">
        <v>365112.0</v>
      </c>
      <c r="J189" s="7">
        <v>356948.0</v>
      </c>
      <c r="K189" s="7">
        <v>8164.0</v>
      </c>
      <c r="L189" s="7">
        <v>52.44</v>
      </c>
      <c r="M189" s="7">
        <v>-0.1</v>
      </c>
      <c r="N189" s="7">
        <v>12354.0</v>
      </c>
      <c r="O189" s="7">
        <v>4490758.0</v>
      </c>
      <c r="P189" s="7" t="s">
        <v>411</v>
      </c>
      <c r="Q189" s="7">
        <v>5003.67</v>
      </c>
      <c r="R189" s="3">
        <f t="shared" si="1"/>
        <v>10000</v>
      </c>
    </row>
    <row r="190" ht="22.5" customHeight="1">
      <c r="B190" s="7" t="s">
        <v>620</v>
      </c>
      <c r="C190" s="7">
        <v>18420.0</v>
      </c>
      <c r="D190" s="7">
        <v>83157.0</v>
      </c>
      <c r="E190" s="7">
        <v>1.2753319E7</v>
      </c>
      <c r="F190" s="7">
        <v>1.2524149E7</v>
      </c>
      <c r="G190" s="7">
        <v>2.2676687E7</v>
      </c>
      <c r="H190" s="7">
        <v>5.711329472E9</v>
      </c>
      <c r="I190" s="7">
        <v>435488.0</v>
      </c>
      <c r="J190" s="7">
        <v>417365.0</v>
      </c>
      <c r="K190" s="7">
        <v>18123.0</v>
      </c>
      <c r="L190" s="7">
        <v>30.74</v>
      </c>
      <c r="M190" s="7">
        <v>-0.06</v>
      </c>
      <c r="N190" s="7">
        <v>29345.0</v>
      </c>
      <c r="O190" s="7">
        <v>4625965.0</v>
      </c>
      <c r="P190" s="7" t="s">
        <v>411</v>
      </c>
      <c r="Q190" s="7">
        <v>5003.64</v>
      </c>
      <c r="R190" s="3">
        <f t="shared" si="1"/>
        <v>10000</v>
      </c>
    </row>
    <row r="191" ht="22.5" customHeight="1">
      <c r="B191" s="7" t="s">
        <v>621</v>
      </c>
      <c r="C191" s="7">
        <v>25095.0</v>
      </c>
      <c r="D191" s="7">
        <v>315410.0</v>
      </c>
      <c r="E191" s="7">
        <v>1.8794352E7</v>
      </c>
      <c r="F191" s="7">
        <v>1.8187898E7</v>
      </c>
      <c r="G191" s="7">
        <v>3.243485E7</v>
      </c>
      <c r="H191" s="7">
        <v>3.231623476E9</v>
      </c>
      <c r="I191" s="7">
        <v>349527.0</v>
      </c>
      <c r="J191" s="7">
        <v>313191.0</v>
      </c>
      <c r="K191" s="7">
        <v>36336.0</v>
      </c>
      <c r="L191" s="7">
        <v>269.42</v>
      </c>
      <c r="M191" s="7">
        <v>-0.05</v>
      </c>
      <c r="N191" s="7">
        <v>53028.0</v>
      </c>
      <c r="O191" s="7">
        <v>8801141.0</v>
      </c>
      <c r="P191" s="7" t="s">
        <v>411</v>
      </c>
      <c r="Q191" s="7">
        <v>5003.69</v>
      </c>
      <c r="R191" s="3">
        <f t="shared" si="1"/>
        <v>10000</v>
      </c>
    </row>
    <row r="192" ht="22.5" customHeight="1">
      <c r="B192" s="7" t="s">
        <v>622</v>
      </c>
      <c r="C192" s="7">
        <v>139160.0</v>
      </c>
      <c r="D192" s="7">
        <v>547615.0</v>
      </c>
      <c r="E192" s="7">
        <v>1.1142203E7</v>
      </c>
      <c r="F192" s="7">
        <v>1.0643852E7</v>
      </c>
      <c r="G192" s="7">
        <v>9.0781007E7</v>
      </c>
      <c r="H192" s="7">
        <v>1.5464369895E10</v>
      </c>
      <c r="I192" s="7">
        <v>277009.0</v>
      </c>
      <c r="J192" s="7">
        <v>259088.0</v>
      </c>
      <c r="K192" s="7">
        <v>17921.0</v>
      </c>
      <c r="L192" s="7">
        <v>103.64</v>
      </c>
      <c r="M192" s="7">
        <v>-0.06</v>
      </c>
      <c r="N192" s="7">
        <v>26595.0</v>
      </c>
      <c r="O192" s="7">
        <v>5530612.0</v>
      </c>
      <c r="P192" s="7" t="s">
        <v>411</v>
      </c>
      <c r="Q192" s="7">
        <v>5003.6</v>
      </c>
      <c r="R192" s="3">
        <f t="shared" si="1"/>
        <v>10000</v>
      </c>
    </row>
    <row r="193" ht="22.5" customHeight="1">
      <c r="B193" s="7" t="s">
        <v>623</v>
      </c>
      <c r="C193" s="7">
        <v>9216.0</v>
      </c>
      <c r="D193" s="7">
        <v>748640.0</v>
      </c>
      <c r="E193" s="7">
        <v>1.0071358E7</v>
      </c>
      <c r="F193" s="7">
        <v>9956631.0</v>
      </c>
      <c r="G193" s="7">
        <v>1.1669426E7</v>
      </c>
      <c r="H193" s="7">
        <v>1.123016745E9</v>
      </c>
      <c r="I193" s="7">
        <v>46999.0</v>
      </c>
      <c r="J193" s="7">
        <v>31260.0</v>
      </c>
      <c r="K193" s="7">
        <v>15739.0</v>
      </c>
      <c r="L193" s="7">
        <v>656.1</v>
      </c>
      <c r="M193" s="7">
        <v>-0.02</v>
      </c>
      <c r="N193" s="7">
        <v>22788.0</v>
      </c>
      <c r="O193" s="7">
        <v>5704005.0</v>
      </c>
      <c r="P193" s="7" t="s">
        <v>411</v>
      </c>
      <c r="Q193" s="7">
        <v>5003.65</v>
      </c>
      <c r="R193" s="3">
        <f t="shared" si="1"/>
        <v>10000</v>
      </c>
    </row>
    <row r="194" ht="22.5" customHeight="1">
      <c r="B194" s="7" t="s">
        <v>624</v>
      </c>
      <c r="C194" s="7">
        <v>988187.0</v>
      </c>
      <c r="D194" s="7">
        <v>3111929.0</v>
      </c>
      <c r="E194" s="7">
        <v>9222423.0</v>
      </c>
      <c r="F194" s="7">
        <v>8859391.0</v>
      </c>
      <c r="G194" s="7">
        <v>1.9082233E7</v>
      </c>
      <c r="H194" s="7">
        <v>4.54187318E9</v>
      </c>
      <c r="I194" s="7">
        <v>297255.0</v>
      </c>
      <c r="J194" s="7">
        <v>286062.0</v>
      </c>
      <c r="K194" s="7">
        <v>11193.0</v>
      </c>
      <c r="L194" s="7">
        <v>107.08</v>
      </c>
      <c r="M194" s="7">
        <v>-0.07</v>
      </c>
      <c r="N194" s="7">
        <v>16955.0</v>
      </c>
      <c r="O194" s="7">
        <v>5108690.0</v>
      </c>
      <c r="P194" s="7" t="s">
        <v>411</v>
      </c>
      <c r="Q194" s="7">
        <v>5003.55</v>
      </c>
      <c r="R194" s="3">
        <f t="shared" si="1"/>
        <v>10000</v>
      </c>
    </row>
    <row r="195" ht="22.5" customHeight="1">
      <c r="B195" s="7" t="s">
        <v>625</v>
      </c>
      <c r="C195" s="7">
        <v>400.0</v>
      </c>
      <c r="D195" s="7">
        <v>31600.0</v>
      </c>
      <c r="E195" s="7">
        <v>2.4441853E7</v>
      </c>
      <c r="F195" s="7">
        <v>2.3955643E7</v>
      </c>
      <c r="G195" s="7">
        <v>5.0570141E7</v>
      </c>
      <c r="H195" s="7">
        <v>6.48771296E8</v>
      </c>
      <c r="I195" s="7">
        <v>601335.0</v>
      </c>
      <c r="J195" s="7">
        <v>573596.0</v>
      </c>
      <c r="K195" s="7">
        <v>27739.0</v>
      </c>
      <c r="L195" s="7">
        <v>42.49</v>
      </c>
      <c r="M195" s="7">
        <v>-0.05</v>
      </c>
      <c r="N195" s="7">
        <v>44547.0</v>
      </c>
      <c r="O195" s="7">
        <v>1.2206389E7</v>
      </c>
      <c r="P195" s="7" t="s">
        <v>411</v>
      </c>
      <c r="Q195" s="7">
        <v>5003.69</v>
      </c>
      <c r="R195" s="3">
        <f t="shared" si="1"/>
        <v>10000</v>
      </c>
    </row>
    <row r="196" ht="22.5" customHeight="1">
      <c r="B196" s="7" t="s">
        <v>626</v>
      </c>
      <c r="C196" s="7">
        <v>1642950.0</v>
      </c>
      <c r="D196" s="7">
        <v>8975643.0</v>
      </c>
      <c r="E196" s="7">
        <v>1638649.0</v>
      </c>
      <c r="F196" s="7">
        <v>1559467.0</v>
      </c>
      <c r="G196" s="7">
        <v>1.477045E7</v>
      </c>
      <c r="H196" s="7">
        <v>1.5101570889E10</v>
      </c>
      <c r="I196" s="7">
        <v>75782.0</v>
      </c>
      <c r="J196" s="7">
        <v>73774.0</v>
      </c>
      <c r="K196" s="7">
        <v>2008.0</v>
      </c>
      <c r="L196" s="7">
        <v>194.44</v>
      </c>
      <c r="M196" s="7">
        <v>-0.12</v>
      </c>
      <c r="N196" s="7">
        <v>3052.0</v>
      </c>
      <c r="O196" s="7">
        <v>1527385.0</v>
      </c>
      <c r="P196" s="7" t="s">
        <v>411</v>
      </c>
      <c r="Q196" s="7">
        <v>5003.44</v>
      </c>
      <c r="R196" s="3">
        <f t="shared" si="1"/>
        <v>10000</v>
      </c>
    </row>
    <row r="197" ht="22.5" customHeight="1">
      <c r="B197" s="7" t="s">
        <v>577</v>
      </c>
      <c r="C197" s="7">
        <v>342.0</v>
      </c>
      <c r="D197" s="7">
        <v>339679.0</v>
      </c>
      <c r="E197" s="7">
        <v>3.0654195E7</v>
      </c>
      <c r="F197" s="7">
        <v>3.001934E7</v>
      </c>
      <c r="G197" s="7">
        <v>3.8607776E7</v>
      </c>
      <c r="H197" s="7">
        <v>9.10197032E8</v>
      </c>
      <c r="I197" s="7">
        <v>886965.0</v>
      </c>
      <c r="J197" s="7">
        <v>856830.0</v>
      </c>
      <c r="K197" s="7">
        <v>30135.0</v>
      </c>
      <c r="L197" s="7">
        <v>28.9</v>
      </c>
      <c r="M197" s="7">
        <v>-0.04</v>
      </c>
      <c r="N197" s="7">
        <v>46892.0</v>
      </c>
      <c r="O197" s="7">
        <v>2.0119514E7</v>
      </c>
      <c r="P197" s="7" t="s">
        <v>411</v>
      </c>
      <c r="Q197" s="7">
        <v>5003.75</v>
      </c>
      <c r="R197" s="3">
        <f t="shared" si="1"/>
        <v>10000</v>
      </c>
    </row>
    <row r="198" ht="22.5" customHeight="1">
      <c r="B198" s="7" t="s">
        <v>627</v>
      </c>
      <c r="C198" s="7">
        <v>1200.0</v>
      </c>
      <c r="D198" s="7">
        <v>8093.0</v>
      </c>
      <c r="E198" s="7">
        <v>2.3108751E7</v>
      </c>
      <c r="F198" s="7">
        <v>2.2866649E7</v>
      </c>
      <c r="G198" s="7">
        <v>5.0361311E7</v>
      </c>
      <c r="H198" s="7">
        <v>1.029621288E9</v>
      </c>
      <c r="I198" s="7">
        <v>738629.0</v>
      </c>
      <c r="J198" s="7">
        <v>707048.0</v>
      </c>
      <c r="K198" s="7">
        <v>31581.0</v>
      </c>
      <c r="L198" s="7">
        <v>35.69</v>
      </c>
      <c r="M198" s="7">
        <v>-0.07</v>
      </c>
      <c r="N198" s="7">
        <v>48358.0</v>
      </c>
      <c r="O198" s="7">
        <v>1.3561713E7</v>
      </c>
      <c r="P198" s="7" t="s">
        <v>411</v>
      </c>
      <c r="Q198" s="7">
        <v>5003.85</v>
      </c>
      <c r="R198" s="3">
        <f t="shared" si="1"/>
        <v>10000</v>
      </c>
    </row>
    <row r="199" ht="22.5" customHeight="1">
      <c r="B199" s="7" t="s">
        <v>628</v>
      </c>
      <c r="C199" s="7">
        <v>920.0</v>
      </c>
      <c r="D199" s="7">
        <v>48323.0</v>
      </c>
      <c r="E199" s="7">
        <v>1.7569267E7</v>
      </c>
      <c r="F199" s="7">
        <v>1.7405445E7</v>
      </c>
      <c r="G199" s="7">
        <v>2.0624945E7</v>
      </c>
      <c r="H199" s="7">
        <v>2.61630263E8</v>
      </c>
      <c r="I199" s="7">
        <v>393013.0</v>
      </c>
      <c r="J199" s="7">
        <v>353679.0</v>
      </c>
      <c r="K199" s="7">
        <v>39334.0</v>
      </c>
      <c r="L199" s="7">
        <v>272.84</v>
      </c>
      <c r="M199" s="7">
        <v>-0.02</v>
      </c>
      <c r="N199" s="7">
        <v>55970.0</v>
      </c>
      <c r="O199" s="7">
        <v>5742353.0</v>
      </c>
      <c r="P199" s="7" t="s">
        <v>411</v>
      </c>
      <c r="Q199" s="7">
        <v>5003.82</v>
      </c>
      <c r="R199" s="3">
        <f t="shared" si="1"/>
        <v>10000</v>
      </c>
    </row>
    <row r="200" ht="22.5" customHeight="1">
      <c r="B200" s="7" t="s">
        <v>629</v>
      </c>
      <c r="C200" s="7">
        <v>728645.0</v>
      </c>
      <c r="D200" s="7">
        <v>1.0408627E7</v>
      </c>
      <c r="E200" s="7">
        <v>1843250.0</v>
      </c>
      <c r="F200" s="7">
        <v>1788885.0</v>
      </c>
      <c r="G200" s="7">
        <v>1.5259722E7</v>
      </c>
      <c r="H200" s="7">
        <v>5.46865821E9</v>
      </c>
      <c r="I200" s="7">
        <v>83115.0</v>
      </c>
      <c r="J200" s="7">
        <v>81283.0</v>
      </c>
      <c r="K200" s="7">
        <v>1832.0</v>
      </c>
      <c r="L200" s="7">
        <v>16.28</v>
      </c>
      <c r="M200" s="7">
        <v>-0.18</v>
      </c>
      <c r="N200" s="7">
        <v>2881.0</v>
      </c>
      <c r="O200" s="7">
        <v>5179306.0</v>
      </c>
      <c r="P200" s="7" t="s">
        <v>411</v>
      </c>
      <c r="Q200" s="7">
        <v>5003.55</v>
      </c>
      <c r="R200" s="3">
        <f t="shared" si="1"/>
        <v>10000</v>
      </c>
    </row>
    <row r="201" ht="22.5" customHeight="1">
      <c r="B201" s="7" t="s">
        <v>530</v>
      </c>
      <c r="C201" s="7">
        <v>380.0</v>
      </c>
      <c r="D201" s="7">
        <v>432291.0</v>
      </c>
      <c r="E201" s="7">
        <v>2.7495519E7</v>
      </c>
      <c r="F201" s="7">
        <v>2.693176E7</v>
      </c>
      <c r="G201" s="7">
        <v>3.4416464E7</v>
      </c>
      <c r="H201" s="7">
        <v>8.52855699E8</v>
      </c>
      <c r="I201" s="7">
        <v>719396.0</v>
      </c>
      <c r="J201" s="7">
        <v>688974.0</v>
      </c>
      <c r="K201" s="7">
        <v>30422.0</v>
      </c>
      <c r="L201" s="7">
        <v>31.37</v>
      </c>
      <c r="M201" s="7">
        <v>-0.04</v>
      </c>
      <c r="N201" s="7">
        <v>47178.0</v>
      </c>
      <c r="O201" s="7">
        <v>1.6982608E7</v>
      </c>
      <c r="P201" s="7" t="s">
        <v>411</v>
      </c>
      <c r="Q201" s="7">
        <v>5003.8</v>
      </c>
      <c r="R201" s="3">
        <f t="shared" si="1"/>
        <v>10000</v>
      </c>
    </row>
    <row r="202" ht="22.5" customHeight="1">
      <c r="B202" s="7" t="s">
        <v>630</v>
      </c>
      <c r="C202" s="7">
        <v>969.0</v>
      </c>
      <c r="D202" s="7">
        <v>220951.0</v>
      </c>
      <c r="E202" s="7">
        <v>1.138759E7</v>
      </c>
      <c r="F202" s="7">
        <v>1.12776E7</v>
      </c>
      <c r="G202" s="7">
        <v>1.7537477E7</v>
      </c>
      <c r="H202" s="7">
        <v>2.30047579E8</v>
      </c>
      <c r="I202" s="7">
        <v>417072.0</v>
      </c>
      <c r="J202" s="7">
        <v>391393.0</v>
      </c>
      <c r="K202" s="7">
        <v>25679.0</v>
      </c>
      <c r="L202" s="7">
        <v>248.82</v>
      </c>
      <c r="M202" s="7">
        <v>-0.02</v>
      </c>
      <c r="N202" s="7">
        <v>34612.0</v>
      </c>
      <c r="O202" s="7">
        <v>4507739.0</v>
      </c>
      <c r="P202" s="7" t="s">
        <v>411</v>
      </c>
      <c r="Q202" s="7">
        <v>5003.76</v>
      </c>
      <c r="R202" s="3">
        <f t="shared" si="1"/>
        <v>10000</v>
      </c>
    </row>
    <row r="203" ht="22.5" customHeight="1">
      <c r="B203" s="7" t="s">
        <v>598</v>
      </c>
      <c r="C203" s="7">
        <v>529.0</v>
      </c>
      <c r="D203" s="7">
        <v>7744.0</v>
      </c>
      <c r="E203" s="7">
        <v>4347025.0</v>
      </c>
      <c r="F203" s="7">
        <v>4336581.0</v>
      </c>
      <c r="G203" s="7">
        <v>4623061.0</v>
      </c>
      <c r="H203" s="7">
        <v>7.38701912E8</v>
      </c>
      <c r="I203" s="7">
        <v>125469.0</v>
      </c>
      <c r="J203" s="7">
        <v>118255.0</v>
      </c>
      <c r="K203" s="7">
        <v>7214.0</v>
      </c>
      <c r="L203" s="7">
        <v>31.07</v>
      </c>
      <c r="M203" s="7">
        <v>-0.01</v>
      </c>
      <c r="N203" s="7">
        <v>11425.0</v>
      </c>
      <c r="O203" s="7">
        <v>1289676.0</v>
      </c>
      <c r="P203" s="7" t="s">
        <v>411</v>
      </c>
      <c r="Q203" s="7">
        <v>5003.64</v>
      </c>
      <c r="R203" s="3">
        <f t="shared" si="1"/>
        <v>10000</v>
      </c>
    </row>
    <row r="204" ht="22.5" customHeight="1">
      <c r="B204" s="7" t="s">
        <v>631</v>
      </c>
      <c r="C204" s="7">
        <v>5640.0</v>
      </c>
      <c r="D204" s="7">
        <v>116738.0</v>
      </c>
      <c r="E204" s="7">
        <v>1.5853233E7</v>
      </c>
      <c r="F204" s="7">
        <v>1.5692427E7</v>
      </c>
      <c r="G204" s="7">
        <v>1.8021757E7</v>
      </c>
      <c r="H204" s="7">
        <v>1.407016098E9</v>
      </c>
      <c r="I204" s="7">
        <v>338114.0</v>
      </c>
      <c r="J204" s="7">
        <v>302777.0</v>
      </c>
      <c r="K204" s="7">
        <v>35337.0</v>
      </c>
      <c r="L204" s="7">
        <v>268.64</v>
      </c>
      <c r="M204" s="7">
        <v>-0.02</v>
      </c>
      <c r="N204" s="7">
        <v>51227.0</v>
      </c>
      <c r="O204" s="7">
        <v>4791289.0</v>
      </c>
      <c r="P204" s="7" t="s">
        <v>411</v>
      </c>
      <c r="Q204" s="7">
        <v>5003.84</v>
      </c>
      <c r="R204" s="3">
        <f t="shared" si="1"/>
        <v>10000</v>
      </c>
    </row>
    <row r="205" ht="22.5" customHeight="1">
      <c r="B205" s="7" t="s">
        <v>632</v>
      </c>
      <c r="C205" s="7">
        <v>1350.0</v>
      </c>
      <c r="D205" s="7">
        <v>15166.0</v>
      </c>
      <c r="E205" s="7">
        <v>3.765415E7</v>
      </c>
      <c r="F205" s="7">
        <v>3.7414852E7</v>
      </c>
      <c r="G205" s="7">
        <v>4.1282622E7</v>
      </c>
      <c r="H205" s="7">
        <v>1.777226434E9</v>
      </c>
      <c r="I205" s="7">
        <v>1271503.0</v>
      </c>
      <c r="J205" s="7">
        <v>1223382.0</v>
      </c>
      <c r="K205" s="7">
        <v>48121.0</v>
      </c>
      <c r="L205" s="7">
        <v>46.47</v>
      </c>
      <c r="M205" s="7">
        <v>-0.02</v>
      </c>
      <c r="N205" s="7">
        <v>72362.0</v>
      </c>
      <c r="O205" s="7">
        <v>1.8814874E7</v>
      </c>
      <c r="P205" s="7" t="s">
        <v>411</v>
      </c>
      <c r="Q205" s="7">
        <v>5003.8</v>
      </c>
      <c r="R205" s="3">
        <f t="shared" si="1"/>
        <v>10000</v>
      </c>
    </row>
    <row r="206" ht="22.5" customHeight="1">
      <c r="B206" s="7" t="s">
        <v>633</v>
      </c>
      <c r="C206" s="7">
        <v>1430.0</v>
      </c>
      <c r="D206" s="7">
        <v>87044.0</v>
      </c>
      <c r="E206" s="7">
        <v>2.0933292E7</v>
      </c>
      <c r="F206" s="7">
        <v>2.0642368E7</v>
      </c>
      <c r="G206" s="7">
        <v>2.7984434E7</v>
      </c>
      <c r="H206" s="7">
        <v>1.272085269E9</v>
      </c>
      <c r="I206" s="7">
        <v>639357.0</v>
      </c>
      <c r="J206" s="7">
        <v>610209.0</v>
      </c>
      <c r="K206" s="7">
        <v>29148.0</v>
      </c>
      <c r="L206" s="7">
        <v>27.58</v>
      </c>
      <c r="M206" s="7">
        <v>-0.04</v>
      </c>
      <c r="N206" s="7">
        <v>45937.0</v>
      </c>
      <c r="O206" s="7">
        <v>8804295.0</v>
      </c>
      <c r="P206" s="7" t="s">
        <v>411</v>
      </c>
      <c r="Q206" s="7">
        <v>5003.48</v>
      </c>
      <c r="R206" s="3">
        <f t="shared" si="1"/>
        <v>10000</v>
      </c>
    </row>
    <row r="207" ht="22.5" customHeight="1">
      <c r="B207" s="7" t="s">
        <v>634</v>
      </c>
      <c r="C207" s="7">
        <v>2726.0</v>
      </c>
      <c r="D207" s="7">
        <v>8974.0</v>
      </c>
      <c r="E207" s="7">
        <v>1.1446857E7</v>
      </c>
      <c r="F207" s="7">
        <v>1.1325484E7</v>
      </c>
      <c r="G207" s="7">
        <v>1.9492206E7</v>
      </c>
      <c r="H207" s="7">
        <v>1.258310911E9</v>
      </c>
      <c r="I207" s="7">
        <v>482573.0</v>
      </c>
      <c r="J207" s="7">
        <v>467590.0</v>
      </c>
      <c r="K207" s="7">
        <v>14983.0</v>
      </c>
      <c r="L207" s="7">
        <v>37.61</v>
      </c>
      <c r="M207" s="7">
        <v>-0.06</v>
      </c>
      <c r="N207" s="7">
        <v>24199.0</v>
      </c>
      <c r="O207" s="7">
        <v>4199068.0</v>
      </c>
      <c r="P207" s="7" t="s">
        <v>411</v>
      </c>
      <c r="Q207" s="7">
        <v>5003.82</v>
      </c>
      <c r="R207" s="3">
        <f t="shared" si="1"/>
        <v>10000</v>
      </c>
    </row>
    <row r="208" ht="22.5" customHeight="1">
      <c r="B208" s="7" t="s">
        <v>635</v>
      </c>
      <c r="C208" s="7">
        <v>4875.0</v>
      </c>
      <c r="D208" s="7">
        <v>336450.0</v>
      </c>
      <c r="E208" s="7">
        <v>9440986.0</v>
      </c>
      <c r="F208" s="7">
        <v>9364068.0</v>
      </c>
      <c r="G208" s="7">
        <v>1.0225486E7</v>
      </c>
      <c r="H208" s="7">
        <v>1.91605589E8</v>
      </c>
      <c r="I208" s="7">
        <v>151580.0</v>
      </c>
      <c r="J208" s="7">
        <v>138197.0</v>
      </c>
      <c r="K208" s="7">
        <v>13383.0</v>
      </c>
      <c r="L208" s="7">
        <v>705.78</v>
      </c>
      <c r="M208" s="7">
        <v>-0.01</v>
      </c>
      <c r="N208" s="7">
        <v>19473.0</v>
      </c>
      <c r="O208" s="7">
        <v>5154499.0</v>
      </c>
      <c r="P208" s="7" t="s">
        <v>411</v>
      </c>
      <c r="Q208" s="7">
        <v>5003.62</v>
      </c>
      <c r="R208" s="3">
        <f t="shared" si="1"/>
        <v>10000</v>
      </c>
    </row>
    <row r="209" ht="22.5" customHeight="1">
      <c r="B209" s="7" t="s">
        <v>636</v>
      </c>
      <c r="C209" s="7">
        <v>9612.0</v>
      </c>
      <c r="D209" s="7">
        <v>210016.0</v>
      </c>
      <c r="E209" s="7">
        <v>7720302.0</v>
      </c>
      <c r="F209" s="7">
        <v>7532995.0</v>
      </c>
      <c r="G209" s="7">
        <v>2.2846714E7</v>
      </c>
      <c r="H209" s="7">
        <v>2.149858536E9</v>
      </c>
      <c r="I209" s="7">
        <v>395663.0</v>
      </c>
      <c r="J209" s="7">
        <v>387620.0</v>
      </c>
      <c r="K209" s="7">
        <v>8043.0</v>
      </c>
      <c r="L209" s="7">
        <v>49.69</v>
      </c>
      <c r="M209" s="7">
        <v>-0.1</v>
      </c>
      <c r="N209" s="7">
        <v>12235.0</v>
      </c>
      <c r="O209" s="7">
        <v>4855216.0</v>
      </c>
      <c r="P209" s="7" t="s">
        <v>411</v>
      </c>
      <c r="Q209" s="7">
        <v>5003.75</v>
      </c>
      <c r="R209" s="3">
        <f t="shared" si="1"/>
        <v>10000</v>
      </c>
    </row>
    <row r="210" ht="22.5" customHeight="1">
      <c r="B210" s="7" t="s">
        <v>639</v>
      </c>
      <c r="C210" s="7">
        <v>29489.0</v>
      </c>
      <c r="D210" s="7">
        <v>380642.0</v>
      </c>
      <c r="E210" s="7">
        <v>1.5822475E7</v>
      </c>
      <c r="F210" s="7">
        <v>1.5190352E7</v>
      </c>
      <c r="G210" s="7">
        <v>2.6605884E7</v>
      </c>
      <c r="H210" s="7">
        <v>3.302859326E9</v>
      </c>
      <c r="I210" s="7">
        <v>200447.0</v>
      </c>
      <c r="J210" s="7">
        <v>167123.0</v>
      </c>
      <c r="K210" s="7">
        <v>33324.0</v>
      </c>
      <c r="L210" s="7">
        <v>274.32</v>
      </c>
      <c r="M210" s="7">
        <v>-0.05</v>
      </c>
      <c r="N210" s="7">
        <v>49171.0</v>
      </c>
      <c r="O210" s="7">
        <v>6118711.0</v>
      </c>
      <c r="P210" s="7" t="s">
        <v>411</v>
      </c>
      <c r="Q210" s="7">
        <v>5003.73</v>
      </c>
      <c r="R210" s="3">
        <f t="shared" si="1"/>
        <v>10000</v>
      </c>
    </row>
    <row r="211" ht="22.5" customHeight="1">
      <c r="B211" s="7" t="s">
        <v>640</v>
      </c>
      <c r="C211" s="7">
        <v>1250.0</v>
      </c>
      <c r="D211" s="7">
        <v>7189.0</v>
      </c>
      <c r="E211" s="7">
        <v>2.207047E7</v>
      </c>
      <c r="F211" s="7">
        <v>2.2030115E7</v>
      </c>
      <c r="G211" s="7">
        <v>2.6192843E7</v>
      </c>
      <c r="H211" s="7">
        <v>4.788025896E9</v>
      </c>
      <c r="I211" s="7">
        <v>581292.0</v>
      </c>
      <c r="J211" s="7">
        <v>551892.0</v>
      </c>
      <c r="K211" s="7">
        <v>29400.0</v>
      </c>
      <c r="L211" s="7">
        <v>30.97</v>
      </c>
      <c r="M211" s="7">
        <v>-0.01</v>
      </c>
      <c r="N211" s="7">
        <v>46219.0</v>
      </c>
      <c r="O211" s="7">
        <v>9667353.0</v>
      </c>
      <c r="P211" s="7" t="s">
        <v>411</v>
      </c>
      <c r="Q211" s="7">
        <v>5003.83</v>
      </c>
      <c r="R211" s="3">
        <f t="shared" si="1"/>
        <v>10000</v>
      </c>
    </row>
    <row r="212" ht="22.5" customHeight="1">
      <c r="B212" s="7" t="s">
        <v>641</v>
      </c>
      <c r="C212" s="7">
        <v>5974.0</v>
      </c>
      <c r="D212" s="7">
        <v>102866.0</v>
      </c>
      <c r="E212" s="7">
        <v>1.667724E7</v>
      </c>
      <c r="F212" s="7">
        <v>1.6517366E7</v>
      </c>
      <c r="G212" s="7">
        <v>1.8810514E7</v>
      </c>
      <c r="H212" s="7">
        <v>1.976420114E9</v>
      </c>
      <c r="I212" s="7">
        <v>303529.0</v>
      </c>
      <c r="J212" s="7">
        <v>266653.0</v>
      </c>
      <c r="K212" s="7">
        <v>36876.0</v>
      </c>
      <c r="L212" s="7">
        <v>260.29</v>
      </c>
      <c r="M212" s="7">
        <v>-0.02</v>
      </c>
      <c r="N212" s="7">
        <v>53578.0</v>
      </c>
      <c r="O212" s="7">
        <v>5171067.0</v>
      </c>
      <c r="P212" s="7" t="s">
        <v>411</v>
      </c>
      <c r="Q212" s="7">
        <v>5003.79</v>
      </c>
      <c r="R212" s="3">
        <f t="shared" si="1"/>
        <v>10000</v>
      </c>
    </row>
    <row r="213" ht="22.5" customHeight="1">
      <c r="B213" s="7" t="s">
        <v>642</v>
      </c>
      <c r="C213" s="7">
        <v>2273.0</v>
      </c>
      <c r="D213" s="7">
        <v>8334.0</v>
      </c>
      <c r="E213" s="7">
        <v>1.0811975E7</v>
      </c>
      <c r="F213" s="7">
        <v>1.0811261E7</v>
      </c>
      <c r="G213" s="7">
        <v>1.0883215E7</v>
      </c>
      <c r="H213" s="7">
        <v>7.225692987E9</v>
      </c>
      <c r="I213" s="7">
        <v>213131.0</v>
      </c>
      <c r="J213" s="7">
        <v>199103.0</v>
      </c>
      <c r="K213" s="7">
        <v>14028.0</v>
      </c>
      <c r="L213" s="7">
        <v>58.4</v>
      </c>
      <c r="M213" s="7">
        <v>0.0</v>
      </c>
      <c r="N213" s="7">
        <v>22283.0</v>
      </c>
      <c r="O213" s="7">
        <v>4883074.0</v>
      </c>
      <c r="P213" s="7" t="s">
        <v>411</v>
      </c>
      <c r="Q213" s="7">
        <v>5003.83</v>
      </c>
      <c r="R213" s="3">
        <f t="shared" si="1"/>
        <v>10000</v>
      </c>
    </row>
    <row r="214" ht="22.5" customHeight="1">
      <c r="B214" s="7" t="s">
        <v>643</v>
      </c>
      <c r="C214" s="7">
        <v>10800.0</v>
      </c>
      <c r="D214" s="7">
        <v>198762.0</v>
      </c>
      <c r="E214" s="7">
        <v>2.0155856E7</v>
      </c>
      <c r="F214" s="7">
        <v>1.9983944E7</v>
      </c>
      <c r="G214" s="7">
        <v>2.2767822E7</v>
      </c>
      <c r="H214" s="7">
        <v>1.51771597E9</v>
      </c>
      <c r="I214" s="7">
        <v>521946.0</v>
      </c>
      <c r="J214" s="7">
        <v>484636.0</v>
      </c>
      <c r="K214" s="7">
        <v>37310.0</v>
      </c>
      <c r="L214" s="7">
        <v>177.9</v>
      </c>
      <c r="M214" s="7">
        <v>-0.02</v>
      </c>
      <c r="N214" s="7">
        <v>54013.0</v>
      </c>
      <c r="O214" s="7">
        <v>8060556.0</v>
      </c>
      <c r="P214" s="7" t="s">
        <v>411</v>
      </c>
      <c r="Q214" s="7">
        <v>5003.17</v>
      </c>
      <c r="R214" s="3">
        <f t="shared" si="1"/>
        <v>10000</v>
      </c>
    </row>
    <row r="215" ht="22.5" customHeight="1">
      <c r="B215" s="7" t="s">
        <v>644</v>
      </c>
      <c r="C215" s="7">
        <v>3280.0</v>
      </c>
      <c r="D215" s="7">
        <v>65682.0</v>
      </c>
      <c r="E215" s="7">
        <v>1.0819E7</v>
      </c>
      <c r="F215" s="7">
        <v>1.0720922E7</v>
      </c>
      <c r="G215" s="7">
        <v>1.2216865E7</v>
      </c>
      <c r="H215" s="7">
        <v>5.24971836E8</v>
      </c>
      <c r="I215" s="7">
        <v>230308.0</v>
      </c>
      <c r="J215" s="7">
        <v>212330.0</v>
      </c>
      <c r="K215" s="7">
        <v>17978.0</v>
      </c>
      <c r="L215" s="7">
        <v>351.97</v>
      </c>
      <c r="M215" s="7">
        <v>-0.02</v>
      </c>
      <c r="N215" s="7">
        <v>26176.0</v>
      </c>
      <c r="O215" s="7">
        <v>5064423.0</v>
      </c>
      <c r="P215" s="7" t="s">
        <v>411</v>
      </c>
      <c r="Q215" s="7">
        <v>5002.61</v>
      </c>
      <c r="R215" s="3">
        <f t="shared" si="1"/>
        <v>10000</v>
      </c>
    </row>
    <row r="216" ht="22.5" customHeight="1">
      <c r="B216" s="7" t="s">
        <v>645</v>
      </c>
      <c r="C216" s="7">
        <v>5100.0</v>
      </c>
      <c r="D216" s="7">
        <v>127602.0</v>
      </c>
      <c r="E216" s="7">
        <v>1.3838507E7</v>
      </c>
      <c r="F216" s="7">
        <v>1.3700606E7</v>
      </c>
      <c r="G216" s="7">
        <v>1.5746188E7</v>
      </c>
      <c r="H216" s="7">
        <v>8.50396926E8</v>
      </c>
      <c r="I216" s="7">
        <v>272800.0</v>
      </c>
      <c r="J216" s="7">
        <v>244050.0</v>
      </c>
      <c r="K216" s="7">
        <v>28750.0</v>
      </c>
      <c r="L216" s="7">
        <v>523.35</v>
      </c>
      <c r="M216" s="7">
        <v>-0.02</v>
      </c>
      <c r="N216" s="7">
        <v>41559.0</v>
      </c>
      <c r="O216" s="7">
        <v>5020771.0</v>
      </c>
      <c r="P216" s="7" t="s">
        <v>411</v>
      </c>
      <c r="Q216" s="7">
        <v>5002.83</v>
      </c>
      <c r="R216" s="3">
        <f t="shared" si="1"/>
        <v>10000</v>
      </c>
    </row>
    <row r="217" ht="22.5" customHeight="1">
      <c r="B217" s="7" t="s">
        <v>646</v>
      </c>
      <c r="C217" s="7">
        <v>2914.0</v>
      </c>
      <c r="D217" s="7">
        <v>9436.0</v>
      </c>
      <c r="E217" s="7">
        <v>5690813.0</v>
      </c>
      <c r="F217" s="7">
        <v>5622594.0</v>
      </c>
      <c r="G217" s="7">
        <v>1.0453311E7</v>
      </c>
      <c r="H217" s="7">
        <v>6.00334481E8</v>
      </c>
      <c r="I217" s="7">
        <v>272432.0</v>
      </c>
      <c r="J217" s="7">
        <v>265516.0</v>
      </c>
      <c r="K217" s="7">
        <v>6916.0</v>
      </c>
      <c r="L217" s="7">
        <v>35.65</v>
      </c>
      <c r="M217" s="7">
        <v>-0.07</v>
      </c>
      <c r="N217" s="7">
        <v>11120.0</v>
      </c>
      <c r="O217" s="7">
        <v>2258601.0</v>
      </c>
      <c r="P217" s="7" t="s">
        <v>411</v>
      </c>
      <c r="Q217" s="7">
        <v>5002.34</v>
      </c>
      <c r="R217" s="3">
        <f t="shared" si="1"/>
        <v>10000</v>
      </c>
    </row>
    <row r="218" ht="22.5" customHeight="1">
      <c r="B218" s="7" t="s">
        <v>647</v>
      </c>
      <c r="C218" s="7">
        <v>979.0</v>
      </c>
      <c r="D218" s="7">
        <v>3168.0</v>
      </c>
      <c r="E218" s="7">
        <v>1.0498209E7</v>
      </c>
      <c r="F218" s="7">
        <v>1.0407075E7</v>
      </c>
      <c r="G218" s="7">
        <v>1.5135146E7</v>
      </c>
      <c r="H218" s="7">
        <v>5.24701148E8</v>
      </c>
      <c r="I218" s="7">
        <v>417136.0</v>
      </c>
      <c r="J218" s="7">
        <v>404013.0</v>
      </c>
      <c r="K218" s="7">
        <v>13123.0</v>
      </c>
      <c r="L218" s="7">
        <v>24.92</v>
      </c>
      <c r="M218" s="7">
        <v>-0.05</v>
      </c>
      <c r="N218" s="7">
        <v>20883.0</v>
      </c>
      <c r="O218" s="7">
        <v>4541880.0</v>
      </c>
      <c r="P218" s="7" t="s">
        <v>411</v>
      </c>
      <c r="Q218" s="7">
        <v>5002.94</v>
      </c>
      <c r="R218" s="3">
        <f t="shared" si="1"/>
        <v>10000</v>
      </c>
    </row>
    <row r="219" ht="22.5" customHeight="1">
      <c r="B219" s="7" t="s">
        <v>648</v>
      </c>
      <c r="C219" s="7">
        <v>141968.0</v>
      </c>
      <c r="D219" s="7">
        <v>1742897.0</v>
      </c>
      <c r="E219" s="7">
        <v>3330029.0</v>
      </c>
      <c r="F219" s="7">
        <v>3243616.0</v>
      </c>
      <c r="G219" s="7">
        <v>1.6374299E7</v>
      </c>
      <c r="H219" s="7">
        <v>3.802091341E9</v>
      </c>
      <c r="I219" s="7">
        <v>129478.0</v>
      </c>
      <c r="J219" s="7">
        <v>124089.0</v>
      </c>
      <c r="K219" s="7">
        <v>5389.0</v>
      </c>
      <c r="L219" s="7">
        <v>24.4</v>
      </c>
      <c r="M219" s="7">
        <v>-0.14</v>
      </c>
      <c r="N219" s="7">
        <v>8412.0</v>
      </c>
      <c r="O219" s="7">
        <v>3215686.0</v>
      </c>
      <c r="P219" s="7" t="s">
        <v>411</v>
      </c>
      <c r="Q219" s="7">
        <v>5003.64</v>
      </c>
      <c r="R219" s="3">
        <f t="shared" si="1"/>
        <v>10000</v>
      </c>
    </row>
    <row r="220" ht="22.5" customHeight="1">
      <c r="B220" s="7" t="s">
        <v>650</v>
      </c>
      <c r="C220" s="7">
        <v>1773.0</v>
      </c>
      <c r="D220" s="7">
        <v>6586.0</v>
      </c>
      <c r="E220" s="7">
        <v>7724049.0</v>
      </c>
      <c r="F220" s="7">
        <v>7723626.0</v>
      </c>
      <c r="G220" s="7">
        <v>7772450.0</v>
      </c>
      <c r="H220" s="7">
        <v>3.972900003E9</v>
      </c>
      <c r="I220" s="7">
        <v>150241.0</v>
      </c>
      <c r="J220" s="7">
        <v>142996.0</v>
      </c>
      <c r="K220" s="7">
        <v>7245.0</v>
      </c>
      <c r="L220" s="7">
        <v>60.5</v>
      </c>
      <c r="M220" s="7">
        <v>0.0</v>
      </c>
      <c r="N220" s="7">
        <v>11458.0</v>
      </c>
      <c r="O220" s="7">
        <v>4581556.0</v>
      </c>
      <c r="P220" s="7" t="s">
        <v>411</v>
      </c>
      <c r="Q220" s="7">
        <v>5002.87</v>
      </c>
      <c r="R220" s="3">
        <f t="shared" si="1"/>
        <v>10000</v>
      </c>
    </row>
    <row r="221" ht="22.5" customHeight="1">
      <c r="B221" s="7" t="s">
        <v>651</v>
      </c>
      <c r="C221" s="7">
        <v>979.0</v>
      </c>
      <c r="D221" s="7">
        <v>5556.0</v>
      </c>
      <c r="E221" s="7">
        <v>1.0948101E7</v>
      </c>
      <c r="F221" s="7">
        <v>1.0923898E7</v>
      </c>
      <c r="G221" s="7">
        <v>1.5524448E7</v>
      </c>
      <c r="H221" s="7">
        <v>1.641800096E9</v>
      </c>
      <c r="I221" s="7">
        <v>367908.0</v>
      </c>
      <c r="J221" s="7">
        <v>353286.0</v>
      </c>
      <c r="K221" s="7">
        <v>14622.0</v>
      </c>
      <c r="L221" s="7">
        <v>27.46</v>
      </c>
      <c r="M221" s="7">
        <v>-0.03</v>
      </c>
      <c r="N221" s="7">
        <v>23072.0</v>
      </c>
      <c r="O221" s="7">
        <v>4514411.0</v>
      </c>
      <c r="P221" s="7" t="s">
        <v>411</v>
      </c>
      <c r="Q221" s="7">
        <v>5002.12</v>
      </c>
      <c r="R221" s="3">
        <f t="shared" si="1"/>
        <v>10000</v>
      </c>
    </row>
    <row r="222" ht="22.5" customHeight="1">
      <c r="B222" s="7" t="s">
        <v>652</v>
      </c>
      <c r="C222" s="7">
        <v>1200.0</v>
      </c>
      <c r="D222" s="7">
        <v>21040.0</v>
      </c>
      <c r="E222" s="7">
        <v>9048316.0</v>
      </c>
      <c r="F222" s="7">
        <v>8997448.0</v>
      </c>
      <c r="G222" s="7">
        <v>2.7593045E7</v>
      </c>
      <c r="H222" s="7">
        <v>9.0575509E8</v>
      </c>
      <c r="I222" s="7">
        <v>354866.0</v>
      </c>
      <c r="J222" s="7">
        <v>344721.0</v>
      </c>
      <c r="K222" s="7">
        <v>10145.0</v>
      </c>
      <c r="L222" s="7">
        <v>59.49</v>
      </c>
      <c r="M222" s="7">
        <v>-0.06</v>
      </c>
      <c r="N222" s="7">
        <v>15666.0</v>
      </c>
      <c r="O222" s="7">
        <v>4752212.0</v>
      </c>
      <c r="P222" s="7" t="s">
        <v>411</v>
      </c>
      <c r="Q222" s="7">
        <v>5002.88</v>
      </c>
      <c r="R222" s="3">
        <f t="shared" si="1"/>
        <v>10000</v>
      </c>
    </row>
    <row r="223" ht="22.5" customHeight="1">
      <c r="B223" s="7" t="s">
        <v>553</v>
      </c>
      <c r="C223" s="7">
        <v>9612.0</v>
      </c>
      <c r="D223" s="7">
        <v>210000.0</v>
      </c>
      <c r="E223" s="7">
        <v>4976881.0</v>
      </c>
      <c r="F223" s="7">
        <v>4858907.0</v>
      </c>
      <c r="G223" s="7">
        <v>1.3752843E7</v>
      </c>
      <c r="H223" s="7">
        <v>1.297716901E9</v>
      </c>
      <c r="I223" s="7">
        <v>191498.0</v>
      </c>
      <c r="J223" s="7">
        <v>183457.0</v>
      </c>
      <c r="K223" s="7">
        <v>8041.0</v>
      </c>
      <c r="L223" s="7">
        <v>51.52</v>
      </c>
      <c r="M223" s="7">
        <v>-0.09</v>
      </c>
      <c r="N223" s="7">
        <v>12232.0</v>
      </c>
      <c r="O223" s="7">
        <v>2365984.0</v>
      </c>
      <c r="P223" s="7" t="s">
        <v>411</v>
      </c>
      <c r="Q223" s="7">
        <v>5003.49</v>
      </c>
      <c r="R223" s="3">
        <f t="shared" si="1"/>
        <v>10000</v>
      </c>
    </row>
    <row r="224" ht="22.5" customHeight="1">
      <c r="B224" s="7" t="s">
        <v>653</v>
      </c>
      <c r="C224" s="7">
        <v>360.0</v>
      </c>
      <c r="D224" s="7">
        <v>11715.0</v>
      </c>
      <c r="E224" s="7">
        <v>2.9657108E7</v>
      </c>
      <c r="F224" s="7">
        <v>2.9395413E7</v>
      </c>
      <c r="G224" s="7">
        <v>3.610687E7</v>
      </c>
      <c r="H224" s="7">
        <v>4.18857938E8</v>
      </c>
      <c r="I224" s="7">
        <v>1232368.0</v>
      </c>
      <c r="J224" s="7">
        <v>1193075.0</v>
      </c>
      <c r="K224" s="7">
        <v>39293.0</v>
      </c>
      <c r="L224" s="7">
        <v>89.47</v>
      </c>
      <c r="M224" s="7">
        <v>-0.02</v>
      </c>
      <c r="N224" s="7">
        <v>55923.0</v>
      </c>
      <c r="O224" s="7">
        <v>1.5166518E7</v>
      </c>
      <c r="P224" s="7" t="s">
        <v>411</v>
      </c>
      <c r="Q224" s="7">
        <v>5003.85</v>
      </c>
      <c r="R224" s="3">
        <f t="shared" si="1"/>
        <v>10000</v>
      </c>
    </row>
    <row r="225" ht="22.5" customHeight="1">
      <c r="B225" s="7" t="s">
        <v>654</v>
      </c>
      <c r="C225" s="7">
        <v>644.0</v>
      </c>
      <c r="D225" s="7">
        <v>2617.0</v>
      </c>
      <c r="E225" s="7">
        <v>2.1548904E7</v>
      </c>
      <c r="F225" s="7">
        <v>2.1365176E7</v>
      </c>
      <c r="G225" s="7">
        <v>2.9695496E7</v>
      </c>
      <c r="H225" s="7">
        <v>1.048398032E9</v>
      </c>
      <c r="I225" s="7">
        <v>825190.0</v>
      </c>
      <c r="J225" s="7">
        <v>796775.0</v>
      </c>
      <c r="K225" s="7">
        <v>28415.0</v>
      </c>
      <c r="L225" s="7">
        <v>25.88</v>
      </c>
      <c r="M225" s="7">
        <v>-0.05</v>
      </c>
      <c r="N225" s="7">
        <v>45236.0</v>
      </c>
      <c r="O225" s="7">
        <v>8824543.0</v>
      </c>
      <c r="P225" s="7" t="s">
        <v>411</v>
      </c>
      <c r="Q225" s="7">
        <v>5003.85</v>
      </c>
      <c r="R225" s="3">
        <f t="shared" si="1"/>
        <v>10000</v>
      </c>
    </row>
    <row r="226" ht="22.5" customHeight="1">
      <c r="B226" s="7" t="s">
        <v>655</v>
      </c>
      <c r="C226" s="7">
        <v>13409.0</v>
      </c>
      <c r="D226" s="7">
        <v>307102.0</v>
      </c>
      <c r="E226" s="7">
        <v>1722007.0</v>
      </c>
      <c r="F226" s="7">
        <v>1691777.0</v>
      </c>
      <c r="G226" s="7">
        <v>7369959.0</v>
      </c>
      <c r="H226" s="7">
        <v>5.875646729E9</v>
      </c>
      <c r="I226" s="7">
        <v>94832.0</v>
      </c>
      <c r="J226" s="7">
        <v>92852.0</v>
      </c>
      <c r="K226" s="7">
        <v>1980.0</v>
      </c>
      <c r="L226" s="7">
        <v>35.84</v>
      </c>
      <c r="M226" s="7">
        <v>-0.09</v>
      </c>
      <c r="N226" s="7">
        <v>3030.0</v>
      </c>
      <c r="O226" s="7">
        <v>1578385.0</v>
      </c>
      <c r="P226" s="7" t="s">
        <v>411</v>
      </c>
      <c r="Q226" s="7">
        <v>5003.84</v>
      </c>
      <c r="R226" s="3">
        <f t="shared" si="1"/>
        <v>10000</v>
      </c>
    </row>
    <row r="227" ht="22.5" customHeight="1">
      <c r="B227" s="7" t="s">
        <v>565</v>
      </c>
      <c r="C227" s="7">
        <v>2702.0</v>
      </c>
      <c r="D227" s="7">
        <v>8308.0</v>
      </c>
      <c r="E227" s="7">
        <v>5867618.0</v>
      </c>
      <c r="F227" s="7">
        <v>5854562.0</v>
      </c>
      <c r="G227" s="7">
        <v>6508305.0</v>
      </c>
      <c r="H227" s="7">
        <v>1.123428041E9</v>
      </c>
      <c r="I227" s="7">
        <v>324117.0</v>
      </c>
      <c r="J227" s="7">
        <v>316530.0</v>
      </c>
      <c r="K227" s="7">
        <v>7587.0</v>
      </c>
      <c r="L227" s="7">
        <v>38.13</v>
      </c>
      <c r="M227" s="7">
        <v>-0.01</v>
      </c>
      <c r="N227" s="7">
        <v>11795.0</v>
      </c>
      <c r="O227" s="7">
        <v>2249237.0</v>
      </c>
      <c r="P227" s="7" t="s">
        <v>411</v>
      </c>
      <c r="Q227" s="7">
        <v>5003.87</v>
      </c>
      <c r="R227" s="3">
        <f t="shared" si="1"/>
        <v>10000</v>
      </c>
    </row>
    <row r="228" ht="22.5" customHeight="1">
      <c r="B228" s="7" t="s">
        <v>656</v>
      </c>
      <c r="C228" s="7">
        <v>1757.0</v>
      </c>
      <c r="D228" s="7">
        <v>7467.0</v>
      </c>
      <c r="E228" s="7">
        <v>1.1832762E7</v>
      </c>
      <c r="F228" s="7">
        <v>1.1704954E7</v>
      </c>
      <c r="G228" s="7">
        <v>1.9852518E7</v>
      </c>
      <c r="H228" s="7">
        <v>1.324229626E9</v>
      </c>
      <c r="I228" s="7">
        <v>486229.0</v>
      </c>
      <c r="J228" s="7">
        <v>470537.0</v>
      </c>
      <c r="K228" s="7">
        <v>15692.0</v>
      </c>
      <c r="L228" s="7">
        <v>35.81</v>
      </c>
      <c r="M228" s="7">
        <v>-0.06</v>
      </c>
      <c r="N228" s="7">
        <v>25504.0</v>
      </c>
      <c r="O228" s="7">
        <v>4197213.0</v>
      </c>
      <c r="P228" s="7" t="s">
        <v>411</v>
      </c>
      <c r="Q228" s="7">
        <v>5003.85</v>
      </c>
      <c r="R228" s="3">
        <f t="shared" si="1"/>
        <v>10000</v>
      </c>
    </row>
    <row r="229" ht="22.5" customHeight="1">
      <c r="B229" s="7" t="s">
        <v>657</v>
      </c>
      <c r="C229" s="7">
        <v>11020.0</v>
      </c>
      <c r="D229" s="7">
        <v>241816.0</v>
      </c>
      <c r="E229" s="7">
        <v>8045568.0</v>
      </c>
      <c r="F229" s="7">
        <v>7843193.0</v>
      </c>
      <c r="G229" s="7">
        <v>2.4581992E7</v>
      </c>
      <c r="H229" s="7">
        <v>2.420817808E9</v>
      </c>
      <c r="I229" s="7">
        <v>417511.0</v>
      </c>
      <c r="J229" s="7">
        <v>409256.0</v>
      </c>
      <c r="K229" s="7">
        <v>8255.0</v>
      </c>
      <c r="L229" s="7">
        <v>54.48</v>
      </c>
      <c r="M229" s="7">
        <v>-0.1</v>
      </c>
      <c r="N229" s="7">
        <v>12445.0</v>
      </c>
      <c r="O229" s="7">
        <v>5288793.0</v>
      </c>
      <c r="P229" s="7" t="s">
        <v>411</v>
      </c>
      <c r="Q229" s="7">
        <v>5003.82</v>
      </c>
      <c r="R229" s="3">
        <f t="shared" si="1"/>
        <v>10000</v>
      </c>
    </row>
    <row r="230" ht="22.5" customHeight="1">
      <c r="B230" s="7" t="s">
        <v>595</v>
      </c>
      <c r="C230" s="7">
        <v>484.0</v>
      </c>
      <c r="D230" s="7">
        <v>772779.0</v>
      </c>
      <c r="E230" s="7">
        <v>2.7495562E7</v>
      </c>
      <c r="F230" s="7">
        <v>2.6918386E7</v>
      </c>
      <c r="G230" s="7">
        <v>3.4148256E7</v>
      </c>
      <c r="H230" s="7">
        <v>9.17061526E8</v>
      </c>
      <c r="I230" s="7">
        <v>625695.0</v>
      </c>
      <c r="J230" s="7">
        <v>594896.0</v>
      </c>
      <c r="K230" s="7">
        <v>30799.0</v>
      </c>
      <c r="L230" s="7">
        <v>36.32</v>
      </c>
      <c r="M230" s="7">
        <v>-0.04</v>
      </c>
      <c r="N230" s="7">
        <v>47551.0</v>
      </c>
      <c r="O230" s="7">
        <v>1.7301961E7</v>
      </c>
      <c r="P230" s="7" t="s">
        <v>411</v>
      </c>
      <c r="Q230" s="7">
        <v>5003.89</v>
      </c>
      <c r="R230" s="3">
        <f t="shared" si="1"/>
        <v>10000</v>
      </c>
    </row>
    <row r="231" ht="22.5" customHeight="1">
      <c r="B231" s="7" t="s">
        <v>659</v>
      </c>
      <c r="C231" s="7">
        <v>1200.0</v>
      </c>
      <c r="D231" s="7">
        <v>21040.0</v>
      </c>
      <c r="E231" s="7">
        <v>2.2467118E7</v>
      </c>
      <c r="F231" s="7">
        <v>2.2319399E7</v>
      </c>
      <c r="G231" s="7">
        <v>6.3039606E7</v>
      </c>
      <c r="H231" s="7">
        <v>2.147527069E9</v>
      </c>
      <c r="I231" s="7">
        <v>768521.0</v>
      </c>
      <c r="J231" s="7">
        <v>739070.0</v>
      </c>
      <c r="K231" s="7">
        <v>29451.0</v>
      </c>
      <c r="L231" s="7">
        <v>60.64</v>
      </c>
      <c r="M231" s="7">
        <v>-0.06</v>
      </c>
      <c r="N231" s="7">
        <v>46260.0</v>
      </c>
      <c r="O231" s="7">
        <v>1.0068294E7</v>
      </c>
      <c r="P231" s="7" t="s">
        <v>411</v>
      </c>
      <c r="Q231" s="7">
        <v>5003.82</v>
      </c>
      <c r="R231" s="3">
        <f t="shared" si="1"/>
        <v>10000</v>
      </c>
    </row>
    <row r="232" ht="22.5" customHeight="1">
      <c r="B232" s="7" t="s">
        <v>660</v>
      </c>
      <c r="C232" s="7">
        <v>19830.0</v>
      </c>
      <c r="D232" s="7">
        <v>118320.0</v>
      </c>
      <c r="E232" s="7">
        <v>9395505.0</v>
      </c>
      <c r="F232" s="7">
        <v>9209353.0</v>
      </c>
      <c r="G232" s="7">
        <v>1.7533932E7</v>
      </c>
      <c r="H232" s="7">
        <v>7.396225907E9</v>
      </c>
      <c r="I232" s="7">
        <v>408977.0</v>
      </c>
      <c r="J232" s="7">
        <v>399247.0</v>
      </c>
      <c r="K232" s="7">
        <v>9730.0</v>
      </c>
      <c r="L232" s="7">
        <v>27.06</v>
      </c>
      <c r="M232" s="7">
        <v>-0.08</v>
      </c>
      <c r="N232" s="7">
        <v>15787.0</v>
      </c>
      <c r="O232" s="7">
        <v>4788898.0</v>
      </c>
      <c r="P232" s="7" t="s">
        <v>411</v>
      </c>
      <c r="Q232" s="7">
        <v>5003.84</v>
      </c>
      <c r="R232" s="3">
        <f t="shared" si="1"/>
        <v>10000</v>
      </c>
    </row>
    <row r="233" ht="22.5" customHeight="1">
      <c r="B233" s="7" t="s">
        <v>661</v>
      </c>
      <c r="C233" s="7">
        <v>15000.0</v>
      </c>
      <c r="D233" s="7">
        <v>360625.0</v>
      </c>
      <c r="E233" s="7">
        <v>1.8346064E7</v>
      </c>
      <c r="F233" s="7">
        <v>1.8187385E7</v>
      </c>
      <c r="G233" s="7">
        <v>2.061797E7</v>
      </c>
      <c r="H233" s="7">
        <v>1.17353472E9</v>
      </c>
      <c r="I233" s="7">
        <v>465256.0</v>
      </c>
      <c r="J233" s="7">
        <v>428272.0</v>
      </c>
      <c r="K233" s="7">
        <v>36984.0</v>
      </c>
      <c r="L233" s="7">
        <v>180.59</v>
      </c>
      <c r="M233" s="7">
        <v>-0.02</v>
      </c>
      <c r="N233" s="7">
        <v>53686.0</v>
      </c>
      <c r="O233" s="7">
        <v>6387404.0</v>
      </c>
      <c r="P233" s="7" t="s">
        <v>411</v>
      </c>
      <c r="Q233" s="7">
        <v>5003.81</v>
      </c>
      <c r="R233" s="3">
        <f t="shared" si="1"/>
        <v>10000</v>
      </c>
    </row>
    <row r="234" ht="22.5" customHeight="1">
      <c r="B234" s="7" t="s">
        <v>662</v>
      </c>
      <c r="C234" s="7">
        <v>1200.0</v>
      </c>
      <c r="D234" s="7">
        <v>21040.0</v>
      </c>
      <c r="E234" s="7">
        <v>2.1405957E7</v>
      </c>
      <c r="F234" s="7">
        <v>2.1292395E7</v>
      </c>
      <c r="G234" s="7">
        <v>5.5492189E7</v>
      </c>
      <c r="H234" s="7">
        <v>2.167775548E9</v>
      </c>
      <c r="I234" s="7">
        <v>616469.0</v>
      </c>
      <c r="J234" s="7">
        <v>585907.0</v>
      </c>
      <c r="K234" s="7">
        <v>30562.0</v>
      </c>
      <c r="L234" s="7">
        <v>65.9</v>
      </c>
      <c r="M234" s="7">
        <v>-0.04</v>
      </c>
      <c r="N234" s="7">
        <v>47362.0</v>
      </c>
      <c r="O234" s="7">
        <v>9199934.0</v>
      </c>
      <c r="P234" s="7" t="s">
        <v>411</v>
      </c>
      <c r="Q234" s="7">
        <v>5003.83</v>
      </c>
      <c r="R234" s="3">
        <f t="shared" si="1"/>
        <v>10000</v>
      </c>
    </row>
    <row r="235" ht="22.5" customHeight="1">
      <c r="B235" s="7" t="s">
        <v>615</v>
      </c>
      <c r="C235" s="7">
        <v>639465.0</v>
      </c>
      <c r="D235" s="7">
        <v>5075383.0</v>
      </c>
      <c r="E235" s="7">
        <v>4638510.0</v>
      </c>
      <c r="F235" s="7">
        <v>4333398.0</v>
      </c>
      <c r="G235" s="7">
        <v>4.9755154E7</v>
      </c>
      <c r="H235" s="7">
        <v>2.1483589454E10</v>
      </c>
      <c r="I235" s="7">
        <v>119485.0</v>
      </c>
      <c r="J235" s="7">
        <v>113100.0</v>
      </c>
      <c r="K235" s="7">
        <v>6385.0</v>
      </c>
      <c r="L235" s="7">
        <v>277.38</v>
      </c>
      <c r="M235" s="7">
        <v>-0.13</v>
      </c>
      <c r="N235" s="7">
        <v>10580.0</v>
      </c>
      <c r="O235" s="7">
        <v>9631225.0</v>
      </c>
      <c r="P235" s="7" t="s">
        <v>411</v>
      </c>
      <c r="Q235" s="7">
        <v>5003.7</v>
      </c>
      <c r="R235" s="3">
        <f t="shared" si="1"/>
        <v>10000</v>
      </c>
    </row>
    <row r="236" ht="22.5" customHeight="1">
      <c r="B236" s="7" t="s">
        <v>663</v>
      </c>
      <c r="C236" s="7">
        <v>370686.0</v>
      </c>
      <c r="D236" s="7">
        <v>2575451.0</v>
      </c>
      <c r="E236" s="7">
        <v>7054823.0</v>
      </c>
      <c r="F236" s="7">
        <v>6799312.0</v>
      </c>
      <c r="G236" s="7">
        <v>1.3660236E8</v>
      </c>
      <c r="H236" s="7">
        <v>2.187687873E9</v>
      </c>
      <c r="I236" s="7">
        <v>275686.0</v>
      </c>
      <c r="J236" s="7">
        <v>267133.0</v>
      </c>
      <c r="K236" s="7">
        <v>8553.0</v>
      </c>
      <c r="L236" s="7">
        <v>267.82</v>
      </c>
      <c r="M236" s="7">
        <v>-0.12</v>
      </c>
      <c r="N236" s="7">
        <v>12737.0</v>
      </c>
      <c r="O236" s="7">
        <v>1.1573362E7</v>
      </c>
      <c r="P236" s="7" t="s">
        <v>411</v>
      </c>
      <c r="Q236" s="7">
        <v>5003.8</v>
      </c>
      <c r="R236" s="3">
        <f t="shared" si="1"/>
        <v>10000</v>
      </c>
    </row>
    <row r="237" ht="22.5" customHeight="1">
      <c r="B237" s="7" t="s">
        <v>664</v>
      </c>
      <c r="C237" s="7">
        <v>2475.0</v>
      </c>
      <c r="D237" s="7">
        <v>7596.0</v>
      </c>
      <c r="E237" s="7">
        <v>4985207.0</v>
      </c>
      <c r="F237" s="7">
        <v>4954984.0</v>
      </c>
      <c r="G237" s="7">
        <v>7225972.0</v>
      </c>
      <c r="H237" s="7">
        <v>5.59504784E8</v>
      </c>
      <c r="I237" s="7">
        <v>205410.0</v>
      </c>
      <c r="J237" s="7">
        <v>197423.0</v>
      </c>
      <c r="K237" s="7">
        <v>7987.0</v>
      </c>
      <c r="L237" s="7">
        <v>31.74</v>
      </c>
      <c r="M237" s="7">
        <v>-0.03</v>
      </c>
      <c r="N237" s="7">
        <v>12190.0</v>
      </c>
      <c r="O237" s="7">
        <v>1736586.0</v>
      </c>
      <c r="P237" s="7" t="s">
        <v>411</v>
      </c>
      <c r="Q237" s="7">
        <v>5003.85</v>
      </c>
      <c r="R237" s="3">
        <f t="shared" si="1"/>
        <v>10000</v>
      </c>
    </row>
    <row r="238" ht="22.5" customHeight="1">
      <c r="B238" s="7" t="s">
        <v>665</v>
      </c>
      <c r="C238" s="7">
        <v>36809.0</v>
      </c>
      <c r="D238" s="7">
        <v>142446.0</v>
      </c>
      <c r="E238" s="7">
        <v>7770868.0</v>
      </c>
      <c r="F238" s="7">
        <v>7325780.0</v>
      </c>
      <c r="G238" s="7">
        <v>2.39761043E8</v>
      </c>
      <c r="H238" s="7">
        <v>8.319004107E9</v>
      </c>
      <c r="I238" s="7">
        <v>478823.0</v>
      </c>
      <c r="J238" s="7">
        <v>472219.0</v>
      </c>
      <c r="K238" s="7">
        <v>6604.0</v>
      </c>
      <c r="L238" s="7">
        <v>235.43</v>
      </c>
      <c r="M238" s="7">
        <v>-0.19</v>
      </c>
      <c r="N238" s="7">
        <v>10805.0</v>
      </c>
      <c r="O238" s="7">
        <v>1.1265938E7</v>
      </c>
      <c r="P238" s="7" t="s">
        <v>411</v>
      </c>
      <c r="Q238" s="7">
        <v>5003.83</v>
      </c>
      <c r="R238" s="3">
        <f t="shared" si="1"/>
        <v>10000</v>
      </c>
    </row>
    <row r="239" ht="22.5" customHeight="1">
      <c r="B239" s="7" t="s">
        <v>666</v>
      </c>
      <c r="C239" s="7">
        <v>11244.0</v>
      </c>
      <c r="D239" s="7">
        <v>99730.0</v>
      </c>
      <c r="E239" s="7">
        <v>1.9002357E7</v>
      </c>
      <c r="F239" s="7">
        <v>1.8788726E7</v>
      </c>
      <c r="G239" s="7">
        <v>3.4390234E7</v>
      </c>
      <c r="H239" s="7">
        <v>1.026405675E9</v>
      </c>
      <c r="I239" s="7">
        <v>643044.0</v>
      </c>
      <c r="J239" s="7">
        <v>614802.0</v>
      </c>
      <c r="K239" s="7">
        <v>28242.0</v>
      </c>
      <c r="L239" s="7">
        <v>29.88</v>
      </c>
      <c r="M239" s="7">
        <v>-0.07</v>
      </c>
      <c r="N239" s="7">
        <v>45043.0</v>
      </c>
      <c r="O239" s="7">
        <v>7167118.0</v>
      </c>
      <c r="P239" s="7" t="s">
        <v>411</v>
      </c>
      <c r="Q239" s="7">
        <v>5003.84</v>
      </c>
      <c r="R239" s="3">
        <f t="shared" si="1"/>
        <v>10000</v>
      </c>
    </row>
    <row r="240" ht="22.5" customHeight="1">
      <c r="B240" s="7" t="s">
        <v>613</v>
      </c>
      <c r="C240" s="7">
        <v>660.0</v>
      </c>
      <c r="D240" s="7">
        <v>56654.0</v>
      </c>
      <c r="E240" s="7">
        <v>1.0581299E7</v>
      </c>
      <c r="F240" s="7">
        <v>1.0386466E7</v>
      </c>
      <c r="G240" s="7">
        <v>1.4104965E7</v>
      </c>
      <c r="H240" s="7">
        <v>4.29558111E8</v>
      </c>
      <c r="I240" s="7">
        <v>392985.0</v>
      </c>
      <c r="J240" s="7">
        <v>375683.0</v>
      </c>
      <c r="K240" s="7">
        <v>17302.0</v>
      </c>
      <c r="L240" s="7">
        <v>123.57</v>
      </c>
      <c r="M240" s="7">
        <v>-0.03</v>
      </c>
      <c r="N240" s="7">
        <v>25119.0</v>
      </c>
      <c r="O240" s="7">
        <v>5018389.0</v>
      </c>
      <c r="P240" s="7" t="s">
        <v>411</v>
      </c>
      <c r="Q240" s="7">
        <v>5003.85</v>
      </c>
      <c r="R240" s="3">
        <f t="shared" si="1"/>
        <v>10000</v>
      </c>
    </row>
    <row r="241" ht="22.5" customHeight="1">
      <c r="B241" s="7" t="s">
        <v>667</v>
      </c>
      <c r="C241" s="7">
        <v>528.0</v>
      </c>
      <c r="D241" s="7">
        <v>16401.0</v>
      </c>
      <c r="E241" s="7">
        <v>3.6502036E7</v>
      </c>
      <c r="F241" s="7">
        <v>3.6353595E7</v>
      </c>
      <c r="G241" s="7">
        <v>3.863079E7</v>
      </c>
      <c r="H241" s="7">
        <v>3.44923619E8</v>
      </c>
      <c r="I241" s="7">
        <v>938309.0</v>
      </c>
      <c r="J241" s="7">
        <v>891866.0</v>
      </c>
      <c r="K241" s="7">
        <v>46443.0</v>
      </c>
      <c r="L241" s="7">
        <v>96.99</v>
      </c>
      <c r="M241" s="7">
        <v>-0.01</v>
      </c>
      <c r="N241" s="7">
        <v>68902.0</v>
      </c>
      <c r="O241" s="7">
        <v>1.9632799E7</v>
      </c>
      <c r="P241" s="7" t="s">
        <v>411</v>
      </c>
      <c r="Q241" s="7">
        <v>5003.83</v>
      </c>
      <c r="R241" s="3">
        <f t="shared" si="1"/>
        <v>10000</v>
      </c>
    </row>
    <row r="242" ht="22.5" customHeight="1">
      <c r="B242" s="7" t="s">
        <v>612</v>
      </c>
      <c r="C242" s="7">
        <v>52675.0</v>
      </c>
      <c r="D242" s="7">
        <v>78530.0</v>
      </c>
      <c r="E242" s="7">
        <v>7978950.0</v>
      </c>
      <c r="F242" s="7">
        <v>7820013.0</v>
      </c>
      <c r="G242" s="7">
        <v>2.5224618E7</v>
      </c>
      <c r="H242" s="7">
        <v>9.299598826E9</v>
      </c>
      <c r="I242" s="7">
        <v>365509.0</v>
      </c>
      <c r="J242" s="7">
        <v>358137.0</v>
      </c>
      <c r="K242" s="7">
        <v>7372.0</v>
      </c>
      <c r="L242" s="7">
        <v>68.81</v>
      </c>
      <c r="M242" s="7">
        <v>-0.07</v>
      </c>
      <c r="N242" s="7">
        <v>11574.0</v>
      </c>
      <c r="O242" s="7">
        <v>4686376.0</v>
      </c>
      <c r="P242" s="7" t="s">
        <v>411</v>
      </c>
      <c r="Q242" s="7">
        <v>5003.83</v>
      </c>
      <c r="R242" s="3">
        <f t="shared" si="1"/>
        <v>10000</v>
      </c>
    </row>
    <row r="243" ht="22.5" customHeight="1">
      <c r="B243" s="7" t="s">
        <v>668</v>
      </c>
      <c r="C243" s="7">
        <v>23815.0</v>
      </c>
      <c r="D243" s="7">
        <v>47319.0</v>
      </c>
      <c r="E243" s="7">
        <v>2.3852797E7</v>
      </c>
      <c r="F243" s="7">
        <v>2.3492937E7</v>
      </c>
      <c r="G243" s="7">
        <v>5.5894266E7</v>
      </c>
      <c r="H243" s="7">
        <v>3.179721172E9</v>
      </c>
      <c r="I243" s="7">
        <v>1075272.0</v>
      </c>
      <c r="J243" s="7">
        <v>1045708.0</v>
      </c>
      <c r="K243" s="7">
        <v>29564.0</v>
      </c>
      <c r="L243" s="7">
        <v>35.63</v>
      </c>
      <c r="M243" s="7">
        <v>-0.07</v>
      </c>
      <c r="N243" s="7">
        <v>46374.0</v>
      </c>
      <c r="O243" s="7">
        <v>1.075517E7</v>
      </c>
      <c r="P243" s="7" t="s">
        <v>411</v>
      </c>
      <c r="Q243" s="7">
        <v>5003.84</v>
      </c>
      <c r="R243" s="3">
        <f t="shared" si="1"/>
        <v>10000</v>
      </c>
    </row>
    <row r="244" ht="22.5" customHeight="1">
      <c r="B244" s="7" t="s">
        <v>609</v>
      </c>
      <c r="C244" s="7">
        <v>895911.0</v>
      </c>
      <c r="D244" s="7">
        <v>1.2367186E7</v>
      </c>
      <c r="E244" s="7">
        <v>1722251.0</v>
      </c>
      <c r="F244" s="7">
        <v>1659724.0</v>
      </c>
      <c r="G244" s="7">
        <v>1.2854507E7</v>
      </c>
      <c r="H244" s="7">
        <v>6.731941351E9</v>
      </c>
      <c r="I244" s="7">
        <v>97783.0</v>
      </c>
      <c r="J244" s="7">
        <v>95839.0</v>
      </c>
      <c r="K244" s="7">
        <v>1944.0</v>
      </c>
      <c r="L244" s="7">
        <v>36.15</v>
      </c>
      <c r="M244" s="7">
        <v>-0.16</v>
      </c>
      <c r="N244" s="7">
        <v>2992.0</v>
      </c>
      <c r="O244" s="7">
        <v>4043189.0</v>
      </c>
      <c r="P244" s="7" t="s">
        <v>411</v>
      </c>
      <c r="Q244" s="7">
        <v>5003.61</v>
      </c>
      <c r="R244" s="3">
        <f t="shared" si="1"/>
        <v>10000</v>
      </c>
    </row>
    <row r="245" ht="22.5" customHeight="1">
      <c r="B245" s="7" t="s">
        <v>669</v>
      </c>
      <c r="C245" s="7">
        <v>1622335.0</v>
      </c>
      <c r="D245" s="7">
        <v>1.3800654E7</v>
      </c>
      <c r="E245" s="7">
        <v>1081873.0</v>
      </c>
      <c r="F245" s="7">
        <v>1020695.0</v>
      </c>
      <c r="G245" s="7">
        <v>9.1746544E7</v>
      </c>
      <c r="H245" s="7">
        <v>2.1407272111E10</v>
      </c>
      <c r="I245" s="7">
        <v>30980.0</v>
      </c>
      <c r="J245" s="7">
        <v>29815.0</v>
      </c>
      <c r="K245" s="7">
        <v>1165.0</v>
      </c>
      <c r="L245" s="7">
        <v>385.44</v>
      </c>
      <c r="M245" s="7">
        <v>-0.15</v>
      </c>
      <c r="N245" s="7">
        <v>2221.0</v>
      </c>
      <c r="O245" s="7">
        <v>9116822.0</v>
      </c>
      <c r="P245" s="7" t="s">
        <v>411</v>
      </c>
      <c r="Q245" s="7">
        <v>5003.67</v>
      </c>
      <c r="R245" s="3">
        <f t="shared" si="1"/>
        <v>10000</v>
      </c>
    </row>
    <row r="246" ht="22.5" customHeight="1">
      <c r="B246" s="7" t="s">
        <v>671</v>
      </c>
      <c r="C246" s="7">
        <v>1099.0</v>
      </c>
      <c r="D246" s="7">
        <v>3581.0</v>
      </c>
      <c r="E246" s="7">
        <v>1.9741762E7</v>
      </c>
      <c r="F246" s="7">
        <v>1.9643342E7</v>
      </c>
      <c r="G246" s="7">
        <v>2.7097576E7</v>
      </c>
      <c r="H246" s="7">
        <v>1.293897709E9</v>
      </c>
      <c r="I246" s="7">
        <v>716201.0</v>
      </c>
      <c r="J246" s="7">
        <v>687231.0</v>
      </c>
      <c r="K246" s="7">
        <v>28970.0</v>
      </c>
      <c r="L246" s="7">
        <v>27.55</v>
      </c>
      <c r="M246" s="7">
        <v>-0.04</v>
      </c>
      <c r="N246" s="7">
        <v>45787.0</v>
      </c>
      <c r="O246" s="7">
        <v>6999733.0</v>
      </c>
      <c r="P246" s="7" t="s">
        <v>411</v>
      </c>
      <c r="Q246" s="7">
        <v>5003.86</v>
      </c>
      <c r="R246" s="3">
        <f t="shared" si="1"/>
        <v>10000</v>
      </c>
    </row>
    <row r="247" ht="22.5" customHeight="1">
      <c r="B247" s="7" t="s">
        <v>672</v>
      </c>
      <c r="C247" s="7">
        <v>2365.0</v>
      </c>
      <c r="D247" s="7">
        <v>7606.0</v>
      </c>
      <c r="E247" s="7">
        <v>1.2320385E7</v>
      </c>
      <c r="F247" s="7">
        <v>1.2216399E7</v>
      </c>
      <c r="G247" s="7">
        <v>1.94839E7</v>
      </c>
      <c r="H247" s="7">
        <v>9.7542452E8</v>
      </c>
      <c r="I247" s="7">
        <v>435563.0</v>
      </c>
      <c r="J247" s="7">
        <v>416740.0</v>
      </c>
      <c r="K247" s="7">
        <v>18823.0</v>
      </c>
      <c r="L247" s="7">
        <v>37.91</v>
      </c>
      <c r="M247" s="7">
        <v>-0.05</v>
      </c>
      <c r="N247" s="7">
        <v>29375.0</v>
      </c>
      <c r="O247" s="7">
        <v>4367171.0</v>
      </c>
      <c r="P247" s="7" t="s">
        <v>411</v>
      </c>
      <c r="Q247" s="7">
        <v>5003.84</v>
      </c>
      <c r="R247" s="3">
        <f t="shared" si="1"/>
        <v>10000</v>
      </c>
    </row>
    <row r="248" ht="22.5" customHeight="1">
      <c r="B248" s="7" t="s">
        <v>673</v>
      </c>
      <c r="C248" s="7">
        <v>688704.0</v>
      </c>
      <c r="D248" s="7">
        <v>1986848.0</v>
      </c>
      <c r="E248" s="7">
        <v>5239968.0</v>
      </c>
      <c r="F248" s="7">
        <v>5099473.0</v>
      </c>
      <c r="G248" s="7">
        <v>2.5120906E7</v>
      </c>
      <c r="H248" s="7">
        <v>1.3346663614E10</v>
      </c>
      <c r="I248" s="7">
        <v>111250.0</v>
      </c>
      <c r="J248" s="7">
        <v>103753.0</v>
      </c>
      <c r="K248" s="7">
        <v>7497.0</v>
      </c>
      <c r="L248" s="7">
        <v>105.56</v>
      </c>
      <c r="M248" s="7">
        <v>-0.09</v>
      </c>
      <c r="N248" s="7">
        <v>11688.0</v>
      </c>
      <c r="O248" s="7">
        <v>6368785.0</v>
      </c>
      <c r="P248" s="7" t="s">
        <v>411</v>
      </c>
      <c r="Q248" s="7">
        <v>5003.75</v>
      </c>
      <c r="R248" s="3">
        <f t="shared" si="1"/>
        <v>10000</v>
      </c>
    </row>
    <row r="249" ht="22.5" customHeight="1">
      <c r="B249" s="7" t="s">
        <v>674</v>
      </c>
      <c r="C249" s="7">
        <v>985.0</v>
      </c>
      <c r="D249" s="7">
        <v>5613.0</v>
      </c>
      <c r="E249" s="7">
        <v>2.3427957E7</v>
      </c>
      <c r="F249" s="7">
        <v>2.3397001E7</v>
      </c>
      <c r="G249" s="7">
        <v>3.014766E7</v>
      </c>
      <c r="H249" s="7">
        <v>3.908322337E9</v>
      </c>
      <c r="I249" s="7">
        <v>764140.0</v>
      </c>
      <c r="J249" s="7">
        <v>734136.0</v>
      </c>
      <c r="K249" s="7">
        <v>30004.0</v>
      </c>
      <c r="L249" s="7">
        <v>25.67</v>
      </c>
      <c r="M249" s="7">
        <v>-0.02</v>
      </c>
      <c r="N249" s="7">
        <v>46821.0</v>
      </c>
      <c r="O249" s="7">
        <v>1.0504085E7</v>
      </c>
      <c r="P249" s="7" t="s">
        <v>411</v>
      </c>
      <c r="Q249" s="7">
        <v>5003.82</v>
      </c>
      <c r="R249" s="3">
        <f t="shared" si="1"/>
        <v>10000</v>
      </c>
    </row>
    <row r="250" ht="22.5" customHeight="1">
      <c r="B250" s="7" t="s">
        <v>675</v>
      </c>
      <c r="C250" s="7">
        <v>1773.0</v>
      </c>
      <c r="D250" s="7">
        <v>6586.0</v>
      </c>
      <c r="E250" s="7">
        <v>1.4630075E7</v>
      </c>
      <c r="F250" s="7">
        <v>1.4629534E7</v>
      </c>
      <c r="G250" s="7">
        <v>1.4715733E7</v>
      </c>
      <c r="H250" s="7">
        <v>7.450769812E9</v>
      </c>
      <c r="I250" s="7">
        <v>195086.0</v>
      </c>
      <c r="J250" s="7">
        <v>170894.0</v>
      </c>
      <c r="K250" s="7">
        <v>24192.0</v>
      </c>
      <c r="L250" s="7">
        <v>54.99</v>
      </c>
      <c r="M250" s="7">
        <v>0.0</v>
      </c>
      <c r="N250" s="7">
        <v>38332.0</v>
      </c>
      <c r="O250" s="7">
        <v>4967217.0</v>
      </c>
      <c r="P250" s="7" t="s">
        <v>411</v>
      </c>
      <c r="Q250" s="7">
        <v>5003.87</v>
      </c>
      <c r="R250" s="3">
        <f t="shared" si="1"/>
        <v>10000</v>
      </c>
    </row>
    <row r="251" ht="22.5" customHeight="1">
      <c r="B251" s="7" t="s">
        <v>676</v>
      </c>
      <c r="C251" s="7">
        <v>210.0</v>
      </c>
      <c r="D251" s="7">
        <v>2850.0</v>
      </c>
      <c r="E251" s="7">
        <v>2.283484E7</v>
      </c>
      <c r="F251" s="7">
        <v>2.2737142E7</v>
      </c>
      <c r="G251" s="7">
        <v>2.4856076E7</v>
      </c>
      <c r="H251" s="7">
        <v>2.93987316E8</v>
      </c>
      <c r="I251" s="7">
        <v>784676.0</v>
      </c>
      <c r="J251" s="7">
        <v>746562.0</v>
      </c>
      <c r="K251" s="7">
        <v>38114.0</v>
      </c>
      <c r="L251" s="7">
        <v>57.72</v>
      </c>
      <c r="M251" s="7">
        <v>-0.02</v>
      </c>
      <c r="N251" s="7">
        <v>54820.0</v>
      </c>
      <c r="O251" s="7">
        <v>9825371.0</v>
      </c>
      <c r="P251" s="7" t="s">
        <v>411</v>
      </c>
      <c r="Q251" s="7">
        <v>5003.92</v>
      </c>
      <c r="R251" s="3">
        <f t="shared" si="1"/>
        <v>10000</v>
      </c>
    </row>
    <row r="252" ht="22.5" customHeight="1">
      <c r="B252" s="7" t="s">
        <v>677</v>
      </c>
      <c r="C252" s="7">
        <v>9612.0</v>
      </c>
      <c r="D252" s="7">
        <v>210000.0</v>
      </c>
      <c r="E252" s="7">
        <v>8012596.0</v>
      </c>
      <c r="F252" s="7">
        <v>7811083.0</v>
      </c>
      <c r="G252" s="7">
        <v>2.448989E7</v>
      </c>
      <c r="H252" s="7">
        <v>2.241647152E9</v>
      </c>
      <c r="I252" s="7">
        <v>420530.0</v>
      </c>
      <c r="J252" s="7">
        <v>412372.0</v>
      </c>
      <c r="K252" s="7">
        <v>8158.0</v>
      </c>
      <c r="L252" s="7">
        <v>53.07</v>
      </c>
      <c r="M252" s="7">
        <v>-0.1</v>
      </c>
      <c r="N252" s="7">
        <v>12349.0</v>
      </c>
      <c r="O252" s="7">
        <v>5126494.0</v>
      </c>
      <c r="P252" s="7" t="s">
        <v>411</v>
      </c>
      <c r="Q252" s="7">
        <v>5003.82</v>
      </c>
      <c r="R252" s="3">
        <f t="shared" si="1"/>
        <v>10000</v>
      </c>
    </row>
    <row r="253" ht="22.5" customHeight="1">
      <c r="B253" s="7" t="s">
        <v>583</v>
      </c>
      <c r="C253" s="7">
        <v>11020.0</v>
      </c>
      <c r="D253" s="7">
        <v>241816.0</v>
      </c>
      <c r="E253" s="7">
        <v>8682092.0</v>
      </c>
      <c r="F253" s="7">
        <v>8473854.0</v>
      </c>
      <c r="G253" s="7">
        <v>2.5517548E7</v>
      </c>
      <c r="H253" s="7">
        <v>2.516975144E9</v>
      </c>
      <c r="I253" s="7">
        <v>426425.0</v>
      </c>
      <c r="J253" s="7">
        <v>416573.0</v>
      </c>
      <c r="K253" s="7">
        <v>9852.0</v>
      </c>
      <c r="L253" s="7">
        <v>55.34</v>
      </c>
      <c r="M253" s="7">
        <v>-0.1</v>
      </c>
      <c r="N253" s="7">
        <v>14795.0</v>
      </c>
      <c r="O253" s="7">
        <v>5457418.0</v>
      </c>
      <c r="P253" s="7" t="s">
        <v>411</v>
      </c>
      <c r="Q253" s="7">
        <v>5003.83</v>
      </c>
      <c r="R253" s="3">
        <f t="shared" si="1"/>
        <v>10000</v>
      </c>
    </row>
    <row r="254" ht="22.5" customHeight="1">
      <c r="B254" s="7" t="s">
        <v>678</v>
      </c>
      <c r="C254" s="7">
        <v>126152.0</v>
      </c>
      <c r="D254" s="7">
        <v>1297025.0</v>
      </c>
      <c r="E254" s="7">
        <v>6191897.0</v>
      </c>
      <c r="F254" s="7">
        <v>4090677.0</v>
      </c>
      <c r="G254" s="7">
        <v>3.37932045E8</v>
      </c>
      <c r="H254" s="7">
        <v>1.1136827923E10</v>
      </c>
      <c r="I254" s="7">
        <v>150402.0</v>
      </c>
      <c r="J254" s="7">
        <v>144272.0</v>
      </c>
      <c r="K254" s="7">
        <v>6130.0</v>
      </c>
      <c r="L254" s="7">
        <v>533.49</v>
      </c>
      <c r="M254" s="7">
        <v>-0.18</v>
      </c>
      <c r="N254" s="7">
        <v>10203.0</v>
      </c>
      <c r="O254" s="7">
        <v>3.9544608E7</v>
      </c>
      <c r="P254" s="7" t="s">
        <v>411</v>
      </c>
      <c r="Q254" s="7">
        <v>5003.7</v>
      </c>
      <c r="R254" s="3">
        <f t="shared" si="1"/>
        <v>10000</v>
      </c>
    </row>
    <row r="255" ht="22.5" customHeight="1">
      <c r="B255" s="7" t="s">
        <v>679</v>
      </c>
      <c r="C255" s="7">
        <v>12257.0</v>
      </c>
      <c r="D255" s="7">
        <v>69473.0</v>
      </c>
      <c r="E255" s="7">
        <v>1.0795173E7</v>
      </c>
      <c r="F255" s="7">
        <v>1.0655369E7</v>
      </c>
      <c r="G255" s="7">
        <v>2.2651196E7</v>
      </c>
      <c r="H255" s="7">
        <v>4.417959695E9</v>
      </c>
      <c r="I255" s="7">
        <v>473493.0</v>
      </c>
      <c r="J255" s="7">
        <v>460336.0</v>
      </c>
      <c r="K255" s="7">
        <v>13157.0</v>
      </c>
      <c r="L255" s="7">
        <v>27.73</v>
      </c>
      <c r="M255" s="7">
        <v>-0.1</v>
      </c>
      <c r="N255" s="7">
        <v>21378.0</v>
      </c>
      <c r="O255" s="7">
        <v>4932976.0</v>
      </c>
      <c r="P255" s="7" t="s">
        <v>411</v>
      </c>
      <c r="Q255" s="7">
        <v>5003.73</v>
      </c>
      <c r="R255" s="3">
        <f t="shared" si="1"/>
        <v>10000</v>
      </c>
    </row>
    <row r="256" ht="22.5" customHeight="1">
      <c r="B256" s="7" t="s">
        <v>680</v>
      </c>
      <c r="C256" s="7">
        <v>506.0</v>
      </c>
      <c r="D256" s="7">
        <v>821838.0</v>
      </c>
      <c r="E256" s="7">
        <v>2.542549E7</v>
      </c>
      <c r="F256" s="7">
        <v>2.4900524E7</v>
      </c>
      <c r="G256" s="7">
        <v>3.1446527E7</v>
      </c>
      <c r="H256" s="7">
        <v>8.78550081E8</v>
      </c>
      <c r="I256" s="7">
        <v>554416.0</v>
      </c>
      <c r="J256" s="7">
        <v>523815.0</v>
      </c>
      <c r="K256" s="7">
        <v>30601.0</v>
      </c>
      <c r="L256" s="7">
        <v>37.47</v>
      </c>
      <c r="M256" s="7">
        <v>-0.04</v>
      </c>
      <c r="N256" s="7">
        <v>47356.0</v>
      </c>
      <c r="O256" s="7">
        <v>1.5075065E7</v>
      </c>
      <c r="P256" s="7" t="s">
        <v>411</v>
      </c>
      <c r="Q256" s="7">
        <v>5003.86</v>
      </c>
      <c r="R256" s="3">
        <f t="shared" si="1"/>
        <v>10000</v>
      </c>
    </row>
    <row r="257" ht="22.5" customHeight="1">
      <c r="B257" s="7" t="s">
        <v>681</v>
      </c>
      <c r="C257" s="7">
        <v>19384.0</v>
      </c>
      <c r="D257" s="7">
        <v>241034.0</v>
      </c>
      <c r="E257" s="7">
        <v>2.9991563E7</v>
      </c>
      <c r="F257" s="7">
        <v>2.9346073E7</v>
      </c>
      <c r="G257" s="7">
        <v>4.5254422E7</v>
      </c>
      <c r="H257" s="7">
        <v>2.051424445E9</v>
      </c>
      <c r="I257" s="7">
        <v>1030586.0</v>
      </c>
      <c r="J257" s="7">
        <v>991959.0</v>
      </c>
      <c r="K257" s="7">
        <v>38627.0</v>
      </c>
      <c r="L257" s="7">
        <v>88.99</v>
      </c>
      <c r="M257" s="7">
        <v>-0.04</v>
      </c>
      <c r="N257" s="7">
        <v>55269.0</v>
      </c>
      <c r="O257" s="7">
        <v>2.0064706E7</v>
      </c>
      <c r="P257" s="7" t="s">
        <v>411</v>
      </c>
      <c r="Q257" s="7">
        <v>5003.8</v>
      </c>
      <c r="R257" s="3">
        <f t="shared" si="1"/>
        <v>10000</v>
      </c>
    </row>
    <row r="258" ht="22.5" customHeight="1">
      <c r="B258" s="7" t="s">
        <v>682</v>
      </c>
      <c r="C258" s="7">
        <v>15470.0</v>
      </c>
      <c r="D258" s="7">
        <v>191485.0</v>
      </c>
      <c r="E258" s="7">
        <v>3.1125766E7</v>
      </c>
      <c r="F258" s="7">
        <v>3.041107E7</v>
      </c>
      <c r="G258" s="7">
        <v>4.9611952E7</v>
      </c>
      <c r="H258" s="7">
        <v>2.240622729E9</v>
      </c>
      <c r="I258" s="7">
        <v>1122340.0</v>
      </c>
      <c r="J258" s="7">
        <v>1084310.0</v>
      </c>
      <c r="K258" s="7">
        <v>38030.0</v>
      </c>
      <c r="L258" s="7">
        <v>93.78</v>
      </c>
      <c r="M258" s="7">
        <v>-0.05</v>
      </c>
      <c r="N258" s="7">
        <v>54681.0</v>
      </c>
      <c r="O258" s="7">
        <v>2.1937322E7</v>
      </c>
      <c r="P258" s="7" t="s">
        <v>411</v>
      </c>
      <c r="Q258" s="7">
        <v>5003.8</v>
      </c>
      <c r="R258" s="3">
        <f t="shared" si="1"/>
        <v>10000</v>
      </c>
    </row>
    <row r="259" ht="22.5" customHeight="1">
      <c r="B259" s="7" t="s">
        <v>683</v>
      </c>
      <c r="C259" s="7">
        <v>1662375.0</v>
      </c>
      <c r="D259" s="7">
        <v>1.3926494E7</v>
      </c>
      <c r="E259" s="7">
        <v>1519431.0</v>
      </c>
      <c r="F259" s="7">
        <v>1434947.0</v>
      </c>
      <c r="G259" s="7">
        <v>4.957513E7</v>
      </c>
      <c r="H259" s="7">
        <v>2.4169077077E10</v>
      </c>
      <c r="I259" s="7">
        <v>82781.0</v>
      </c>
      <c r="J259" s="7">
        <v>81399.0</v>
      </c>
      <c r="K259" s="7">
        <v>1382.0</v>
      </c>
      <c r="L259" s="7">
        <v>170.21</v>
      </c>
      <c r="M259" s="7">
        <v>-0.19</v>
      </c>
      <c r="N259" s="7">
        <v>2433.0</v>
      </c>
      <c r="O259" s="7">
        <v>3929211.0</v>
      </c>
      <c r="P259" s="7" t="s">
        <v>411</v>
      </c>
      <c r="Q259" s="7">
        <v>5003.73</v>
      </c>
      <c r="R259" s="3">
        <f t="shared" si="1"/>
        <v>10000</v>
      </c>
    </row>
    <row r="260" ht="22.5" customHeight="1">
      <c r="B260" s="7" t="s">
        <v>684</v>
      </c>
      <c r="C260" s="7">
        <v>675.0</v>
      </c>
      <c r="D260" s="7">
        <v>22558.0</v>
      </c>
      <c r="E260" s="7">
        <v>1.12181863E8</v>
      </c>
      <c r="F260" s="7">
        <v>8.8031373E7</v>
      </c>
      <c r="G260" s="7">
        <v>4.75832021E8</v>
      </c>
      <c r="H260" s="7">
        <v>2.266065794E9</v>
      </c>
      <c r="I260" s="7">
        <v>2377256.0</v>
      </c>
      <c r="J260" s="7">
        <v>2217692.0</v>
      </c>
      <c r="K260" s="7">
        <v>159564.0</v>
      </c>
      <c r="L260" s="7">
        <v>29.64</v>
      </c>
      <c r="M260" s="7">
        <v>-0.03</v>
      </c>
      <c r="N260" s="7">
        <v>226440.0</v>
      </c>
      <c r="O260" s="7">
        <v>2.39946919E8</v>
      </c>
      <c r="P260" s="7" t="s">
        <v>411</v>
      </c>
      <c r="Q260" s="7">
        <v>5003.86</v>
      </c>
      <c r="R260" s="3">
        <f t="shared" si="1"/>
        <v>10000</v>
      </c>
    </row>
    <row r="261" ht="22.5" customHeight="1">
      <c r="B261" s="7" t="s">
        <v>685</v>
      </c>
      <c r="C261" s="7">
        <v>290.0</v>
      </c>
      <c r="D261" s="7">
        <v>5152.0</v>
      </c>
      <c r="E261" s="7">
        <v>2.7058574E7</v>
      </c>
      <c r="F261" s="7">
        <v>2.6637832E7</v>
      </c>
      <c r="G261" s="7">
        <v>3.3496694E7</v>
      </c>
      <c r="H261" s="7">
        <v>5.26005658E8</v>
      </c>
      <c r="I261" s="7">
        <v>779126.0</v>
      </c>
      <c r="J261" s="7">
        <v>752524.0</v>
      </c>
      <c r="K261" s="7">
        <v>26602.0</v>
      </c>
      <c r="L261" s="7">
        <v>22.51</v>
      </c>
      <c r="M261" s="7">
        <v>-0.04</v>
      </c>
      <c r="N261" s="7">
        <v>43421.0</v>
      </c>
      <c r="O261" s="7">
        <v>1.4470226E7</v>
      </c>
      <c r="P261" s="7" t="s">
        <v>411</v>
      </c>
      <c r="Q261" s="7">
        <v>5003.84</v>
      </c>
      <c r="R261" s="3">
        <f t="shared" si="1"/>
        <v>10000</v>
      </c>
    </row>
    <row r="262" ht="22.5" customHeight="1">
      <c r="B262" s="7" t="s">
        <v>686</v>
      </c>
      <c r="C262" s="7">
        <v>1200.0</v>
      </c>
      <c r="D262" s="7">
        <v>21040.0</v>
      </c>
      <c r="E262" s="7">
        <v>2.2870007E7</v>
      </c>
      <c r="F262" s="7">
        <v>2.2754526E7</v>
      </c>
      <c r="G262" s="7">
        <v>6.3350504E7</v>
      </c>
      <c r="H262" s="7">
        <v>2.094808007E9</v>
      </c>
      <c r="I262" s="7">
        <v>732420.0</v>
      </c>
      <c r="J262" s="7">
        <v>702926.0</v>
      </c>
      <c r="K262" s="7">
        <v>29494.0</v>
      </c>
      <c r="L262" s="7">
        <v>58.86</v>
      </c>
      <c r="M262" s="7">
        <v>-0.05</v>
      </c>
      <c r="N262" s="7">
        <v>46301.0</v>
      </c>
      <c r="O262" s="7">
        <v>1.048838E7</v>
      </c>
      <c r="P262" s="7" t="s">
        <v>411</v>
      </c>
      <c r="Q262" s="7">
        <v>5003.85</v>
      </c>
      <c r="R262" s="3">
        <f t="shared" si="1"/>
        <v>10000</v>
      </c>
    </row>
    <row r="263" ht="22.5" customHeight="1">
      <c r="B263" s="7" t="s">
        <v>689</v>
      </c>
      <c r="C263" s="7">
        <v>1200.0</v>
      </c>
      <c r="D263" s="7">
        <v>21040.0</v>
      </c>
      <c r="E263" s="7">
        <v>1.8840608E7</v>
      </c>
      <c r="F263" s="7">
        <v>1.8753063E7</v>
      </c>
      <c r="G263" s="7">
        <v>4.6523779E7</v>
      </c>
      <c r="H263" s="7">
        <v>1.978492952E9</v>
      </c>
      <c r="I263" s="7">
        <v>476991.0</v>
      </c>
      <c r="J263" s="7">
        <v>446438.0</v>
      </c>
      <c r="K263" s="7">
        <v>30553.0</v>
      </c>
      <c r="L263" s="7">
        <v>66.96</v>
      </c>
      <c r="M263" s="7">
        <v>-0.04</v>
      </c>
      <c r="N263" s="7">
        <v>47352.0</v>
      </c>
      <c r="O263" s="7">
        <v>6980715.0</v>
      </c>
      <c r="P263" s="7" t="s">
        <v>411</v>
      </c>
      <c r="Q263" s="7">
        <v>5003.86</v>
      </c>
      <c r="R263" s="3">
        <f t="shared" si="1"/>
        <v>10000</v>
      </c>
    </row>
    <row r="264" ht="22.5" customHeight="1">
      <c r="B264" s="7" t="s">
        <v>690</v>
      </c>
      <c r="C264" s="7">
        <v>100726.0</v>
      </c>
      <c r="D264" s="7">
        <v>150303.0</v>
      </c>
      <c r="E264" s="7">
        <v>5664474.0</v>
      </c>
      <c r="F264" s="7">
        <v>5531054.0</v>
      </c>
      <c r="G264" s="7">
        <v>1.9471629E7</v>
      </c>
      <c r="H264" s="7">
        <v>1.0242998389E10</v>
      </c>
      <c r="I264" s="7">
        <v>202301.0</v>
      </c>
      <c r="J264" s="7">
        <v>194745.0</v>
      </c>
      <c r="K264" s="7">
        <v>7556.0</v>
      </c>
      <c r="L264" s="7">
        <v>87.95</v>
      </c>
      <c r="M264" s="7">
        <v>-0.07</v>
      </c>
      <c r="N264" s="7">
        <v>11755.0</v>
      </c>
      <c r="O264" s="7">
        <v>2930282.0</v>
      </c>
      <c r="P264" s="7" t="s">
        <v>411</v>
      </c>
      <c r="Q264" s="7">
        <v>5003.84</v>
      </c>
      <c r="R264" s="3">
        <f t="shared" si="1"/>
        <v>10000</v>
      </c>
    </row>
    <row r="265" ht="22.5" customHeight="1">
      <c r="B265" s="7" t="s">
        <v>691</v>
      </c>
      <c r="C265" s="7">
        <v>36809.0</v>
      </c>
      <c r="D265" s="7">
        <v>142457.0</v>
      </c>
      <c r="E265" s="7">
        <v>7727603.0</v>
      </c>
      <c r="F265" s="7">
        <v>7270164.0</v>
      </c>
      <c r="G265" s="7">
        <v>2.57044141E8</v>
      </c>
      <c r="H265" s="7">
        <v>7.723043302E9</v>
      </c>
      <c r="I265" s="7">
        <v>446921.0</v>
      </c>
      <c r="J265" s="7">
        <v>440413.0</v>
      </c>
      <c r="K265" s="7">
        <v>6508.0</v>
      </c>
      <c r="L265" s="7">
        <v>239.94</v>
      </c>
      <c r="M265" s="7">
        <v>-0.19</v>
      </c>
      <c r="N265" s="7">
        <v>10710.0</v>
      </c>
      <c r="O265" s="7">
        <v>1.3436578E7</v>
      </c>
      <c r="P265" s="7" t="s">
        <v>411</v>
      </c>
      <c r="Q265" s="7">
        <v>5003.84</v>
      </c>
      <c r="R265" s="3">
        <f t="shared" si="1"/>
        <v>10000</v>
      </c>
    </row>
    <row r="266" ht="22.5" customHeight="1">
      <c r="B266" s="7" t="s">
        <v>692</v>
      </c>
      <c r="C266" s="7">
        <v>18054.0</v>
      </c>
      <c r="D266" s="7">
        <v>227902.0</v>
      </c>
      <c r="E266" s="7">
        <v>2.9871765E7</v>
      </c>
      <c r="F266" s="7">
        <v>2.9184532E7</v>
      </c>
      <c r="G266" s="7">
        <v>4.6181511E7</v>
      </c>
      <c r="H266" s="7">
        <v>2.132437782E9</v>
      </c>
      <c r="I266" s="7">
        <v>1017076.0</v>
      </c>
      <c r="J266" s="7">
        <v>979322.0</v>
      </c>
      <c r="K266" s="7">
        <v>37754.0</v>
      </c>
      <c r="L266" s="7">
        <v>84.39</v>
      </c>
      <c r="M266" s="7">
        <v>-0.04</v>
      </c>
      <c r="N266" s="7">
        <v>54405.0</v>
      </c>
      <c r="O266" s="7">
        <v>2.0313617E7</v>
      </c>
      <c r="P266" s="7" t="s">
        <v>411</v>
      </c>
      <c r="Q266" s="7">
        <v>5003.88</v>
      </c>
      <c r="R266" s="3">
        <f t="shared" si="1"/>
        <v>10000</v>
      </c>
    </row>
    <row r="267" ht="22.5" customHeight="1">
      <c r="B267" s="7" t="s">
        <v>693</v>
      </c>
      <c r="C267" s="7">
        <v>529.0</v>
      </c>
      <c r="D267" s="7">
        <v>940160.0</v>
      </c>
      <c r="E267" s="7">
        <v>2.378839E7</v>
      </c>
      <c r="F267" s="7">
        <v>2.3292692E7</v>
      </c>
      <c r="G267" s="7">
        <v>2.9347122E7</v>
      </c>
      <c r="H267" s="7">
        <v>8.20103676E8</v>
      </c>
      <c r="I267" s="7">
        <v>471178.0</v>
      </c>
      <c r="J267" s="7">
        <v>440247.0</v>
      </c>
      <c r="K267" s="7">
        <v>30931.0</v>
      </c>
      <c r="L267" s="7">
        <v>38.99</v>
      </c>
      <c r="M267" s="7">
        <v>-0.03</v>
      </c>
      <c r="N267" s="7">
        <v>47683.0</v>
      </c>
      <c r="O267" s="7">
        <v>1.3498123E7</v>
      </c>
      <c r="P267" s="7" t="s">
        <v>411</v>
      </c>
      <c r="Q267" s="7">
        <v>5003.93</v>
      </c>
      <c r="R267" s="3">
        <f t="shared" si="1"/>
        <v>10000</v>
      </c>
    </row>
    <row r="268" ht="22.5" customHeight="1">
      <c r="B268" s="7" t="s">
        <v>694</v>
      </c>
      <c r="C268" s="7">
        <v>820.0</v>
      </c>
      <c r="D268" s="7">
        <v>32021.0</v>
      </c>
      <c r="E268" s="7">
        <v>3.1848717E7</v>
      </c>
      <c r="F268" s="7">
        <v>3.1712789E7</v>
      </c>
      <c r="G268" s="7">
        <v>3.3834992E7</v>
      </c>
      <c r="H268" s="7">
        <v>3.00012977E8</v>
      </c>
      <c r="I268" s="7">
        <v>979271.0</v>
      </c>
      <c r="J268" s="7">
        <v>945077.0</v>
      </c>
      <c r="K268" s="7">
        <v>34194.0</v>
      </c>
      <c r="L268" s="7">
        <v>163.47</v>
      </c>
      <c r="M268" s="7">
        <v>-0.01</v>
      </c>
      <c r="N268" s="7">
        <v>50933.0</v>
      </c>
      <c r="O268" s="7">
        <v>1.8439783E7</v>
      </c>
      <c r="P268" s="7" t="s">
        <v>411</v>
      </c>
      <c r="Q268" s="7">
        <v>5003.87</v>
      </c>
      <c r="R268" s="3">
        <f t="shared" si="1"/>
        <v>10000</v>
      </c>
    </row>
    <row r="269" ht="22.5" customHeight="1">
      <c r="B269" s="7" t="s">
        <v>695</v>
      </c>
      <c r="C269" s="7">
        <v>1757.0</v>
      </c>
      <c r="D269" s="7">
        <v>7466.0</v>
      </c>
      <c r="E269" s="7">
        <v>1.0824146E7</v>
      </c>
      <c r="F269" s="7">
        <v>1.0704708E7</v>
      </c>
      <c r="G269" s="7">
        <v>1.863563E7</v>
      </c>
      <c r="H269" s="7">
        <v>1.225867187E9</v>
      </c>
      <c r="I269" s="7">
        <v>473130.0</v>
      </c>
      <c r="J269" s="7">
        <v>460002.0</v>
      </c>
      <c r="K269" s="7">
        <v>13128.0</v>
      </c>
      <c r="L269" s="7">
        <v>35.9</v>
      </c>
      <c r="M269" s="7">
        <v>-0.06</v>
      </c>
      <c r="N269" s="7">
        <v>21388.0</v>
      </c>
      <c r="O269" s="7">
        <v>4230716.0</v>
      </c>
      <c r="P269" s="7" t="s">
        <v>411</v>
      </c>
      <c r="Q269" s="7">
        <v>5003.9</v>
      </c>
      <c r="R269" s="3">
        <f t="shared" si="1"/>
        <v>10000</v>
      </c>
    </row>
    <row r="270" ht="22.5" customHeight="1">
      <c r="B270" s="7" t="s">
        <v>547</v>
      </c>
      <c r="C270" s="7">
        <v>17543.0</v>
      </c>
      <c r="D270" s="7">
        <v>114047.0</v>
      </c>
      <c r="E270" s="7">
        <v>1.0085711E7</v>
      </c>
      <c r="F270" s="7">
        <v>9720589.0</v>
      </c>
      <c r="G270" s="7">
        <v>4.4463244E7</v>
      </c>
      <c r="H270" s="7">
        <v>4.723054047E9</v>
      </c>
      <c r="I270" s="7">
        <v>357377.0</v>
      </c>
      <c r="J270" s="7">
        <v>344421.0</v>
      </c>
      <c r="K270" s="7">
        <v>12956.0</v>
      </c>
      <c r="L270" s="7">
        <v>339.14</v>
      </c>
      <c r="M270" s="7">
        <v>-0.08</v>
      </c>
      <c r="N270" s="7">
        <v>20053.0</v>
      </c>
      <c r="O270" s="7">
        <v>5418645.0</v>
      </c>
      <c r="P270" s="7" t="s">
        <v>411</v>
      </c>
      <c r="Q270" s="7">
        <v>5003.79</v>
      </c>
      <c r="R270" s="3">
        <f t="shared" si="1"/>
        <v>10000</v>
      </c>
    </row>
    <row r="271" ht="22.5" customHeight="1">
      <c r="B271" s="7" t="s">
        <v>696</v>
      </c>
      <c r="C271" s="7">
        <v>625.0</v>
      </c>
      <c r="D271" s="7">
        <v>17432.0</v>
      </c>
      <c r="E271" s="7">
        <v>9.5381184E7</v>
      </c>
      <c r="F271" s="7">
        <v>8.1077925E7</v>
      </c>
      <c r="G271" s="7">
        <v>4.14392245E8</v>
      </c>
      <c r="H271" s="7">
        <v>1.827405267E9</v>
      </c>
      <c r="I271" s="7">
        <v>2162588.0</v>
      </c>
      <c r="J271" s="7">
        <v>2002492.0</v>
      </c>
      <c r="K271" s="7">
        <v>160096.0</v>
      </c>
      <c r="L271" s="7">
        <v>27.45</v>
      </c>
      <c r="M271" s="7">
        <v>-0.03</v>
      </c>
      <c r="N271" s="7">
        <v>226989.0</v>
      </c>
      <c r="O271" s="7">
        <v>1.89502923E8</v>
      </c>
      <c r="P271" s="7" t="s">
        <v>411</v>
      </c>
      <c r="Q271" s="7">
        <v>5003.76</v>
      </c>
      <c r="R271" s="3">
        <f t="shared" si="1"/>
        <v>10000</v>
      </c>
    </row>
    <row r="272" ht="22.5" customHeight="1">
      <c r="B272" s="7" t="s">
        <v>697</v>
      </c>
      <c r="C272" s="7">
        <v>1000.0</v>
      </c>
      <c r="D272" s="7">
        <v>55525.0</v>
      </c>
      <c r="E272" s="7">
        <v>1.9844609E7</v>
      </c>
      <c r="F272" s="7">
        <v>1.9635383E7</v>
      </c>
      <c r="G272" s="7">
        <v>2.3997778E7</v>
      </c>
      <c r="H272" s="7">
        <v>3.41323552E8</v>
      </c>
      <c r="I272" s="7">
        <v>526123.0</v>
      </c>
      <c r="J272" s="7">
        <v>486264.0</v>
      </c>
      <c r="K272" s="7">
        <v>39859.0</v>
      </c>
      <c r="L272" s="7">
        <v>298.93</v>
      </c>
      <c r="M272" s="7">
        <v>-0.02</v>
      </c>
      <c r="N272" s="7">
        <v>56486.0</v>
      </c>
      <c r="O272" s="7">
        <v>7747579.0</v>
      </c>
      <c r="P272" s="7" t="s">
        <v>411</v>
      </c>
      <c r="Q272" s="7">
        <v>5003.82</v>
      </c>
      <c r="R272" s="3">
        <f t="shared" si="1"/>
        <v>10000</v>
      </c>
    </row>
    <row r="273" ht="22.5" customHeight="1">
      <c r="B273" s="7" t="s">
        <v>699</v>
      </c>
      <c r="C273" s="7">
        <v>105.0</v>
      </c>
      <c r="D273" s="7">
        <v>42884.0</v>
      </c>
      <c r="E273" s="7">
        <v>4.5790772E7</v>
      </c>
      <c r="F273" s="7">
        <v>4.5332138E7</v>
      </c>
      <c r="G273" s="7">
        <v>5.3244962E7</v>
      </c>
      <c r="H273" s="7">
        <v>2.95002098E8</v>
      </c>
      <c r="I273" s="7">
        <v>1373326.0</v>
      </c>
      <c r="J273" s="7">
        <v>1315918.0</v>
      </c>
      <c r="K273" s="7">
        <v>57408.0</v>
      </c>
      <c r="L273" s="7">
        <v>20.74</v>
      </c>
      <c r="M273" s="7">
        <v>-0.03</v>
      </c>
      <c r="N273" s="7">
        <v>94296.0</v>
      </c>
      <c r="O273" s="7">
        <v>1.8913161E7</v>
      </c>
      <c r="P273" s="7" t="s">
        <v>411</v>
      </c>
      <c r="Q273" s="7">
        <v>5003.88</v>
      </c>
      <c r="R273" s="3">
        <f t="shared" si="1"/>
        <v>10000</v>
      </c>
    </row>
    <row r="274" ht="22.5" customHeight="1">
      <c r="B274" s="7" t="s">
        <v>700</v>
      </c>
      <c r="C274" s="7">
        <v>11020.0</v>
      </c>
      <c r="D274" s="7">
        <v>241816.0</v>
      </c>
      <c r="E274" s="7">
        <v>9257368.0</v>
      </c>
      <c r="F274" s="7">
        <v>9039254.0</v>
      </c>
      <c r="G274" s="7">
        <v>2.6661661E7</v>
      </c>
      <c r="H274" s="7">
        <v>2.723728293E9</v>
      </c>
      <c r="I274" s="7">
        <v>448071.0</v>
      </c>
      <c r="J274" s="7">
        <v>436463.0</v>
      </c>
      <c r="K274" s="7">
        <v>11608.0</v>
      </c>
      <c r="L274" s="7">
        <v>55.8</v>
      </c>
      <c r="M274" s="7">
        <v>-0.1</v>
      </c>
      <c r="N274" s="7">
        <v>17432.0</v>
      </c>
      <c r="O274" s="7">
        <v>5336124.0</v>
      </c>
      <c r="P274" s="7" t="s">
        <v>411</v>
      </c>
      <c r="Q274" s="7">
        <v>5003.88</v>
      </c>
      <c r="R274" s="3">
        <f t="shared" si="1"/>
        <v>10000</v>
      </c>
    </row>
    <row r="275" ht="22.5" customHeight="1">
      <c r="B275" s="7" t="s">
        <v>701</v>
      </c>
      <c r="C275" s="7">
        <v>2565.0</v>
      </c>
      <c r="D275" s="7">
        <v>8254.0</v>
      </c>
      <c r="E275" s="7">
        <v>1.6500754E7</v>
      </c>
      <c r="F275" s="7">
        <v>1.6362606E7</v>
      </c>
      <c r="G275" s="7">
        <v>2.4238259E7</v>
      </c>
      <c r="H275" s="7">
        <v>1.432957727E9</v>
      </c>
      <c r="I275" s="7">
        <v>472413.0</v>
      </c>
      <c r="J275" s="7">
        <v>444389.0</v>
      </c>
      <c r="K275" s="7">
        <v>28024.0</v>
      </c>
      <c r="L275" s="7">
        <v>36.6</v>
      </c>
      <c r="M275" s="7">
        <v>-0.04</v>
      </c>
      <c r="N275" s="7">
        <v>44834.0</v>
      </c>
      <c r="O275" s="7">
        <v>4396548.0</v>
      </c>
      <c r="P275" s="7" t="s">
        <v>411</v>
      </c>
      <c r="Q275" s="7">
        <v>5003.87</v>
      </c>
      <c r="R275" s="3">
        <f t="shared" si="1"/>
        <v>10000</v>
      </c>
    </row>
    <row r="276" ht="22.5" customHeight="1">
      <c r="B276" s="7" t="s">
        <v>702</v>
      </c>
      <c r="C276" s="7">
        <v>556920.0</v>
      </c>
      <c r="D276" s="7">
        <v>7956684.0</v>
      </c>
      <c r="E276" s="7">
        <v>5013935.0</v>
      </c>
      <c r="F276" s="7">
        <v>4894701.0</v>
      </c>
      <c r="G276" s="7">
        <v>5901569.0</v>
      </c>
      <c r="H276" s="7">
        <v>1.5557630627E10</v>
      </c>
      <c r="I276" s="7">
        <v>117903.0</v>
      </c>
      <c r="J276" s="7">
        <v>109297.0</v>
      </c>
      <c r="K276" s="7">
        <v>8606.0</v>
      </c>
      <c r="L276" s="7">
        <v>47.1</v>
      </c>
      <c r="M276" s="7">
        <v>-0.02</v>
      </c>
      <c r="N276" s="7">
        <v>12793.0</v>
      </c>
      <c r="O276" s="7">
        <v>2172617.0</v>
      </c>
      <c r="P276" s="7" t="s">
        <v>411</v>
      </c>
      <c r="Q276" s="7">
        <v>5003.68</v>
      </c>
      <c r="R276" s="3">
        <f t="shared" si="1"/>
        <v>10000</v>
      </c>
    </row>
    <row r="277" ht="22.5" customHeight="1">
      <c r="B277" s="7" t="s">
        <v>703</v>
      </c>
      <c r="C277" s="7">
        <v>84270.0</v>
      </c>
      <c r="D277" s="7">
        <v>125809.0</v>
      </c>
      <c r="E277" s="7">
        <v>6862572.0</v>
      </c>
      <c r="F277" s="7">
        <v>6701322.0</v>
      </c>
      <c r="G277" s="7">
        <v>2.433189E7</v>
      </c>
      <c r="H277" s="7">
        <v>1.0860053907E10</v>
      </c>
      <c r="I277" s="7">
        <v>279031.0</v>
      </c>
      <c r="J277" s="7">
        <v>271621.0</v>
      </c>
      <c r="K277" s="7">
        <v>7410.0</v>
      </c>
      <c r="L277" s="7">
        <v>86.24</v>
      </c>
      <c r="M277" s="7">
        <v>-0.07</v>
      </c>
      <c r="N277" s="7">
        <v>11611.0</v>
      </c>
      <c r="O277" s="7">
        <v>4000480.0</v>
      </c>
      <c r="P277" s="7" t="s">
        <v>411</v>
      </c>
      <c r="Q277" s="7">
        <v>5003.9</v>
      </c>
      <c r="R277" s="3">
        <f t="shared" si="1"/>
        <v>10000</v>
      </c>
    </row>
    <row r="278" ht="22.5" customHeight="1">
      <c r="B278" s="7" t="s">
        <v>704</v>
      </c>
      <c r="C278" s="7">
        <v>1333.0</v>
      </c>
      <c r="D278" s="7">
        <v>5326.0</v>
      </c>
      <c r="E278" s="7">
        <v>2.2046353E7</v>
      </c>
      <c r="F278" s="7">
        <v>2.1851822E7</v>
      </c>
      <c r="G278" s="7">
        <v>3.3621454E7</v>
      </c>
      <c r="H278" s="7">
        <v>1.63890592E9</v>
      </c>
      <c r="I278" s="7">
        <v>953504.0</v>
      </c>
      <c r="J278" s="7">
        <v>926883.0</v>
      </c>
      <c r="K278" s="7">
        <v>26621.0</v>
      </c>
      <c r="L278" s="7">
        <v>23.01</v>
      </c>
      <c r="M278" s="7">
        <v>-0.04</v>
      </c>
      <c r="N278" s="7">
        <v>43445.0</v>
      </c>
      <c r="O278" s="7">
        <v>8536461.0</v>
      </c>
      <c r="P278" s="7" t="s">
        <v>411</v>
      </c>
      <c r="Q278" s="7">
        <v>5003.88</v>
      </c>
      <c r="R278" s="3">
        <f t="shared" si="1"/>
        <v>10000</v>
      </c>
    </row>
    <row r="279" ht="22.5" customHeight="1">
      <c r="B279" s="7" t="s">
        <v>705</v>
      </c>
      <c r="C279" s="7">
        <v>70899.0</v>
      </c>
      <c r="D279" s="7">
        <v>2799064.0</v>
      </c>
      <c r="E279" s="7">
        <v>1558261.0</v>
      </c>
      <c r="F279" s="7">
        <v>1497256.0</v>
      </c>
      <c r="G279" s="7">
        <v>4755347.0</v>
      </c>
      <c r="H279" s="7">
        <v>6.839890183E9</v>
      </c>
      <c r="I279" s="7">
        <v>72980.0</v>
      </c>
      <c r="J279" s="7">
        <v>71203.0</v>
      </c>
      <c r="K279" s="7">
        <v>1777.0</v>
      </c>
      <c r="L279" s="7">
        <v>36.37</v>
      </c>
      <c r="M279" s="7">
        <v>-0.12</v>
      </c>
      <c r="N279" s="7">
        <v>2828.0</v>
      </c>
      <c r="O279" s="7">
        <v>1022634.0</v>
      </c>
      <c r="P279" s="7" t="s">
        <v>411</v>
      </c>
      <c r="Q279" s="7">
        <v>5003.75</v>
      </c>
      <c r="R279" s="3">
        <f t="shared" si="1"/>
        <v>10000</v>
      </c>
    </row>
    <row r="280" ht="22.5" customHeight="1">
      <c r="B280" s="7" t="s">
        <v>706</v>
      </c>
      <c r="C280" s="7">
        <v>108087.0</v>
      </c>
      <c r="D280" s="7">
        <v>161545.0</v>
      </c>
      <c r="E280" s="7">
        <v>5163266.0</v>
      </c>
      <c r="F280" s="7">
        <v>5047790.0</v>
      </c>
      <c r="G280" s="7">
        <v>1.6835913E7</v>
      </c>
      <c r="H280" s="7">
        <v>9.619216726E9</v>
      </c>
      <c r="I280" s="7">
        <v>171858.0</v>
      </c>
      <c r="J280" s="7">
        <v>164118.0</v>
      </c>
      <c r="K280" s="7">
        <v>7740.0</v>
      </c>
      <c r="L280" s="7">
        <v>91.91</v>
      </c>
      <c r="M280" s="7">
        <v>-0.06</v>
      </c>
      <c r="N280" s="7">
        <v>11937.0</v>
      </c>
      <c r="O280" s="7">
        <v>2447700.0</v>
      </c>
      <c r="P280" s="7" t="s">
        <v>411</v>
      </c>
      <c r="Q280" s="7">
        <v>5003.84</v>
      </c>
      <c r="R280" s="3">
        <f t="shared" si="1"/>
        <v>10000</v>
      </c>
    </row>
    <row r="281" ht="22.5" customHeight="1">
      <c r="B281" s="7" t="s">
        <v>707</v>
      </c>
      <c r="C281" s="7">
        <v>3750.0</v>
      </c>
      <c r="D281" s="7">
        <v>208955.0</v>
      </c>
      <c r="E281" s="7">
        <v>1.3636024E7</v>
      </c>
      <c r="F281" s="7">
        <v>1.3479887E7</v>
      </c>
      <c r="G281" s="7">
        <v>1.5610025E7</v>
      </c>
      <c r="H281" s="7">
        <v>1.825165847E9</v>
      </c>
      <c r="I281" s="7">
        <v>351196.0</v>
      </c>
      <c r="J281" s="7">
        <v>323014.0</v>
      </c>
      <c r="K281" s="7">
        <v>28182.0</v>
      </c>
      <c r="L281" s="7">
        <v>363.23</v>
      </c>
      <c r="M281" s="7">
        <v>-0.03</v>
      </c>
      <c r="N281" s="7">
        <v>40672.0</v>
      </c>
      <c r="O281" s="7">
        <v>4719977.0</v>
      </c>
      <c r="P281" s="7" t="s">
        <v>411</v>
      </c>
      <c r="Q281" s="7">
        <v>5003.78</v>
      </c>
      <c r="R281" s="3">
        <f t="shared" si="1"/>
        <v>10000</v>
      </c>
    </row>
    <row r="282" ht="22.5" customHeight="1">
      <c r="B282" s="7" t="s">
        <v>606</v>
      </c>
      <c r="C282" s="7">
        <v>2279.0</v>
      </c>
      <c r="D282" s="7">
        <v>7000.0</v>
      </c>
      <c r="E282" s="7">
        <v>5881609.0</v>
      </c>
      <c r="F282" s="7">
        <v>5859228.0</v>
      </c>
      <c r="G282" s="7">
        <v>6529321.0</v>
      </c>
      <c r="H282" s="7">
        <v>9.9680992E8</v>
      </c>
      <c r="I282" s="7">
        <v>251204.0</v>
      </c>
      <c r="J282" s="7">
        <v>244281.0</v>
      </c>
      <c r="K282" s="7">
        <v>6923.0</v>
      </c>
      <c r="L282" s="7">
        <v>33.49</v>
      </c>
      <c r="M282" s="7">
        <v>-0.01</v>
      </c>
      <c r="N282" s="7">
        <v>11136.0</v>
      </c>
      <c r="O282" s="7">
        <v>2488821.0</v>
      </c>
      <c r="P282" s="7" t="s">
        <v>411</v>
      </c>
      <c r="Q282" s="7">
        <v>5003.9</v>
      </c>
      <c r="R282" s="3">
        <f t="shared" si="1"/>
        <v>10000</v>
      </c>
    </row>
    <row r="283" ht="22.5" customHeight="1">
      <c r="B283" s="7" t="s">
        <v>708</v>
      </c>
      <c r="C283" s="7">
        <v>72327.0</v>
      </c>
      <c r="D283" s="7">
        <v>1641152.0</v>
      </c>
      <c r="E283" s="7">
        <v>1703322.0</v>
      </c>
      <c r="F283" s="7">
        <v>1653510.0</v>
      </c>
      <c r="G283" s="7">
        <v>4914293.0</v>
      </c>
      <c r="H283" s="7">
        <v>8.991671571E9</v>
      </c>
      <c r="I283" s="7">
        <v>85665.0</v>
      </c>
      <c r="J283" s="7">
        <v>83790.0</v>
      </c>
      <c r="K283" s="7">
        <v>1875.0</v>
      </c>
      <c r="L283" s="7">
        <v>34.18</v>
      </c>
      <c r="M283" s="7">
        <v>-0.11</v>
      </c>
      <c r="N283" s="7">
        <v>2926.0</v>
      </c>
      <c r="O283" s="7">
        <v>1038125.0</v>
      </c>
      <c r="P283" s="7" t="s">
        <v>411</v>
      </c>
      <c r="Q283" s="7">
        <v>5003.82</v>
      </c>
      <c r="R283" s="3">
        <f t="shared" si="1"/>
        <v>10000</v>
      </c>
    </row>
    <row r="284" ht="22.5" customHeight="1">
      <c r="B284" s="7" t="s">
        <v>709</v>
      </c>
      <c r="C284" s="7">
        <v>33201.0</v>
      </c>
      <c r="D284" s="7">
        <v>899193.0</v>
      </c>
      <c r="E284" s="7">
        <v>1.958874E7</v>
      </c>
      <c r="F284" s="7">
        <v>1.9290285E7</v>
      </c>
      <c r="G284" s="7">
        <v>2.4028479E7</v>
      </c>
      <c r="H284" s="7">
        <v>9.58950172E8</v>
      </c>
      <c r="I284" s="7">
        <v>661325.0</v>
      </c>
      <c r="J284" s="7">
        <v>625888.0</v>
      </c>
      <c r="K284" s="7">
        <v>35437.0</v>
      </c>
      <c r="L284" s="7">
        <v>106.39</v>
      </c>
      <c r="M284" s="7">
        <v>-0.03</v>
      </c>
      <c r="N284" s="7">
        <v>52137.0</v>
      </c>
      <c r="O284" s="7">
        <v>7396633.0</v>
      </c>
      <c r="P284" s="7" t="s">
        <v>411</v>
      </c>
      <c r="Q284" s="7">
        <v>5003.86</v>
      </c>
      <c r="R284" s="3">
        <f t="shared" si="1"/>
        <v>10000</v>
      </c>
    </row>
    <row r="285" ht="22.5" customHeight="1">
      <c r="B285" s="7" t="s">
        <v>710</v>
      </c>
      <c r="C285" s="7">
        <v>350.0</v>
      </c>
      <c r="D285" s="7">
        <v>24150.0</v>
      </c>
      <c r="E285" s="7">
        <v>3.522717E7</v>
      </c>
      <c r="F285" s="7">
        <v>3.4509892E7</v>
      </c>
      <c r="G285" s="7">
        <v>7.7571425E7</v>
      </c>
      <c r="H285" s="7">
        <v>9.60987472E8</v>
      </c>
      <c r="I285" s="7">
        <v>971941.0</v>
      </c>
      <c r="J285" s="7">
        <v>938503.0</v>
      </c>
      <c r="K285" s="7">
        <v>33438.0</v>
      </c>
      <c r="L285" s="7">
        <v>42.08</v>
      </c>
      <c r="M285" s="7">
        <v>-0.05</v>
      </c>
      <c r="N285" s="7">
        <v>54035.0</v>
      </c>
      <c r="O285" s="7">
        <v>1.9693416E7</v>
      </c>
      <c r="P285" s="7" t="s">
        <v>411</v>
      </c>
      <c r="Q285" s="7">
        <v>5003.86</v>
      </c>
      <c r="R285" s="3">
        <f t="shared" si="1"/>
        <v>10000</v>
      </c>
    </row>
    <row r="286" ht="22.5" customHeight="1">
      <c r="B286" s="7" t="s">
        <v>711</v>
      </c>
      <c r="C286" s="7">
        <v>1033.0</v>
      </c>
      <c r="D286" s="7">
        <v>3308.0</v>
      </c>
      <c r="E286" s="7">
        <v>2.0813659E7</v>
      </c>
      <c r="F286" s="7">
        <v>2.0624447E7</v>
      </c>
      <c r="G286" s="7">
        <v>2.9398577E7</v>
      </c>
      <c r="H286" s="7">
        <v>1.132711299E9</v>
      </c>
      <c r="I286" s="7">
        <v>776553.0</v>
      </c>
      <c r="J286" s="7">
        <v>748384.0</v>
      </c>
      <c r="K286" s="7">
        <v>28169.0</v>
      </c>
      <c r="L286" s="7">
        <v>24.24</v>
      </c>
      <c r="M286" s="7">
        <v>-0.06</v>
      </c>
      <c r="N286" s="7">
        <v>44989.0</v>
      </c>
      <c r="O286" s="7">
        <v>8232193.0</v>
      </c>
      <c r="P286" s="7" t="s">
        <v>411</v>
      </c>
      <c r="Q286" s="7">
        <v>5003.9</v>
      </c>
      <c r="R286" s="3">
        <f t="shared" si="1"/>
        <v>10000</v>
      </c>
    </row>
    <row r="287" ht="22.5" customHeight="1">
      <c r="B287" s="7" t="s">
        <v>712</v>
      </c>
      <c r="C287" s="7">
        <v>4229.0</v>
      </c>
      <c r="D287" s="7">
        <v>100397.0</v>
      </c>
      <c r="E287" s="7">
        <v>3.2167146E7</v>
      </c>
      <c r="F287" s="7">
        <v>3.1227877E7</v>
      </c>
      <c r="G287" s="7">
        <v>1.0617317E8</v>
      </c>
      <c r="H287" s="7">
        <v>2.047423489E9</v>
      </c>
      <c r="I287" s="7">
        <v>768093.0</v>
      </c>
      <c r="J287" s="7">
        <v>738240.0</v>
      </c>
      <c r="K287" s="7">
        <v>29853.0</v>
      </c>
      <c r="L287" s="7">
        <v>64.82</v>
      </c>
      <c r="M287" s="7">
        <v>-0.06</v>
      </c>
      <c r="N287" s="7">
        <v>46641.0</v>
      </c>
      <c r="O287" s="7">
        <v>2.046119E7</v>
      </c>
      <c r="P287" s="7" t="s">
        <v>411</v>
      </c>
      <c r="Q287" s="7">
        <v>5003.81</v>
      </c>
      <c r="R287" s="3">
        <f t="shared" si="1"/>
        <v>10000</v>
      </c>
    </row>
    <row r="288" ht="22.5" customHeight="1">
      <c r="B288" s="7" t="s">
        <v>713</v>
      </c>
      <c r="C288" s="7">
        <v>1444.0</v>
      </c>
      <c r="D288" s="7">
        <v>119491.0</v>
      </c>
      <c r="E288" s="7">
        <v>4.2072788E7</v>
      </c>
      <c r="F288" s="7">
        <v>4.0950646E7</v>
      </c>
      <c r="G288" s="7">
        <v>1.95946921E8</v>
      </c>
      <c r="H288" s="7">
        <v>1.236681298E9</v>
      </c>
      <c r="I288" s="7">
        <v>964015.0</v>
      </c>
      <c r="J288" s="7">
        <v>910349.0</v>
      </c>
      <c r="K288" s="7">
        <v>53666.0</v>
      </c>
      <c r="L288" s="7">
        <v>60.91</v>
      </c>
      <c r="M288" s="7">
        <v>-0.09</v>
      </c>
      <c r="N288" s="7">
        <v>84778.0</v>
      </c>
      <c r="O288" s="7">
        <v>2.4718056E7</v>
      </c>
      <c r="P288" s="7" t="s">
        <v>411</v>
      </c>
      <c r="Q288" s="7">
        <v>5003.94</v>
      </c>
      <c r="R288" s="3">
        <f t="shared" si="1"/>
        <v>10000</v>
      </c>
    </row>
    <row r="289" ht="22.5" customHeight="1">
      <c r="B289" s="7" t="s">
        <v>714</v>
      </c>
      <c r="C289" s="7">
        <v>25920.0</v>
      </c>
      <c r="D289" s="7">
        <v>562074.0</v>
      </c>
      <c r="E289" s="7">
        <v>1.1917363E7</v>
      </c>
      <c r="F289" s="7">
        <v>1.1749017E7</v>
      </c>
      <c r="G289" s="7">
        <v>1.3804705E7</v>
      </c>
      <c r="H289" s="7">
        <v>2.709033979E9</v>
      </c>
      <c r="I289" s="7">
        <v>284212.0</v>
      </c>
      <c r="J289" s="7">
        <v>261300.0</v>
      </c>
      <c r="K289" s="7">
        <v>22912.0</v>
      </c>
      <c r="L289" s="7">
        <v>428.59</v>
      </c>
      <c r="M289" s="7">
        <v>-0.02</v>
      </c>
      <c r="N289" s="7">
        <v>32759.0</v>
      </c>
      <c r="O289" s="7">
        <v>4916491.0</v>
      </c>
      <c r="P289" s="7" t="s">
        <v>411</v>
      </c>
      <c r="Q289" s="7">
        <v>5003.78</v>
      </c>
      <c r="R289" s="3">
        <f t="shared" si="1"/>
        <v>10000</v>
      </c>
    </row>
    <row r="290" ht="22.5" customHeight="1">
      <c r="B290" s="7" t="s">
        <v>715</v>
      </c>
      <c r="C290" s="7">
        <v>5950.0</v>
      </c>
      <c r="D290" s="7">
        <v>455260.0</v>
      </c>
      <c r="E290" s="7">
        <v>9260115.0</v>
      </c>
      <c r="F290" s="7">
        <v>9176657.0</v>
      </c>
      <c r="G290" s="7">
        <v>1.0082834E7</v>
      </c>
      <c r="H290" s="7">
        <v>2.3754936E8</v>
      </c>
      <c r="I290" s="7">
        <v>113270.0</v>
      </c>
      <c r="J290" s="7">
        <v>100392.0</v>
      </c>
      <c r="K290" s="7">
        <v>12878.0</v>
      </c>
      <c r="L290" s="7">
        <v>867.14</v>
      </c>
      <c r="M290" s="7">
        <v>-0.01</v>
      </c>
      <c r="N290" s="7">
        <v>18689.0</v>
      </c>
      <c r="O290" s="7">
        <v>5278143.0</v>
      </c>
      <c r="P290" s="7" t="s">
        <v>411</v>
      </c>
      <c r="Q290" s="7">
        <v>5003.82</v>
      </c>
      <c r="R290" s="3">
        <f t="shared" si="1"/>
        <v>10000</v>
      </c>
    </row>
    <row r="291" ht="22.5" customHeight="1">
      <c r="B291" s="7" t="s">
        <v>716</v>
      </c>
      <c r="C291" s="7">
        <v>300.0</v>
      </c>
      <c r="D291" s="7">
        <v>6925.0</v>
      </c>
      <c r="E291" s="7">
        <v>4.747512E7</v>
      </c>
      <c r="F291" s="7">
        <v>4.7288681E7</v>
      </c>
      <c r="G291" s="7">
        <v>4.9904407E7</v>
      </c>
      <c r="H291" s="7">
        <v>4.39824371E8</v>
      </c>
      <c r="I291" s="7">
        <v>1123345.0</v>
      </c>
      <c r="J291" s="7">
        <v>1045372.0</v>
      </c>
      <c r="K291" s="7">
        <v>77973.0</v>
      </c>
      <c r="L291" s="7">
        <v>56.72</v>
      </c>
      <c r="M291" s="7">
        <v>-0.01</v>
      </c>
      <c r="N291" s="7">
        <v>117274.0</v>
      </c>
      <c r="O291" s="7">
        <v>1.9279813E7</v>
      </c>
      <c r="P291" s="7" t="s">
        <v>411</v>
      </c>
      <c r="Q291" s="7">
        <v>5003.86</v>
      </c>
      <c r="R291" s="3">
        <f t="shared" si="1"/>
        <v>10000</v>
      </c>
    </row>
    <row r="292" ht="22.5" customHeight="1">
      <c r="B292" s="7" t="s">
        <v>717</v>
      </c>
      <c r="C292" s="7">
        <v>3125.0</v>
      </c>
      <c r="D292" s="7">
        <v>174150.0</v>
      </c>
      <c r="E292" s="7">
        <v>1.4633241E7</v>
      </c>
      <c r="F292" s="7">
        <v>1.4468222E7</v>
      </c>
      <c r="G292" s="7">
        <v>1.6659247E7</v>
      </c>
      <c r="H292" s="7">
        <v>1.868378937E9</v>
      </c>
      <c r="I292" s="7">
        <v>313564.0</v>
      </c>
      <c r="J292" s="7">
        <v>281815.0</v>
      </c>
      <c r="K292" s="7">
        <v>31749.0</v>
      </c>
      <c r="L292" s="7">
        <v>296.27</v>
      </c>
      <c r="M292" s="7">
        <v>-0.02</v>
      </c>
      <c r="N292" s="7">
        <v>45756.0</v>
      </c>
      <c r="O292" s="7">
        <v>4804622.0</v>
      </c>
      <c r="P292" s="7" t="s">
        <v>411</v>
      </c>
      <c r="Q292" s="7">
        <v>5003.83</v>
      </c>
      <c r="R292" s="3">
        <f t="shared" si="1"/>
        <v>10000</v>
      </c>
    </row>
    <row r="293" ht="22.5" customHeight="1">
      <c r="B293" s="7" t="s">
        <v>718</v>
      </c>
      <c r="C293" s="7">
        <v>1200.0</v>
      </c>
      <c r="D293" s="7">
        <v>21040.0</v>
      </c>
      <c r="E293" s="7">
        <v>2.2146132E7</v>
      </c>
      <c r="F293" s="7">
        <v>2.1998583E7</v>
      </c>
      <c r="G293" s="7">
        <v>6.480889E7</v>
      </c>
      <c r="H293" s="7">
        <v>2.336626412E9</v>
      </c>
      <c r="I293" s="7">
        <v>667909.0</v>
      </c>
      <c r="J293" s="7">
        <v>638121.0</v>
      </c>
      <c r="K293" s="7">
        <v>29788.0</v>
      </c>
      <c r="L293" s="7">
        <v>64.02</v>
      </c>
      <c r="M293" s="7">
        <v>-0.05</v>
      </c>
      <c r="N293" s="7">
        <v>46591.0</v>
      </c>
      <c r="O293" s="7">
        <v>9856800.0</v>
      </c>
      <c r="P293" s="7" t="s">
        <v>411</v>
      </c>
      <c r="Q293" s="7">
        <v>5003.87</v>
      </c>
      <c r="R293" s="3">
        <f t="shared" si="1"/>
        <v>10000</v>
      </c>
    </row>
    <row r="294" ht="22.5" customHeight="1">
      <c r="B294" s="7" t="s">
        <v>719</v>
      </c>
      <c r="C294" s="7">
        <v>5460.0</v>
      </c>
      <c r="D294" s="7">
        <v>245882.0</v>
      </c>
      <c r="E294" s="7">
        <v>1.1622327E7</v>
      </c>
      <c r="F294" s="7">
        <v>1.1469564E7</v>
      </c>
      <c r="G294" s="7">
        <v>1.3400877E7</v>
      </c>
      <c r="H294" s="7">
        <v>1.053189885E9</v>
      </c>
      <c r="I294" s="7">
        <v>312627.0</v>
      </c>
      <c r="J294" s="7">
        <v>290803.0</v>
      </c>
      <c r="K294" s="7">
        <v>21824.0</v>
      </c>
      <c r="L294" s="7">
        <v>470.67</v>
      </c>
      <c r="M294" s="7">
        <v>-0.02</v>
      </c>
      <c r="N294" s="7">
        <v>31225.0</v>
      </c>
      <c r="O294" s="7">
        <v>4757611.0</v>
      </c>
      <c r="P294" s="7" t="s">
        <v>411</v>
      </c>
      <c r="Q294" s="7">
        <v>5003.75</v>
      </c>
      <c r="R294" s="3">
        <f t="shared" si="1"/>
        <v>10000</v>
      </c>
    </row>
    <row r="295" ht="22.5" customHeight="1">
      <c r="B295" s="7" t="s">
        <v>720</v>
      </c>
      <c r="C295" s="7">
        <v>462.0</v>
      </c>
      <c r="D295" s="7">
        <v>670840.0</v>
      </c>
      <c r="E295" s="7">
        <v>2.6796517E7</v>
      </c>
      <c r="F295" s="7">
        <v>2.6242133E7</v>
      </c>
      <c r="G295" s="7">
        <v>3.332644E7</v>
      </c>
      <c r="H295" s="7">
        <v>8.90093707E8</v>
      </c>
      <c r="I295" s="7">
        <v>633041.0</v>
      </c>
      <c r="J295" s="7">
        <v>602833.0</v>
      </c>
      <c r="K295" s="7">
        <v>30208.0</v>
      </c>
      <c r="L295" s="7">
        <v>35.03</v>
      </c>
      <c r="M295" s="7">
        <v>-0.04</v>
      </c>
      <c r="N295" s="7">
        <v>46964.0</v>
      </c>
      <c r="O295" s="7">
        <v>1.6419257E7</v>
      </c>
      <c r="P295" s="7" t="s">
        <v>411</v>
      </c>
      <c r="Q295" s="7">
        <v>5003.92</v>
      </c>
      <c r="R295" s="3">
        <f t="shared" si="1"/>
        <v>10000</v>
      </c>
    </row>
    <row r="296" ht="22.5" customHeight="1">
      <c r="B296" s="7" t="s">
        <v>721</v>
      </c>
      <c r="C296" s="7">
        <v>2948.0</v>
      </c>
      <c r="D296" s="7">
        <v>9573.0</v>
      </c>
      <c r="E296" s="7">
        <v>1.0458617E7</v>
      </c>
      <c r="F296" s="7">
        <v>1.0345657E7</v>
      </c>
      <c r="G296" s="7">
        <v>1.8218393E7</v>
      </c>
      <c r="H296" s="7">
        <v>1.110548392E9</v>
      </c>
      <c r="I296" s="7">
        <v>488832.0</v>
      </c>
      <c r="J296" s="7">
        <v>476410.0</v>
      </c>
      <c r="K296" s="7">
        <v>12422.0</v>
      </c>
      <c r="L296" s="7">
        <v>34.39</v>
      </c>
      <c r="M296" s="7">
        <v>-0.06</v>
      </c>
      <c r="N296" s="7">
        <v>20120.0</v>
      </c>
      <c r="O296" s="7">
        <v>4175116.0</v>
      </c>
      <c r="P296" s="7" t="s">
        <v>411</v>
      </c>
      <c r="Q296" s="7">
        <v>5003.87</v>
      </c>
      <c r="R296" s="3">
        <f t="shared" si="1"/>
        <v>10000</v>
      </c>
    </row>
    <row r="297" ht="22.5" customHeight="1">
      <c r="B297" s="7" t="s">
        <v>562</v>
      </c>
      <c r="C297" s="7">
        <v>400.0</v>
      </c>
      <c r="D297" s="7">
        <v>30864.0</v>
      </c>
      <c r="E297" s="7">
        <v>1.8179629E7</v>
      </c>
      <c r="F297" s="7">
        <v>1.7688161E7</v>
      </c>
      <c r="G297" s="7">
        <v>2.2782088E7</v>
      </c>
      <c r="H297" s="7">
        <v>4.82499459E8</v>
      </c>
      <c r="I297" s="7">
        <v>362109.0</v>
      </c>
      <c r="J297" s="7">
        <v>329578.0</v>
      </c>
      <c r="K297" s="7">
        <v>32531.0</v>
      </c>
      <c r="L297" s="7">
        <v>79.7</v>
      </c>
      <c r="M297" s="7">
        <v>-0.04</v>
      </c>
      <c r="N297" s="7">
        <v>49249.0</v>
      </c>
      <c r="O297" s="7">
        <v>7210178.0</v>
      </c>
      <c r="P297" s="7" t="s">
        <v>411</v>
      </c>
      <c r="Q297" s="7">
        <v>5003.9</v>
      </c>
      <c r="R297" s="3">
        <f t="shared" si="1"/>
        <v>10000</v>
      </c>
    </row>
    <row r="298" ht="22.5" customHeight="1">
      <c r="B298" s="7" t="s">
        <v>722</v>
      </c>
      <c r="C298" s="7">
        <v>7200.0</v>
      </c>
      <c r="D298" s="7">
        <v>604890.0</v>
      </c>
      <c r="E298" s="7">
        <v>1.0104281E7</v>
      </c>
      <c r="F298" s="7">
        <v>1.0022725E7</v>
      </c>
      <c r="G298" s="7">
        <v>1.0895376E7</v>
      </c>
      <c r="H298" s="7">
        <v>2.07377962E8</v>
      </c>
      <c r="I298" s="7">
        <v>63628.0</v>
      </c>
      <c r="J298" s="7">
        <v>47850.0</v>
      </c>
      <c r="K298" s="7">
        <v>15778.0</v>
      </c>
      <c r="L298" s="7">
        <v>928.4</v>
      </c>
      <c r="M298" s="7">
        <v>-0.01</v>
      </c>
      <c r="N298" s="7">
        <v>22880.0</v>
      </c>
      <c r="O298" s="7">
        <v>5436653.0</v>
      </c>
      <c r="P298" s="7" t="s">
        <v>411</v>
      </c>
      <c r="Q298" s="7">
        <v>5003.67</v>
      </c>
      <c r="R298" s="3">
        <f t="shared" si="1"/>
        <v>10000</v>
      </c>
    </row>
    <row r="299" ht="22.5" customHeight="1">
      <c r="B299" s="7" t="s">
        <v>723</v>
      </c>
      <c r="C299" s="7">
        <v>294.0</v>
      </c>
      <c r="D299" s="7">
        <v>5292.0</v>
      </c>
      <c r="E299" s="7">
        <v>2.5182483E7</v>
      </c>
      <c r="F299" s="7">
        <v>2.4792674E7</v>
      </c>
      <c r="G299" s="7">
        <v>3.1058234E7</v>
      </c>
      <c r="H299" s="7">
        <v>4.91481123E8</v>
      </c>
      <c r="I299" s="7">
        <v>695443.0</v>
      </c>
      <c r="J299" s="7">
        <v>668732.0</v>
      </c>
      <c r="K299" s="7">
        <v>26711.0</v>
      </c>
      <c r="L299" s="7">
        <v>22.7</v>
      </c>
      <c r="M299" s="7">
        <v>-0.04</v>
      </c>
      <c r="N299" s="7">
        <v>43529.0</v>
      </c>
      <c r="O299" s="7">
        <v>1.2779468E7</v>
      </c>
      <c r="P299" s="7" t="s">
        <v>411</v>
      </c>
      <c r="Q299" s="7">
        <v>5003.91</v>
      </c>
      <c r="R299" s="3">
        <f t="shared" si="1"/>
        <v>10000</v>
      </c>
    </row>
    <row r="300" ht="22.5" customHeight="1">
      <c r="B300" s="7" t="s">
        <v>724</v>
      </c>
      <c r="C300" s="7">
        <v>1023.0</v>
      </c>
      <c r="D300" s="7">
        <v>4088.0</v>
      </c>
      <c r="E300" s="7">
        <v>1.8908312E7</v>
      </c>
      <c r="F300" s="7">
        <v>1.8762452E7</v>
      </c>
      <c r="G300" s="7">
        <v>3.7393914E7</v>
      </c>
      <c r="H300" s="7">
        <v>1.608361489E9</v>
      </c>
      <c r="I300" s="7">
        <v>579274.0</v>
      </c>
      <c r="J300" s="7">
        <v>550866.0</v>
      </c>
      <c r="K300" s="7">
        <v>28408.0</v>
      </c>
      <c r="L300" s="7">
        <v>41.75</v>
      </c>
      <c r="M300" s="7">
        <v>-0.04</v>
      </c>
      <c r="N300" s="7">
        <v>45219.0</v>
      </c>
      <c r="O300" s="7">
        <v>6492584.0</v>
      </c>
      <c r="P300" s="7" t="s">
        <v>411</v>
      </c>
      <c r="Q300" s="7">
        <v>5003.9</v>
      </c>
      <c r="R300" s="3">
        <f t="shared" si="1"/>
        <v>10000</v>
      </c>
    </row>
    <row r="301" ht="22.5" customHeight="1">
      <c r="B301" s="7" t="s">
        <v>725</v>
      </c>
      <c r="C301" s="7">
        <v>18601.0</v>
      </c>
      <c r="D301" s="7">
        <v>37108.0</v>
      </c>
      <c r="E301" s="7">
        <v>3.0107143E7</v>
      </c>
      <c r="F301" s="7">
        <v>2.9683185E7</v>
      </c>
      <c r="G301" s="7">
        <v>5.4932316E7</v>
      </c>
      <c r="H301" s="7">
        <v>2.653051072E9</v>
      </c>
      <c r="I301" s="7">
        <v>1363774.0</v>
      </c>
      <c r="J301" s="7">
        <v>1335046.0</v>
      </c>
      <c r="K301" s="7">
        <v>28728.0</v>
      </c>
      <c r="L301" s="7">
        <v>31.67</v>
      </c>
      <c r="M301" s="7">
        <v>-0.06</v>
      </c>
      <c r="N301" s="7">
        <v>45542.0</v>
      </c>
      <c r="O301" s="7">
        <v>1.60167E7</v>
      </c>
      <c r="P301" s="7" t="s">
        <v>411</v>
      </c>
      <c r="Q301" s="7">
        <v>5003.86</v>
      </c>
      <c r="R301" s="3">
        <f t="shared" si="1"/>
        <v>10000</v>
      </c>
    </row>
    <row r="302" ht="22.5" customHeight="1">
      <c r="B302" s="7" t="s">
        <v>728</v>
      </c>
      <c r="C302" s="7">
        <v>576.0</v>
      </c>
      <c r="D302" s="7">
        <v>8464.0</v>
      </c>
      <c r="E302" s="7">
        <v>5457434.0</v>
      </c>
      <c r="F302" s="7">
        <v>5427782.0</v>
      </c>
      <c r="G302" s="7">
        <v>7752143.0</v>
      </c>
      <c r="H302" s="7">
        <v>7.5296198E8</v>
      </c>
      <c r="I302" s="7">
        <v>240721.0</v>
      </c>
      <c r="J302" s="7">
        <v>232750.0</v>
      </c>
      <c r="K302" s="7">
        <v>7971.0</v>
      </c>
      <c r="L302" s="7">
        <v>28.49</v>
      </c>
      <c r="M302" s="7">
        <v>-0.03</v>
      </c>
      <c r="N302" s="7">
        <v>12173.0</v>
      </c>
      <c r="O302" s="7">
        <v>2115108.0</v>
      </c>
      <c r="P302" s="7" t="s">
        <v>411</v>
      </c>
      <c r="Q302" s="7">
        <v>5004.06</v>
      </c>
      <c r="R302" s="3">
        <f t="shared" si="1"/>
        <v>10000</v>
      </c>
    </row>
    <row r="303" ht="22.5" customHeight="1">
      <c r="B303" s="7" t="s">
        <v>729</v>
      </c>
      <c r="C303" s="7">
        <v>7500.0</v>
      </c>
      <c r="D303" s="7">
        <v>77451.0</v>
      </c>
      <c r="E303" s="7">
        <v>5.8126496E7</v>
      </c>
      <c r="F303" s="7">
        <v>5.7740473E7</v>
      </c>
      <c r="G303" s="7">
        <v>6.4062505E7</v>
      </c>
      <c r="H303" s="7">
        <v>3.361959069E9</v>
      </c>
      <c r="I303" s="7">
        <v>1338271.0</v>
      </c>
      <c r="J303" s="7">
        <v>1239489.0</v>
      </c>
      <c r="K303" s="7">
        <v>98782.0</v>
      </c>
      <c r="L303" s="7">
        <v>26.75</v>
      </c>
      <c r="M303" s="7">
        <v>-0.02</v>
      </c>
      <c r="N303" s="7">
        <v>154540.0</v>
      </c>
      <c r="O303" s="7">
        <v>1.8787969E7</v>
      </c>
      <c r="P303" s="7" t="s">
        <v>411</v>
      </c>
      <c r="Q303" s="7">
        <v>5004.08</v>
      </c>
      <c r="R303" s="3">
        <f t="shared" si="1"/>
        <v>10000</v>
      </c>
    </row>
    <row r="304" ht="22.5" customHeight="1">
      <c r="B304" s="7" t="s">
        <v>730</v>
      </c>
      <c r="C304" s="7">
        <v>160.0</v>
      </c>
      <c r="D304" s="7">
        <v>21744.0</v>
      </c>
      <c r="E304" s="7">
        <v>3.0694627E7</v>
      </c>
      <c r="F304" s="7">
        <v>2.9921688E7</v>
      </c>
      <c r="G304" s="7">
        <v>6.9134953E7</v>
      </c>
      <c r="H304" s="7">
        <v>2.70885887E8</v>
      </c>
      <c r="I304" s="7">
        <v>753792.0</v>
      </c>
      <c r="J304" s="7">
        <v>726625.0</v>
      </c>
      <c r="K304" s="7">
        <v>27167.0</v>
      </c>
      <c r="L304" s="7">
        <v>29.81</v>
      </c>
      <c r="M304" s="7">
        <v>-0.09</v>
      </c>
      <c r="N304" s="7">
        <v>43985.0</v>
      </c>
      <c r="O304" s="7">
        <v>2.2537654E7</v>
      </c>
      <c r="P304" s="7" t="s">
        <v>411</v>
      </c>
      <c r="Q304" s="7">
        <v>5004.0</v>
      </c>
      <c r="R304" s="3">
        <f t="shared" si="1"/>
        <v>10000</v>
      </c>
    </row>
    <row r="305" ht="22.5" customHeight="1">
      <c r="B305" s="7" t="s">
        <v>731</v>
      </c>
      <c r="C305" s="7">
        <v>1672385.0</v>
      </c>
      <c r="D305" s="7">
        <v>1.3957954E7</v>
      </c>
      <c r="E305" s="7">
        <v>1830818.0</v>
      </c>
      <c r="F305" s="7">
        <v>1718918.0</v>
      </c>
      <c r="G305" s="7">
        <v>1.9277246E7</v>
      </c>
      <c r="H305" s="7">
        <v>1.7194895728E10</v>
      </c>
      <c r="I305" s="7">
        <v>74139.0</v>
      </c>
      <c r="J305" s="7">
        <v>72455.0</v>
      </c>
      <c r="K305" s="7">
        <v>1684.0</v>
      </c>
      <c r="L305" s="7">
        <v>159.43</v>
      </c>
      <c r="M305" s="7">
        <v>-0.14</v>
      </c>
      <c r="N305" s="7">
        <v>2733.0</v>
      </c>
      <c r="O305" s="7">
        <v>2784239.0</v>
      </c>
      <c r="P305" s="7" t="s">
        <v>411</v>
      </c>
      <c r="Q305" s="7">
        <v>5003.86</v>
      </c>
      <c r="R305" s="3">
        <f t="shared" si="1"/>
        <v>10000</v>
      </c>
    </row>
    <row r="306" ht="22.5" customHeight="1">
      <c r="B306" s="7" t="s">
        <v>732</v>
      </c>
      <c r="C306" s="7">
        <v>510.0</v>
      </c>
      <c r="D306" s="7">
        <v>19652.0</v>
      </c>
      <c r="E306" s="7">
        <v>2.4966974E7</v>
      </c>
      <c r="F306" s="7">
        <v>2.4746101E7</v>
      </c>
      <c r="G306" s="7">
        <v>2.96966E7</v>
      </c>
      <c r="H306" s="7">
        <v>3.38780738E8</v>
      </c>
      <c r="I306" s="7">
        <v>873344.0</v>
      </c>
      <c r="J306" s="7">
        <v>834461.0</v>
      </c>
      <c r="K306" s="7">
        <v>38883.0</v>
      </c>
      <c r="L306" s="7">
        <v>149.75</v>
      </c>
      <c r="M306" s="7">
        <v>-0.02</v>
      </c>
      <c r="N306" s="7">
        <v>55532.0</v>
      </c>
      <c r="O306" s="7">
        <v>1.1761121E7</v>
      </c>
      <c r="P306" s="7" t="s">
        <v>411</v>
      </c>
      <c r="Q306" s="7">
        <v>5004.01</v>
      </c>
      <c r="R306" s="3">
        <f t="shared" si="1"/>
        <v>10000</v>
      </c>
    </row>
    <row r="307" ht="22.5" customHeight="1">
      <c r="B307" s="7" t="s">
        <v>601</v>
      </c>
      <c r="C307" s="7">
        <v>3972.0</v>
      </c>
      <c r="D307" s="7">
        <v>14170.0</v>
      </c>
      <c r="E307" s="7">
        <v>2.5801691E7</v>
      </c>
      <c r="F307" s="7">
        <v>2.5409766E7</v>
      </c>
      <c r="G307" s="7">
        <v>4.6704721E7</v>
      </c>
      <c r="H307" s="7">
        <v>2.578315908E9</v>
      </c>
      <c r="I307" s="7">
        <v>1120205.0</v>
      </c>
      <c r="J307" s="7">
        <v>1090649.0</v>
      </c>
      <c r="K307" s="7">
        <v>29556.0</v>
      </c>
      <c r="L307" s="7">
        <v>29.68</v>
      </c>
      <c r="M307" s="7">
        <v>-0.08</v>
      </c>
      <c r="N307" s="7">
        <v>46359.0</v>
      </c>
      <c r="O307" s="7">
        <v>1.2921377E7</v>
      </c>
      <c r="P307" s="7" t="s">
        <v>411</v>
      </c>
      <c r="Q307" s="7">
        <v>5004.09</v>
      </c>
      <c r="R307" s="3">
        <f t="shared" si="1"/>
        <v>10000</v>
      </c>
    </row>
    <row r="308" ht="22.5" customHeight="1">
      <c r="B308" s="7" t="s">
        <v>735</v>
      </c>
      <c r="C308" s="7">
        <v>2965.0</v>
      </c>
      <c r="D308" s="7">
        <v>10472.0</v>
      </c>
      <c r="E308" s="7">
        <v>1.1327044E7</v>
      </c>
      <c r="F308" s="7">
        <v>1.1325059E7</v>
      </c>
      <c r="G308" s="7">
        <v>1.1429895E7</v>
      </c>
      <c r="H308" s="7">
        <v>7.0870667E9</v>
      </c>
      <c r="I308" s="7">
        <v>179546.0</v>
      </c>
      <c r="J308" s="7">
        <v>164107.0</v>
      </c>
      <c r="K308" s="7">
        <v>15439.0</v>
      </c>
      <c r="L308" s="7">
        <v>53.19</v>
      </c>
      <c r="M308" s="7">
        <v>0.0</v>
      </c>
      <c r="N308" s="7">
        <v>24483.0</v>
      </c>
      <c r="O308" s="7">
        <v>4985730.0</v>
      </c>
      <c r="P308" s="7" t="s">
        <v>411</v>
      </c>
      <c r="Q308" s="7">
        <v>5004.06</v>
      </c>
      <c r="R308" s="3">
        <f t="shared" si="1"/>
        <v>10000</v>
      </c>
    </row>
    <row r="309" ht="22.5" customHeight="1">
      <c r="B309" s="7" t="s">
        <v>736</v>
      </c>
      <c r="C309" s="7">
        <v>18718.0</v>
      </c>
      <c r="D309" s="7">
        <v>111867.0</v>
      </c>
      <c r="E309" s="7">
        <v>1.13271329E8</v>
      </c>
      <c r="F309" s="7">
        <v>1.06058642E8</v>
      </c>
      <c r="G309" s="7">
        <v>5.09531809E8</v>
      </c>
      <c r="H309" s="7">
        <v>2.993816919E9</v>
      </c>
      <c r="I309" s="7">
        <v>4074075.0</v>
      </c>
      <c r="J309" s="7">
        <v>3944731.0</v>
      </c>
      <c r="K309" s="7">
        <v>129344.0</v>
      </c>
      <c r="L309" s="7">
        <v>20.74</v>
      </c>
      <c r="M309" s="7">
        <v>-0.08</v>
      </c>
      <c r="N309" s="7">
        <v>196382.0</v>
      </c>
      <c r="O309" s="7">
        <v>1.58532382E8</v>
      </c>
      <c r="P309" s="7" t="s">
        <v>411</v>
      </c>
      <c r="Q309" s="7">
        <v>5004.02</v>
      </c>
      <c r="R309" s="3">
        <f t="shared" si="1"/>
        <v>10000</v>
      </c>
    </row>
    <row r="310" ht="22.5" customHeight="1">
      <c r="B310" s="7" t="s">
        <v>573</v>
      </c>
      <c r="C310" s="7">
        <v>2878.0</v>
      </c>
      <c r="D310" s="7">
        <v>15388.0</v>
      </c>
      <c r="E310" s="7">
        <v>9301457.0</v>
      </c>
      <c r="F310" s="7">
        <v>9195157.0</v>
      </c>
      <c r="G310" s="7">
        <v>1.9458887E7</v>
      </c>
      <c r="H310" s="7">
        <v>1.92145856E9</v>
      </c>
      <c r="I310" s="7">
        <v>454302.0</v>
      </c>
      <c r="J310" s="7">
        <v>444056.0</v>
      </c>
      <c r="K310" s="7">
        <v>10246.0</v>
      </c>
      <c r="L310" s="7">
        <v>27.72</v>
      </c>
      <c r="M310" s="7">
        <v>-0.08</v>
      </c>
      <c r="N310" s="7">
        <v>16159.0</v>
      </c>
      <c r="O310" s="7">
        <v>4436198.0</v>
      </c>
      <c r="P310" s="7" t="s">
        <v>411</v>
      </c>
      <c r="Q310" s="7">
        <v>5004.07</v>
      </c>
      <c r="R310" s="3">
        <f t="shared" si="1"/>
        <v>10000</v>
      </c>
    </row>
    <row r="311" ht="22.5" customHeight="1">
      <c r="B311" s="7" t="s">
        <v>737</v>
      </c>
      <c r="C311" s="7">
        <v>1200.0</v>
      </c>
      <c r="D311" s="7">
        <v>21040.0</v>
      </c>
      <c r="E311" s="7">
        <v>1.8545869E7</v>
      </c>
      <c r="F311" s="7">
        <v>1.8450105E7</v>
      </c>
      <c r="G311" s="7">
        <v>4.3965044E7</v>
      </c>
      <c r="H311" s="7">
        <v>2.203984397E9</v>
      </c>
      <c r="I311" s="7">
        <v>455717.0</v>
      </c>
      <c r="J311" s="7">
        <v>424950.0</v>
      </c>
      <c r="K311" s="7">
        <v>30767.0</v>
      </c>
      <c r="L311" s="7">
        <v>66.0</v>
      </c>
      <c r="M311" s="7">
        <v>-0.04</v>
      </c>
      <c r="N311" s="7">
        <v>47568.0</v>
      </c>
      <c r="O311" s="7">
        <v>6718060.0</v>
      </c>
      <c r="P311" s="7" t="s">
        <v>411</v>
      </c>
      <c r="Q311" s="7">
        <v>5004.05</v>
      </c>
      <c r="R311" s="3">
        <f t="shared" si="1"/>
        <v>10000</v>
      </c>
    </row>
    <row r="312" ht="22.5" customHeight="1">
      <c r="B312" s="7" t="s">
        <v>738</v>
      </c>
      <c r="C312" s="7">
        <v>2500.0</v>
      </c>
      <c r="D312" s="7">
        <v>8084.0</v>
      </c>
      <c r="E312" s="7">
        <v>1.1718207E7</v>
      </c>
      <c r="F312" s="7">
        <v>1.1611918E7</v>
      </c>
      <c r="G312" s="7">
        <v>1.9004802E7</v>
      </c>
      <c r="H312" s="7">
        <v>1.029192876E9</v>
      </c>
      <c r="I312" s="7">
        <v>444296.0</v>
      </c>
      <c r="J312" s="7">
        <v>428244.0</v>
      </c>
      <c r="K312" s="7">
        <v>16052.0</v>
      </c>
      <c r="L312" s="7">
        <v>35.37</v>
      </c>
      <c r="M312" s="7">
        <v>-0.05</v>
      </c>
      <c r="N312" s="7">
        <v>25685.0</v>
      </c>
      <c r="O312" s="7">
        <v>4329634.0</v>
      </c>
      <c r="P312" s="7" t="s">
        <v>411</v>
      </c>
      <c r="Q312" s="7">
        <v>5004.09</v>
      </c>
      <c r="R312" s="3">
        <f t="shared" si="1"/>
        <v>10000</v>
      </c>
    </row>
    <row r="313" ht="22.5" customHeight="1">
      <c r="B313" s="7" t="s">
        <v>739</v>
      </c>
      <c r="C313" s="7">
        <v>16632.0</v>
      </c>
      <c r="D313" s="7">
        <v>144336.0</v>
      </c>
      <c r="E313" s="7">
        <v>2.1323229E7</v>
      </c>
      <c r="F313" s="7">
        <v>2.0999849E7</v>
      </c>
      <c r="G313" s="7">
        <v>7.2573224E7</v>
      </c>
      <c r="H313" s="7">
        <v>3.410160065E9</v>
      </c>
      <c r="I313" s="7">
        <v>728510.0</v>
      </c>
      <c r="J313" s="7">
        <v>700334.0</v>
      </c>
      <c r="K313" s="7">
        <v>28176.0</v>
      </c>
      <c r="L313" s="7">
        <v>46.74</v>
      </c>
      <c r="M313" s="7">
        <v>-0.08</v>
      </c>
      <c r="N313" s="7">
        <v>44976.0</v>
      </c>
      <c r="O313" s="7">
        <v>1.1721789E7</v>
      </c>
      <c r="P313" s="7" t="s">
        <v>411</v>
      </c>
      <c r="Q313" s="7">
        <v>5004.04</v>
      </c>
      <c r="R313" s="3">
        <f t="shared" si="1"/>
        <v>10000</v>
      </c>
    </row>
    <row r="314" ht="22.5" customHeight="1">
      <c r="B314" s="7" t="s">
        <v>740</v>
      </c>
      <c r="C314" s="7">
        <v>2440.0</v>
      </c>
      <c r="D314" s="7">
        <v>73322.0</v>
      </c>
      <c r="E314" s="7">
        <v>2.0099023E7</v>
      </c>
      <c r="F314" s="7">
        <v>1.9817521E7</v>
      </c>
      <c r="G314" s="7">
        <v>2.3266505E7</v>
      </c>
      <c r="H314" s="7">
        <v>1.179722032E9</v>
      </c>
      <c r="I314" s="7">
        <v>480605.0</v>
      </c>
      <c r="J314" s="7">
        <v>441715.0</v>
      </c>
      <c r="K314" s="7">
        <v>38890.0</v>
      </c>
      <c r="L314" s="7">
        <v>252.47</v>
      </c>
      <c r="M314" s="7">
        <v>-0.02</v>
      </c>
      <c r="N314" s="7">
        <v>55537.0</v>
      </c>
      <c r="O314" s="7">
        <v>8159584.0</v>
      </c>
      <c r="P314" s="7" t="s">
        <v>411</v>
      </c>
      <c r="Q314" s="7">
        <v>5003.97</v>
      </c>
      <c r="R314" s="3">
        <f t="shared" si="1"/>
        <v>10000</v>
      </c>
    </row>
    <row r="315" ht="22.5" customHeight="1">
      <c r="B315" s="7" t="s">
        <v>741</v>
      </c>
      <c r="C315" s="7">
        <v>1200.0</v>
      </c>
      <c r="D315" s="7">
        <v>21040.0</v>
      </c>
      <c r="E315" s="7">
        <v>2.1285404E7</v>
      </c>
      <c r="F315" s="7">
        <v>2.1171358E7</v>
      </c>
      <c r="G315" s="7">
        <v>5.5342376E7</v>
      </c>
      <c r="H315" s="7">
        <v>2.031709356E9</v>
      </c>
      <c r="I315" s="7">
        <v>635631.0</v>
      </c>
      <c r="J315" s="7">
        <v>605311.0</v>
      </c>
      <c r="K315" s="7">
        <v>30320.0</v>
      </c>
      <c r="L315" s="7">
        <v>64.94</v>
      </c>
      <c r="M315" s="7">
        <v>-0.05</v>
      </c>
      <c r="N315" s="7">
        <v>47119.0</v>
      </c>
      <c r="O315" s="7">
        <v>9113266.0</v>
      </c>
      <c r="P315" s="7" t="s">
        <v>411</v>
      </c>
      <c r="Q315" s="7">
        <v>5004.04</v>
      </c>
      <c r="R315" s="3">
        <f t="shared" si="1"/>
        <v>10000</v>
      </c>
    </row>
    <row r="316" ht="22.5" customHeight="1">
      <c r="B316" s="7" t="s">
        <v>742</v>
      </c>
      <c r="C316" s="7">
        <v>8497.0</v>
      </c>
      <c r="D316" s="7">
        <v>35672.0</v>
      </c>
      <c r="E316" s="7">
        <v>4.8421799E7</v>
      </c>
      <c r="F316" s="7">
        <v>4.7877931E7</v>
      </c>
      <c r="G316" s="7">
        <v>8.2787898E7</v>
      </c>
      <c r="H316" s="7">
        <v>2.555956767E9</v>
      </c>
      <c r="I316" s="7">
        <v>1912882.0</v>
      </c>
      <c r="J316" s="7">
        <v>1844432.0</v>
      </c>
      <c r="K316" s="7">
        <v>68450.0</v>
      </c>
      <c r="L316" s="7">
        <v>20.91</v>
      </c>
      <c r="M316" s="7">
        <v>-0.07</v>
      </c>
      <c r="N316" s="7">
        <v>109370.0</v>
      </c>
      <c r="O316" s="7">
        <v>1.8109236E7</v>
      </c>
      <c r="P316" s="7" t="s">
        <v>411</v>
      </c>
      <c r="Q316" s="7">
        <v>5004.05</v>
      </c>
      <c r="R316" s="3">
        <f t="shared" si="1"/>
        <v>10000</v>
      </c>
    </row>
    <row r="317" ht="22.5" customHeight="1">
      <c r="B317" s="7" t="s">
        <v>743</v>
      </c>
      <c r="C317" s="7">
        <v>1841.0</v>
      </c>
      <c r="D317" s="7">
        <v>35888.0</v>
      </c>
      <c r="E317" s="7">
        <v>1.2616448E7</v>
      </c>
      <c r="F317" s="7">
        <v>1.2337181E7</v>
      </c>
      <c r="G317" s="7">
        <v>2.7397013E7</v>
      </c>
      <c r="H317" s="7">
        <v>2.176701856E9</v>
      </c>
      <c r="I317" s="7">
        <v>408091.0</v>
      </c>
      <c r="J317" s="7">
        <v>388935.0</v>
      </c>
      <c r="K317" s="7">
        <v>19156.0</v>
      </c>
      <c r="L317" s="7">
        <v>70.43</v>
      </c>
      <c r="M317" s="7">
        <v>-0.07</v>
      </c>
      <c r="N317" s="7">
        <v>30154.0</v>
      </c>
      <c r="O317" s="7">
        <v>4723439.0</v>
      </c>
      <c r="P317" s="7" t="s">
        <v>411</v>
      </c>
      <c r="Q317" s="7">
        <v>5004.07</v>
      </c>
      <c r="R317" s="3">
        <f t="shared" si="1"/>
        <v>10000</v>
      </c>
    </row>
    <row r="318" ht="22.5" customHeight="1">
      <c r="B318" s="7" t="s">
        <v>744</v>
      </c>
      <c r="C318" s="7">
        <v>6300.0</v>
      </c>
      <c r="D318" s="7">
        <v>497790.0</v>
      </c>
      <c r="E318" s="7">
        <v>9010836.0</v>
      </c>
      <c r="F318" s="7">
        <v>8919499.0</v>
      </c>
      <c r="G318" s="7">
        <v>9848861.0</v>
      </c>
      <c r="H318" s="7">
        <v>2.78594518E8</v>
      </c>
      <c r="I318" s="7">
        <v>128654.0</v>
      </c>
      <c r="J318" s="7">
        <v>116277.0</v>
      </c>
      <c r="K318" s="7">
        <v>12377.0</v>
      </c>
      <c r="L318" s="7">
        <v>922.77</v>
      </c>
      <c r="M318" s="7">
        <v>-0.01</v>
      </c>
      <c r="N318" s="7">
        <v>17803.0</v>
      </c>
      <c r="O318" s="7">
        <v>5246282.0</v>
      </c>
      <c r="P318" s="7" t="s">
        <v>411</v>
      </c>
      <c r="Q318" s="7">
        <v>5003.83</v>
      </c>
      <c r="R318" s="3">
        <f t="shared" si="1"/>
        <v>10000</v>
      </c>
    </row>
    <row r="319" ht="22.5" customHeight="1">
      <c r="B319" s="7" t="s">
        <v>745</v>
      </c>
      <c r="C319" s="7">
        <v>2754.0</v>
      </c>
      <c r="D319" s="7">
        <v>9012.0</v>
      </c>
      <c r="E319" s="7">
        <v>1.2653121E7</v>
      </c>
      <c r="F319" s="7">
        <v>1.2518706E7</v>
      </c>
      <c r="G319" s="7">
        <v>2.0514227E7</v>
      </c>
      <c r="H319" s="7">
        <v>1.38105638E9</v>
      </c>
      <c r="I319" s="7">
        <v>479667.0</v>
      </c>
      <c r="J319" s="7">
        <v>462218.0</v>
      </c>
      <c r="K319" s="7">
        <v>17449.0</v>
      </c>
      <c r="L319" s="7">
        <v>37.14</v>
      </c>
      <c r="M319" s="7">
        <v>-0.05</v>
      </c>
      <c r="N319" s="7">
        <v>28524.0</v>
      </c>
      <c r="O319" s="7">
        <v>4217980.0</v>
      </c>
      <c r="P319" s="7" t="s">
        <v>411</v>
      </c>
      <c r="Q319" s="7">
        <v>5004.04</v>
      </c>
      <c r="R319" s="3">
        <f t="shared" si="1"/>
        <v>10000</v>
      </c>
    </row>
    <row r="320" ht="22.5" customHeight="1">
      <c r="B320" s="7" t="s">
        <v>607</v>
      </c>
      <c r="C320" s="7">
        <v>1592305.0</v>
      </c>
      <c r="D320" s="7">
        <v>1.3701005E7</v>
      </c>
      <c r="E320" s="7">
        <v>1250693.0</v>
      </c>
      <c r="F320" s="7">
        <v>1199109.0</v>
      </c>
      <c r="G320" s="7">
        <v>1.16124202E8</v>
      </c>
      <c r="H320" s="7">
        <v>2.2788632408E10</v>
      </c>
      <c r="I320" s="7">
        <v>30295.0</v>
      </c>
      <c r="J320" s="7">
        <v>28935.0</v>
      </c>
      <c r="K320" s="7">
        <v>1360.0</v>
      </c>
      <c r="L320" s="7">
        <v>339.86</v>
      </c>
      <c r="M320" s="7">
        <v>-0.13</v>
      </c>
      <c r="N320" s="7">
        <v>2414.0</v>
      </c>
      <c r="O320" s="7">
        <v>8226719.0</v>
      </c>
      <c r="P320" s="7" t="s">
        <v>411</v>
      </c>
      <c r="Q320" s="7">
        <v>5003.9</v>
      </c>
      <c r="R320" s="3">
        <f t="shared" si="1"/>
        <v>10000</v>
      </c>
    </row>
    <row r="321" ht="22.5" customHeight="1">
      <c r="B321" s="7" t="s">
        <v>746</v>
      </c>
      <c r="C321" s="7">
        <v>36809.0</v>
      </c>
      <c r="D321" s="7">
        <v>142452.0</v>
      </c>
      <c r="E321" s="7">
        <v>9510042.0</v>
      </c>
      <c r="F321" s="7">
        <v>8997385.0</v>
      </c>
      <c r="G321" s="7">
        <v>2.70374183E8</v>
      </c>
      <c r="H321" s="7">
        <v>8.51733275E9</v>
      </c>
      <c r="I321" s="7">
        <v>490234.0</v>
      </c>
      <c r="J321" s="7">
        <v>480425.0</v>
      </c>
      <c r="K321" s="7">
        <v>9809.0</v>
      </c>
      <c r="L321" s="7">
        <v>275.84</v>
      </c>
      <c r="M321" s="7">
        <v>-0.17</v>
      </c>
      <c r="N321" s="7">
        <v>16041.0</v>
      </c>
      <c r="O321" s="7">
        <v>1.3128291E7</v>
      </c>
      <c r="P321" s="7" t="s">
        <v>411</v>
      </c>
      <c r="Q321" s="7">
        <v>5004.0</v>
      </c>
      <c r="R321" s="3">
        <f t="shared" si="1"/>
        <v>10000</v>
      </c>
    </row>
    <row r="322" ht="22.5" customHeight="1">
      <c r="B322" s="7" t="s">
        <v>747</v>
      </c>
      <c r="C322" s="7">
        <v>6557.0</v>
      </c>
      <c r="D322" s="7">
        <v>29539.0</v>
      </c>
      <c r="E322" s="7">
        <v>1.1184776E7</v>
      </c>
      <c r="F322" s="7">
        <v>1.1082295E7</v>
      </c>
      <c r="G322" s="7">
        <v>1.2560615E7</v>
      </c>
      <c r="H322" s="7">
        <v>5.576917549E9</v>
      </c>
      <c r="I322" s="7">
        <v>477491.0</v>
      </c>
      <c r="J322" s="7">
        <v>462890.0</v>
      </c>
      <c r="K322" s="7">
        <v>14601.0</v>
      </c>
      <c r="L322" s="7">
        <v>31.27</v>
      </c>
      <c r="M322" s="7">
        <v>-0.02</v>
      </c>
      <c r="N322" s="7">
        <v>23418.0</v>
      </c>
      <c r="O322" s="7">
        <v>4452803.0</v>
      </c>
      <c r="P322" s="7" t="s">
        <v>411</v>
      </c>
      <c r="Q322" s="7">
        <v>5003.9</v>
      </c>
      <c r="R322" s="3">
        <f t="shared" si="1"/>
        <v>10000</v>
      </c>
    </row>
    <row r="323" ht="22.5" customHeight="1">
      <c r="B323" s="7" t="s">
        <v>748</v>
      </c>
      <c r="C323" s="7">
        <v>288.0</v>
      </c>
      <c r="D323" s="7">
        <v>3240.0</v>
      </c>
      <c r="E323" s="7">
        <v>2.4051328E7</v>
      </c>
      <c r="F323" s="7">
        <v>2.3834096E7</v>
      </c>
      <c r="G323" s="7">
        <v>2.7299593E7</v>
      </c>
      <c r="H323" s="7">
        <v>5.16955538E8</v>
      </c>
      <c r="I323" s="7">
        <v>812179.0</v>
      </c>
      <c r="J323" s="7">
        <v>773668.0</v>
      </c>
      <c r="K323" s="7">
        <v>38511.0</v>
      </c>
      <c r="L323" s="7">
        <v>74.56</v>
      </c>
      <c r="M323" s="7">
        <v>-0.02</v>
      </c>
      <c r="N323" s="7">
        <v>55146.0</v>
      </c>
      <c r="O323" s="7">
        <v>1.0549071E7</v>
      </c>
      <c r="P323" s="7" t="s">
        <v>411</v>
      </c>
      <c r="Q323" s="7">
        <v>5004.04</v>
      </c>
      <c r="R323" s="3">
        <f t="shared" si="1"/>
        <v>10000</v>
      </c>
    </row>
    <row r="324" ht="22.5" customHeight="1">
      <c r="B324" s="7" t="s">
        <v>750</v>
      </c>
      <c r="C324" s="7">
        <v>2776.0</v>
      </c>
      <c r="D324" s="7">
        <v>9091.0</v>
      </c>
      <c r="E324" s="7">
        <v>1.1139773E7</v>
      </c>
      <c r="F324" s="7">
        <v>1.1017841E7</v>
      </c>
      <c r="G324" s="7">
        <v>1.8757919E7</v>
      </c>
      <c r="H324" s="7">
        <v>1.233819497E9</v>
      </c>
      <c r="I324" s="7">
        <v>475931.0</v>
      </c>
      <c r="J324" s="7">
        <v>461731.0</v>
      </c>
      <c r="K324" s="7">
        <v>14200.0</v>
      </c>
      <c r="L324" s="7">
        <v>35.41</v>
      </c>
      <c r="M324" s="7">
        <v>-0.06</v>
      </c>
      <c r="N324" s="7">
        <v>22944.0</v>
      </c>
      <c r="O324" s="7">
        <v>4215912.0</v>
      </c>
      <c r="P324" s="7" t="s">
        <v>411</v>
      </c>
      <c r="Q324" s="7">
        <v>5004.03</v>
      </c>
      <c r="R324" s="3">
        <f t="shared" si="1"/>
        <v>10000</v>
      </c>
    </row>
    <row r="325" ht="22.5" customHeight="1">
      <c r="B325" s="7" t="s">
        <v>751</v>
      </c>
      <c r="C325" s="7">
        <v>5550.0</v>
      </c>
      <c r="D325" s="7">
        <v>118565.0</v>
      </c>
      <c r="E325" s="7">
        <v>1.6929962E7</v>
      </c>
      <c r="F325" s="7">
        <v>1.676724E7</v>
      </c>
      <c r="G325" s="7">
        <v>1.916439E7</v>
      </c>
      <c r="H325" s="7">
        <v>1.61791003E9</v>
      </c>
      <c r="I325" s="7">
        <v>362293.0</v>
      </c>
      <c r="J325" s="7">
        <v>325079.0</v>
      </c>
      <c r="K325" s="7">
        <v>37214.0</v>
      </c>
      <c r="L325" s="7">
        <v>257.97</v>
      </c>
      <c r="M325" s="7">
        <v>-0.02</v>
      </c>
      <c r="N325" s="7">
        <v>53917.0</v>
      </c>
      <c r="O325" s="7">
        <v>5259325.0</v>
      </c>
      <c r="P325" s="7" t="s">
        <v>411</v>
      </c>
      <c r="Q325" s="7">
        <v>5004.01</v>
      </c>
      <c r="R325" s="3">
        <f t="shared" si="1"/>
        <v>10000</v>
      </c>
    </row>
    <row r="326" ht="22.5" customHeight="1">
      <c r="B326" s="7" t="s">
        <v>752</v>
      </c>
      <c r="C326" s="7">
        <v>11020.0</v>
      </c>
      <c r="D326" s="7">
        <v>241816.0</v>
      </c>
      <c r="E326" s="7">
        <v>9045381.0</v>
      </c>
      <c r="F326" s="7">
        <v>8827801.0</v>
      </c>
      <c r="G326" s="7">
        <v>2.6544357E7</v>
      </c>
      <c r="H326" s="7">
        <v>2.613434333E9</v>
      </c>
      <c r="I326" s="7">
        <v>438723.0</v>
      </c>
      <c r="J326" s="7">
        <v>428023.0</v>
      </c>
      <c r="K326" s="7">
        <v>10700.0</v>
      </c>
      <c r="L326" s="7">
        <v>54.66</v>
      </c>
      <c r="M326" s="7">
        <v>-0.1</v>
      </c>
      <c r="N326" s="7">
        <v>16201.0</v>
      </c>
      <c r="O326" s="7">
        <v>5444135.0</v>
      </c>
      <c r="P326" s="7" t="s">
        <v>411</v>
      </c>
      <c r="Q326" s="7">
        <v>5004.04</v>
      </c>
      <c r="R326" s="3">
        <f t="shared" si="1"/>
        <v>10000</v>
      </c>
    </row>
    <row r="327" ht="22.5" customHeight="1">
      <c r="B327" s="7" t="s">
        <v>753</v>
      </c>
      <c r="C327" s="7">
        <v>12452.0</v>
      </c>
      <c r="D327" s="7">
        <v>145109.0</v>
      </c>
      <c r="E327" s="7">
        <v>2.9749958E7</v>
      </c>
      <c r="F327" s="7">
        <v>2.9070611E7</v>
      </c>
      <c r="G327" s="7">
        <v>4.7107006E7</v>
      </c>
      <c r="H327" s="7">
        <v>2.085690955E9</v>
      </c>
      <c r="I327" s="7">
        <v>1028348.0</v>
      </c>
      <c r="J327" s="7">
        <v>990245.0</v>
      </c>
      <c r="K327" s="7">
        <v>38103.0</v>
      </c>
      <c r="L327" s="7">
        <v>90.84</v>
      </c>
      <c r="M327" s="7">
        <v>-0.05</v>
      </c>
      <c r="N327" s="7">
        <v>54755.0</v>
      </c>
      <c r="O327" s="7">
        <v>2.0411449E7</v>
      </c>
      <c r="P327" s="7" t="s">
        <v>411</v>
      </c>
      <c r="Q327" s="7">
        <v>5003.99</v>
      </c>
      <c r="R327" s="3">
        <f t="shared" si="1"/>
        <v>10000</v>
      </c>
    </row>
    <row r="328" ht="22.5" customHeight="1">
      <c r="B328" s="7" t="s">
        <v>754</v>
      </c>
      <c r="C328" s="7">
        <v>13500.0</v>
      </c>
      <c r="D328" s="7">
        <v>4611150.0</v>
      </c>
      <c r="E328" s="7">
        <v>3704715.0</v>
      </c>
      <c r="F328" s="7">
        <v>3655235.0</v>
      </c>
      <c r="G328" s="7">
        <v>4284148.0</v>
      </c>
      <c r="H328" s="7">
        <v>2.592743892E9</v>
      </c>
      <c r="I328" s="7">
        <v>80371.0</v>
      </c>
      <c r="J328" s="7">
        <v>72343.0</v>
      </c>
      <c r="K328" s="7">
        <v>8028.0</v>
      </c>
      <c r="L328" s="7">
        <v>144.71</v>
      </c>
      <c r="M328" s="7">
        <v>-0.02</v>
      </c>
      <c r="N328" s="7">
        <v>11601.0</v>
      </c>
      <c r="O328" s="7">
        <v>1214937.0</v>
      </c>
      <c r="P328" s="7" t="s">
        <v>411</v>
      </c>
      <c r="Q328" s="7">
        <v>5003.99</v>
      </c>
      <c r="R328" s="3">
        <f t="shared" si="1"/>
        <v>10000</v>
      </c>
    </row>
    <row r="329" ht="22.5" customHeight="1">
      <c r="B329" s="7" t="s">
        <v>755</v>
      </c>
      <c r="C329" s="7">
        <v>2500.0</v>
      </c>
      <c r="D329" s="7">
        <v>25193.0</v>
      </c>
      <c r="E329" s="7">
        <v>6.3075537E7</v>
      </c>
      <c r="F329" s="7">
        <v>6.2629519E7</v>
      </c>
      <c r="G329" s="7">
        <v>6.8907644E7</v>
      </c>
      <c r="H329" s="7">
        <v>3.060959493E9</v>
      </c>
      <c r="I329" s="7">
        <v>1323731.0</v>
      </c>
      <c r="J329" s="7">
        <v>1212096.0</v>
      </c>
      <c r="K329" s="7">
        <v>111635.0</v>
      </c>
      <c r="L329" s="7">
        <v>25.23</v>
      </c>
      <c r="M329" s="7">
        <v>-0.02</v>
      </c>
      <c r="N329" s="7">
        <v>175007.0</v>
      </c>
      <c r="O329" s="7">
        <v>1.8907409E7</v>
      </c>
      <c r="P329" s="7" t="s">
        <v>411</v>
      </c>
      <c r="Q329" s="7">
        <v>5004.02</v>
      </c>
      <c r="R329" s="3">
        <f t="shared" si="1"/>
        <v>10000</v>
      </c>
    </row>
    <row r="330" ht="22.5" customHeight="1">
      <c r="B330" s="7" t="s">
        <v>756</v>
      </c>
      <c r="C330" s="7">
        <v>2401.0</v>
      </c>
      <c r="D330" s="7">
        <v>8594.0</v>
      </c>
      <c r="E330" s="7">
        <v>1.2898591E7</v>
      </c>
      <c r="F330" s="7">
        <v>1.2897112E7</v>
      </c>
      <c r="G330" s="7">
        <v>1.2993369E7</v>
      </c>
      <c r="H330" s="7">
        <v>6.175091965E9</v>
      </c>
      <c r="I330" s="7">
        <v>165241.0</v>
      </c>
      <c r="J330" s="7">
        <v>145246.0</v>
      </c>
      <c r="K330" s="7">
        <v>19995.0</v>
      </c>
      <c r="L330" s="7">
        <v>54.8</v>
      </c>
      <c r="M330" s="7">
        <v>0.0</v>
      </c>
      <c r="N330" s="7">
        <v>31463.0</v>
      </c>
      <c r="O330" s="7">
        <v>5043849.0</v>
      </c>
      <c r="P330" s="7" t="s">
        <v>411</v>
      </c>
      <c r="Q330" s="7">
        <v>5004.06</v>
      </c>
      <c r="R330" s="3">
        <f t="shared" si="1"/>
        <v>10000</v>
      </c>
    </row>
    <row r="331" ht="22.5" customHeight="1">
      <c r="B331" s="7" t="s">
        <v>757</v>
      </c>
      <c r="C331" s="7">
        <v>3082.0</v>
      </c>
      <c r="D331" s="7">
        <v>9870.0</v>
      </c>
      <c r="E331" s="7">
        <v>1.385233E7</v>
      </c>
      <c r="F331" s="7">
        <v>1.371575E7</v>
      </c>
      <c r="G331" s="7">
        <v>2.123014E7</v>
      </c>
      <c r="H331" s="7">
        <v>1.412576406E9</v>
      </c>
      <c r="I331" s="7">
        <v>471435.0</v>
      </c>
      <c r="J331" s="7">
        <v>450059.0</v>
      </c>
      <c r="K331" s="7">
        <v>21376.0</v>
      </c>
      <c r="L331" s="7">
        <v>35.58</v>
      </c>
      <c r="M331" s="7">
        <v>-0.05</v>
      </c>
      <c r="N331" s="7">
        <v>34295.0</v>
      </c>
      <c r="O331" s="7">
        <v>4284041.0</v>
      </c>
      <c r="P331" s="7" t="s">
        <v>411</v>
      </c>
      <c r="Q331" s="7">
        <v>5004.05</v>
      </c>
      <c r="R331" s="3">
        <f t="shared" si="1"/>
        <v>10000</v>
      </c>
    </row>
    <row r="332" ht="22.5" customHeight="1">
      <c r="B332" s="7" t="s">
        <v>758</v>
      </c>
      <c r="C332" s="7">
        <v>2872.0</v>
      </c>
      <c r="D332" s="7">
        <v>10100.0</v>
      </c>
      <c r="E332" s="7">
        <v>1.5637935E7</v>
      </c>
      <c r="F332" s="7">
        <v>1.56362E7</v>
      </c>
      <c r="G332" s="7">
        <v>1.5768555E7</v>
      </c>
      <c r="H332" s="7">
        <v>7.037898341E9</v>
      </c>
      <c r="I332" s="7">
        <v>171354.0</v>
      </c>
      <c r="J332" s="7">
        <v>142905.0</v>
      </c>
      <c r="K332" s="7">
        <v>28449.0</v>
      </c>
      <c r="L332" s="7">
        <v>53.16</v>
      </c>
      <c r="M332" s="7">
        <v>0.0</v>
      </c>
      <c r="N332" s="7">
        <v>44123.0</v>
      </c>
      <c r="O332" s="7">
        <v>5049280.0</v>
      </c>
      <c r="P332" s="7" t="s">
        <v>411</v>
      </c>
      <c r="Q332" s="7">
        <v>5003.93</v>
      </c>
      <c r="R332" s="3">
        <f t="shared" si="1"/>
        <v>10000</v>
      </c>
    </row>
    <row r="333" ht="22.5" customHeight="1">
      <c r="B333" s="7" t="s">
        <v>759</v>
      </c>
      <c r="C333" s="7">
        <v>37147.0</v>
      </c>
      <c r="D333" s="7">
        <v>1090192.0</v>
      </c>
      <c r="E333" s="7">
        <v>1.7263859E7</v>
      </c>
      <c r="F333" s="7">
        <v>1.6981511E7</v>
      </c>
      <c r="G333" s="7">
        <v>2.1536453E7</v>
      </c>
      <c r="H333" s="7">
        <v>1.364136863E9</v>
      </c>
      <c r="I333" s="7">
        <v>422823.0</v>
      </c>
      <c r="J333" s="7">
        <v>389300.0</v>
      </c>
      <c r="K333" s="7">
        <v>33523.0</v>
      </c>
      <c r="L333" s="7">
        <v>122.8</v>
      </c>
      <c r="M333" s="7">
        <v>-0.03</v>
      </c>
      <c r="N333" s="7">
        <v>50255.0</v>
      </c>
      <c r="O333" s="7">
        <v>5738796.0</v>
      </c>
      <c r="P333" s="7" t="s">
        <v>411</v>
      </c>
      <c r="Q333" s="7">
        <v>5004.0</v>
      </c>
      <c r="R333" s="3">
        <f t="shared" si="1"/>
        <v>10000</v>
      </c>
    </row>
    <row r="334" ht="22.5" customHeight="1">
      <c r="B334" s="7" t="s">
        <v>760</v>
      </c>
      <c r="C334" s="7">
        <v>70863.0</v>
      </c>
      <c r="D334" s="7">
        <v>328058.0</v>
      </c>
      <c r="E334" s="7">
        <v>4457850.0</v>
      </c>
      <c r="F334" s="7">
        <v>4329376.0</v>
      </c>
      <c r="G334" s="7">
        <v>9219377.0</v>
      </c>
      <c r="H334" s="7">
        <v>1.7112103959E10</v>
      </c>
      <c r="I334" s="7">
        <v>98805.0</v>
      </c>
      <c r="J334" s="7">
        <v>90009.0</v>
      </c>
      <c r="K334" s="7">
        <v>8796.0</v>
      </c>
      <c r="L334" s="7">
        <v>222.66</v>
      </c>
      <c r="M334" s="7">
        <v>-0.07</v>
      </c>
      <c r="N334" s="7">
        <v>12977.0</v>
      </c>
      <c r="O334" s="7">
        <v>1846620.0</v>
      </c>
      <c r="P334" s="7" t="s">
        <v>411</v>
      </c>
      <c r="Q334" s="7">
        <v>5004.01</v>
      </c>
      <c r="R334" s="3">
        <f t="shared" si="1"/>
        <v>10000</v>
      </c>
    </row>
    <row r="335" ht="22.5" customHeight="1">
      <c r="B335" s="7" t="s">
        <v>763</v>
      </c>
      <c r="C335" s="7">
        <v>2926.0</v>
      </c>
      <c r="D335" s="7">
        <v>9471.0</v>
      </c>
      <c r="E335" s="7">
        <v>1.4035629E7</v>
      </c>
      <c r="F335" s="7">
        <v>1.3893158E7</v>
      </c>
      <c r="G335" s="7">
        <v>2.1412203E7</v>
      </c>
      <c r="H335" s="7">
        <v>1.40298221E9</v>
      </c>
      <c r="I335" s="7">
        <v>477558.0</v>
      </c>
      <c r="J335" s="7">
        <v>456063.0</v>
      </c>
      <c r="K335" s="7">
        <v>21495.0</v>
      </c>
      <c r="L335" s="7">
        <v>35.88</v>
      </c>
      <c r="M335" s="7">
        <v>-0.05</v>
      </c>
      <c r="N335" s="7">
        <v>34698.0</v>
      </c>
      <c r="O335" s="7">
        <v>4253718.0</v>
      </c>
      <c r="P335" s="7" t="s">
        <v>411</v>
      </c>
      <c r="Q335" s="7">
        <v>5004.05</v>
      </c>
      <c r="R335" s="3">
        <f t="shared" si="1"/>
        <v>10000</v>
      </c>
    </row>
    <row r="336" ht="22.5" customHeight="1">
      <c r="B336" s="7" t="s">
        <v>605</v>
      </c>
      <c r="C336" s="7">
        <v>72456.0</v>
      </c>
      <c r="D336" s="7">
        <v>108086.0</v>
      </c>
      <c r="E336" s="7">
        <v>6518740.0</v>
      </c>
      <c r="F336" s="7">
        <v>6368455.0</v>
      </c>
      <c r="G336" s="7">
        <v>2.1734755E7</v>
      </c>
      <c r="H336" s="7">
        <v>9.516516497E9</v>
      </c>
      <c r="I336" s="7">
        <v>256401.0</v>
      </c>
      <c r="J336" s="7">
        <v>248884.0</v>
      </c>
      <c r="K336" s="7">
        <v>7517.0</v>
      </c>
      <c r="L336" s="7">
        <v>75.14</v>
      </c>
      <c r="M336" s="7">
        <v>-0.07</v>
      </c>
      <c r="N336" s="7">
        <v>11717.0</v>
      </c>
      <c r="O336" s="7">
        <v>3634372.0</v>
      </c>
      <c r="P336" s="7" t="s">
        <v>411</v>
      </c>
      <c r="Q336" s="7">
        <v>5004.04</v>
      </c>
      <c r="R336" s="3">
        <f t="shared" si="1"/>
        <v>10000</v>
      </c>
    </row>
    <row r="337" ht="22.5" customHeight="1">
      <c r="B337" s="7" t="s">
        <v>764</v>
      </c>
      <c r="C337" s="7">
        <v>2651.0</v>
      </c>
      <c r="D337" s="7">
        <v>9468.0</v>
      </c>
      <c r="E337" s="7">
        <v>1.073761E7</v>
      </c>
      <c r="F337" s="7">
        <v>1.0736226E7</v>
      </c>
      <c r="G337" s="7">
        <v>1.0823982E7</v>
      </c>
      <c r="H337" s="7">
        <v>6.534101616E9</v>
      </c>
      <c r="I337" s="7">
        <v>172592.0</v>
      </c>
      <c r="J337" s="7">
        <v>158581.0</v>
      </c>
      <c r="K337" s="7">
        <v>14011.0</v>
      </c>
      <c r="L337" s="7">
        <v>54.11</v>
      </c>
      <c r="M337" s="7">
        <v>0.0</v>
      </c>
      <c r="N337" s="7">
        <v>22145.0</v>
      </c>
      <c r="O337" s="7">
        <v>5002968.0</v>
      </c>
      <c r="P337" s="7" t="s">
        <v>411</v>
      </c>
      <c r="Q337" s="7">
        <v>5004.05</v>
      </c>
      <c r="R337" s="3">
        <f t="shared" si="1"/>
        <v>10000</v>
      </c>
    </row>
    <row r="338" ht="22.5" customHeight="1">
      <c r="B338" s="7" t="s">
        <v>765</v>
      </c>
      <c r="C338" s="7">
        <v>73616.0</v>
      </c>
      <c r="D338" s="7">
        <v>609154.0</v>
      </c>
      <c r="E338" s="7">
        <v>1.2711278E7</v>
      </c>
      <c r="F338" s="7">
        <v>1.2363808E7</v>
      </c>
      <c r="G338" s="7">
        <v>4.6410697E7</v>
      </c>
      <c r="H338" s="7">
        <v>8.300463062E9</v>
      </c>
      <c r="I338" s="7">
        <v>441930.0</v>
      </c>
      <c r="J338" s="7">
        <v>421806.0</v>
      </c>
      <c r="K338" s="7">
        <v>20124.0</v>
      </c>
      <c r="L338" s="7">
        <v>53.54</v>
      </c>
      <c r="M338" s="7">
        <v>-0.12</v>
      </c>
      <c r="N338" s="7">
        <v>31262.0</v>
      </c>
      <c r="O338" s="7">
        <v>8673625.0</v>
      </c>
      <c r="P338" s="7" t="s">
        <v>411</v>
      </c>
      <c r="Q338" s="7">
        <v>5004.04</v>
      </c>
      <c r="R338" s="3">
        <f t="shared" si="1"/>
        <v>10000</v>
      </c>
    </row>
    <row r="339" ht="22.5" customHeight="1">
      <c r="B339" s="7" t="s">
        <v>766</v>
      </c>
      <c r="C339" s="7">
        <v>720.0</v>
      </c>
      <c r="D339" s="7">
        <v>33140.0</v>
      </c>
      <c r="E339" s="7">
        <v>2.723927E7</v>
      </c>
      <c r="F339" s="7">
        <v>2.6996896E7</v>
      </c>
      <c r="G339" s="7">
        <v>3.2370121E7</v>
      </c>
      <c r="H339" s="7">
        <v>3.70562205E8</v>
      </c>
      <c r="I339" s="7">
        <v>972594.0</v>
      </c>
      <c r="J339" s="7">
        <v>934024.0</v>
      </c>
      <c r="K339" s="7">
        <v>38570.0</v>
      </c>
      <c r="L339" s="7">
        <v>223.68</v>
      </c>
      <c r="M339" s="7">
        <v>-0.02</v>
      </c>
      <c r="N339" s="7">
        <v>55221.0</v>
      </c>
      <c r="O339" s="7">
        <v>1.3751309E7</v>
      </c>
      <c r="P339" s="7" t="s">
        <v>411</v>
      </c>
      <c r="Q339" s="7">
        <v>5004.04</v>
      </c>
      <c r="R339" s="3">
        <f t="shared" si="1"/>
        <v>10000</v>
      </c>
    </row>
    <row r="340" ht="22.5" customHeight="1">
      <c r="B340" s="7" t="s">
        <v>767</v>
      </c>
      <c r="C340" s="7">
        <v>3037.0</v>
      </c>
      <c r="D340" s="7">
        <v>9749.0</v>
      </c>
      <c r="E340" s="7">
        <v>1.188005E7</v>
      </c>
      <c r="F340" s="7">
        <v>1.1758865E7</v>
      </c>
      <c r="G340" s="7">
        <v>1.981168E7</v>
      </c>
      <c r="H340" s="7">
        <v>1.228476968E9</v>
      </c>
      <c r="I340" s="7">
        <v>477934.0</v>
      </c>
      <c r="J340" s="7">
        <v>461437.0</v>
      </c>
      <c r="K340" s="7">
        <v>16497.0</v>
      </c>
      <c r="L340" s="7">
        <v>35.47</v>
      </c>
      <c r="M340" s="7">
        <v>-0.06</v>
      </c>
      <c r="N340" s="7">
        <v>26380.0</v>
      </c>
      <c r="O340" s="7">
        <v>4261020.0</v>
      </c>
      <c r="P340" s="7" t="s">
        <v>411</v>
      </c>
      <c r="Q340" s="7">
        <v>5004.08</v>
      </c>
      <c r="R340" s="3">
        <f t="shared" si="1"/>
        <v>10000</v>
      </c>
    </row>
    <row r="341" ht="22.5" customHeight="1">
      <c r="B341" s="7" t="s">
        <v>768</v>
      </c>
      <c r="C341" s="7">
        <v>3660.0</v>
      </c>
      <c r="D341" s="7">
        <v>109922.0</v>
      </c>
      <c r="E341" s="7">
        <v>1.3116684E7</v>
      </c>
      <c r="F341" s="7">
        <v>1.2950965E7</v>
      </c>
      <c r="G341" s="7">
        <v>1.5058928E7</v>
      </c>
      <c r="H341" s="7">
        <v>8.17075603E8</v>
      </c>
      <c r="I341" s="7">
        <v>335082.0</v>
      </c>
      <c r="J341" s="7">
        <v>308316.0</v>
      </c>
      <c r="K341" s="7">
        <v>26766.0</v>
      </c>
      <c r="L341" s="7">
        <v>452.51</v>
      </c>
      <c r="M341" s="7">
        <v>-0.02</v>
      </c>
      <c r="N341" s="7">
        <v>38452.0</v>
      </c>
      <c r="O341" s="7">
        <v>4719270.0</v>
      </c>
      <c r="P341" s="7" t="s">
        <v>411</v>
      </c>
      <c r="Q341" s="7">
        <v>5004.01</v>
      </c>
      <c r="R341" s="3">
        <f t="shared" si="1"/>
        <v>10000</v>
      </c>
    </row>
    <row r="342" ht="22.5" customHeight="1">
      <c r="B342" s="7" t="s">
        <v>769</v>
      </c>
      <c r="C342" s="7">
        <v>1647000.0</v>
      </c>
      <c r="D342" s="7">
        <v>8989143.0</v>
      </c>
      <c r="E342" s="7">
        <v>1852303.0</v>
      </c>
      <c r="F342" s="7">
        <v>1768555.0</v>
      </c>
      <c r="G342" s="7">
        <v>8418284.0</v>
      </c>
      <c r="H342" s="7">
        <v>1.6113819531E10</v>
      </c>
      <c r="I342" s="7">
        <v>78482.0</v>
      </c>
      <c r="J342" s="7">
        <v>76369.0</v>
      </c>
      <c r="K342" s="7">
        <v>2113.0</v>
      </c>
      <c r="L342" s="7">
        <v>202.81</v>
      </c>
      <c r="M342" s="7">
        <v>-0.1</v>
      </c>
      <c r="N342" s="7">
        <v>3155.0</v>
      </c>
      <c r="O342" s="7">
        <v>1416698.0</v>
      </c>
      <c r="P342" s="7" t="s">
        <v>411</v>
      </c>
      <c r="Q342" s="7">
        <v>5003.89</v>
      </c>
      <c r="R342" s="3">
        <f t="shared" si="1"/>
        <v>10000</v>
      </c>
    </row>
    <row r="343" ht="22.5" customHeight="1">
      <c r="B343" s="7" t="s">
        <v>770</v>
      </c>
      <c r="C343" s="7">
        <v>5250.0</v>
      </c>
      <c r="D343" s="7">
        <v>375450.0</v>
      </c>
      <c r="E343" s="7">
        <v>1.0914167E7</v>
      </c>
      <c r="F343" s="7">
        <v>1.0836502E7</v>
      </c>
      <c r="G343" s="7">
        <v>1.1700788E7</v>
      </c>
      <c r="H343" s="7">
        <v>1.65021692E8</v>
      </c>
      <c r="I343" s="7">
        <v>67693.0</v>
      </c>
      <c r="J343" s="7">
        <v>49356.0</v>
      </c>
      <c r="K343" s="7">
        <v>18337.0</v>
      </c>
      <c r="L343" s="7">
        <v>680.9</v>
      </c>
      <c r="M343" s="7">
        <v>-0.01</v>
      </c>
      <c r="N343" s="7">
        <v>26681.0</v>
      </c>
      <c r="O343" s="7">
        <v>5436402.0</v>
      </c>
      <c r="P343" s="7" t="s">
        <v>411</v>
      </c>
      <c r="Q343" s="7">
        <v>5003.87</v>
      </c>
      <c r="R343" s="3">
        <f t="shared" si="1"/>
        <v>10000</v>
      </c>
    </row>
    <row r="344" ht="22.5" customHeight="1">
      <c r="B344" s="7" t="s">
        <v>771</v>
      </c>
      <c r="C344" s="7">
        <v>1200.0</v>
      </c>
      <c r="D344" s="7">
        <v>21040.0</v>
      </c>
      <c r="E344" s="7">
        <v>2.1546028E7</v>
      </c>
      <c r="F344" s="7">
        <v>2.1429468E7</v>
      </c>
      <c r="G344" s="7">
        <v>5.0684916E7</v>
      </c>
      <c r="H344" s="7">
        <v>2.469602563E9</v>
      </c>
      <c r="I344" s="7">
        <v>542106.0</v>
      </c>
      <c r="J344" s="7">
        <v>512371.0</v>
      </c>
      <c r="K344" s="7">
        <v>29735.0</v>
      </c>
      <c r="L344" s="7">
        <v>65.6</v>
      </c>
      <c r="M344" s="7">
        <v>-0.04</v>
      </c>
      <c r="N344" s="7">
        <v>46537.0</v>
      </c>
      <c r="O344" s="7">
        <v>9583864.0</v>
      </c>
      <c r="P344" s="7" t="s">
        <v>411</v>
      </c>
      <c r="Q344" s="7">
        <v>5003.99</v>
      </c>
      <c r="R344" s="3">
        <f t="shared" si="1"/>
        <v>10000</v>
      </c>
    </row>
    <row r="345" ht="22.5" customHeight="1">
      <c r="B345" s="7" t="s">
        <v>772</v>
      </c>
      <c r="C345" s="7">
        <v>15364.0</v>
      </c>
      <c r="D345" s="7">
        <v>2133489.0</v>
      </c>
      <c r="E345" s="7">
        <v>8009047.0</v>
      </c>
      <c r="F345" s="7">
        <v>7696631.0</v>
      </c>
      <c r="G345" s="7">
        <v>2.5370277E7</v>
      </c>
      <c r="H345" s="7">
        <v>3.977337283E9</v>
      </c>
      <c r="I345" s="7">
        <v>365993.0</v>
      </c>
      <c r="J345" s="7">
        <v>358207.0</v>
      </c>
      <c r="K345" s="7">
        <v>7786.0</v>
      </c>
      <c r="L345" s="7">
        <v>94.76</v>
      </c>
      <c r="M345" s="7">
        <v>-0.1</v>
      </c>
      <c r="N345" s="7">
        <v>11976.0</v>
      </c>
      <c r="O345" s="7">
        <v>5655269.0</v>
      </c>
      <c r="P345" s="7" t="s">
        <v>411</v>
      </c>
      <c r="Q345" s="7">
        <v>5003.94</v>
      </c>
      <c r="R345" s="3">
        <f t="shared" si="1"/>
        <v>10000</v>
      </c>
    </row>
    <row r="346" ht="22.5" customHeight="1">
      <c r="B346" s="7" t="s">
        <v>773</v>
      </c>
      <c r="C346" s="7">
        <v>1200.0</v>
      </c>
      <c r="D346" s="7">
        <v>21040.0</v>
      </c>
      <c r="E346" s="7">
        <v>2.0951625E7</v>
      </c>
      <c r="F346" s="7">
        <v>2.0855527E7</v>
      </c>
      <c r="G346" s="7">
        <v>5.4820737E7</v>
      </c>
      <c r="H346" s="7">
        <v>2.265609189E9</v>
      </c>
      <c r="I346" s="7">
        <v>713675.0</v>
      </c>
      <c r="J346" s="7">
        <v>683128.0</v>
      </c>
      <c r="K346" s="7">
        <v>30547.0</v>
      </c>
      <c r="L346" s="7">
        <v>65.25</v>
      </c>
      <c r="M346" s="7">
        <v>-0.04</v>
      </c>
      <c r="N346" s="7">
        <v>47349.0</v>
      </c>
      <c r="O346" s="7">
        <v>8486334.0</v>
      </c>
      <c r="P346" s="7" t="s">
        <v>411</v>
      </c>
      <c r="Q346" s="7">
        <v>5003.99</v>
      </c>
      <c r="R346" s="3">
        <f t="shared" si="1"/>
        <v>10000</v>
      </c>
    </row>
    <row r="347" ht="22.5" customHeight="1">
      <c r="B347" s="7" t="s">
        <v>774</v>
      </c>
      <c r="C347" s="7">
        <v>19484.0</v>
      </c>
      <c r="D347" s="7">
        <v>270088.0</v>
      </c>
      <c r="E347" s="7">
        <v>3.9906748E7</v>
      </c>
      <c r="F347" s="7">
        <v>3.9077454E7</v>
      </c>
      <c r="G347" s="7">
        <v>5.7309392E7</v>
      </c>
      <c r="H347" s="7">
        <v>2.71069075E9</v>
      </c>
      <c r="I347" s="7">
        <v>1184552.0</v>
      </c>
      <c r="J347" s="7">
        <v>1121712.0</v>
      </c>
      <c r="K347" s="7">
        <v>62840.0</v>
      </c>
      <c r="L347" s="7">
        <v>83.56</v>
      </c>
      <c r="M347" s="7">
        <v>-0.04</v>
      </c>
      <c r="N347" s="7">
        <v>90371.0</v>
      </c>
      <c r="O347" s="7">
        <v>2.2623525E7</v>
      </c>
      <c r="P347" s="7" t="s">
        <v>411</v>
      </c>
      <c r="Q347" s="7">
        <v>5003.8</v>
      </c>
      <c r="R347" s="3">
        <f t="shared" si="1"/>
        <v>10000</v>
      </c>
    </row>
    <row r="348" ht="22.5" customHeight="1">
      <c r="B348" s="7" t="s">
        <v>775</v>
      </c>
      <c r="C348" s="7">
        <v>1866.0</v>
      </c>
      <c r="D348" s="7">
        <v>6958.0</v>
      </c>
      <c r="E348" s="7">
        <v>1.372521E7</v>
      </c>
      <c r="F348" s="7">
        <v>1.3724835E7</v>
      </c>
      <c r="G348" s="7">
        <v>1.3797809E7</v>
      </c>
      <c r="H348" s="7">
        <v>7.803238866E9</v>
      </c>
      <c r="I348" s="7">
        <v>166549.0</v>
      </c>
      <c r="J348" s="7">
        <v>145102.0</v>
      </c>
      <c r="K348" s="7">
        <v>21447.0</v>
      </c>
      <c r="L348" s="7">
        <v>58.38</v>
      </c>
      <c r="M348" s="7">
        <v>0.0</v>
      </c>
      <c r="N348" s="7">
        <v>34196.0</v>
      </c>
      <c r="O348" s="7">
        <v>5043686.0</v>
      </c>
      <c r="P348" s="7" t="s">
        <v>411</v>
      </c>
      <c r="Q348" s="7">
        <v>5003.99</v>
      </c>
      <c r="R348" s="3">
        <f t="shared" si="1"/>
        <v>10000</v>
      </c>
    </row>
    <row r="349" ht="22.5" customHeight="1">
      <c r="B349" s="7" t="s">
        <v>776</v>
      </c>
      <c r="C349" s="7">
        <v>1176896.0</v>
      </c>
      <c r="D349" s="7">
        <v>9194910.0</v>
      </c>
      <c r="E349" s="7">
        <v>1653366.0</v>
      </c>
      <c r="F349" s="7">
        <v>1590023.0</v>
      </c>
      <c r="G349" s="7">
        <v>8961843.0</v>
      </c>
      <c r="H349" s="7">
        <v>1.9567100837E10</v>
      </c>
      <c r="I349" s="7">
        <v>73334.0</v>
      </c>
      <c r="J349" s="7">
        <v>71405.0</v>
      </c>
      <c r="K349" s="7">
        <v>1929.0</v>
      </c>
      <c r="L349" s="7">
        <v>123.66</v>
      </c>
      <c r="M349" s="7">
        <v>-0.13</v>
      </c>
      <c r="N349" s="7">
        <v>2979.0</v>
      </c>
      <c r="O349" s="7">
        <v>1510235.0</v>
      </c>
      <c r="P349" s="7" t="s">
        <v>411</v>
      </c>
      <c r="Q349" s="7">
        <v>5004.76</v>
      </c>
      <c r="R349" s="3">
        <f t="shared" si="1"/>
        <v>10000</v>
      </c>
    </row>
    <row r="350" ht="22.5" customHeight="1">
      <c r="B350" s="7" t="s">
        <v>777</v>
      </c>
      <c r="C350" s="7">
        <v>210.0</v>
      </c>
      <c r="D350" s="7">
        <v>4011.0</v>
      </c>
      <c r="E350" s="7">
        <v>5.1331345E7</v>
      </c>
      <c r="F350" s="7">
        <v>5.1126275E7</v>
      </c>
      <c r="G350" s="7">
        <v>5.3782711E7</v>
      </c>
      <c r="H350" s="7">
        <v>4.62158401E8</v>
      </c>
      <c r="I350" s="7">
        <v>1231750.0</v>
      </c>
      <c r="J350" s="7">
        <v>1146011.0</v>
      </c>
      <c r="K350" s="7">
        <v>85739.0</v>
      </c>
      <c r="L350" s="7">
        <v>41.62</v>
      </c>
      <c r="M350" s="7">
        <v>-0.01</v>
      </c>
      <c r="N350" s="7">
        <v>130984.0</v>
      </c>
      <c r="O350" s="7">
        <v>1.9034777E7</v>
      </c>
      <c r="P350" s="7" t="s">
        <v>411</v>
      </c>
      <c r="Q350" s="7">
        <v>5003.99</v>
      </c>
      <c r="R350" s="3">
        <f t="shared" si="1"/>
        <v>10000</v>
      </c>
    </row>
    <row r="351" ht="22.5" customHeight="1">
      <c r="B351" s="7" t="s">
        <v>778</v>
      </c>
      <c r="C351" s="7">
        <v>16520.0</v>
      </c>
      <c r="D351" s="7">
        <v>201461.0</v>
      </c>
      <c r="E351" s="7">
        <v>2.9119061E7</v>
      </c>
      <c r="F351" s="7">
        <v>2.8498872E7</v>
      </c>
      <c r="G351" s="7">
        <v>4.3952403E7</v>
      </c>
      <c r="H351" s="7">
        <v>1.920974006E9</v>
      </c>
      <c r="I351" s="7">
        <v>973698.0</v>
      </c>
      <c r="J351" s="7">
        <v>935270.0</v>
      </c>
      <c r="K351" s="7">
        <v>38428.0</v>
      </c>
      <c r="L351" s="7">
        <v>88.9</v>
      </c>
      <c r="M351" s="7">
        <v>-0.04</v>
      </c>
      <c r="N351" s="7">
        <v>55071.0</v>
      </c>
      <c r="O351" s="7">
        <v>1.9245505E7</v>
      </c>
      <c r="P351" s="7" t="s">
        <v>411</v>
      </c>
      <c r="Q351" s="7">
        <v>5003.89</v>
      </c>
      <c r="R351" s="3">
        <f t="shared" si="1"/>
        <v>10000</v>
      </c>
    </row>
    <row r="352" ht="22.5" customHeight="1">
      <c r="B352" s="7" t="s">
        <v>779</v>
      </c>
      <c r="C352" s="7">
        <v>2700.0</v>
      </c>
      <c r="D352" s="7">
        <v>30752.0</v>
      </c>
      <c r="E352" s="7">
        <v>4.5058883E7</v>
      </c>
      <c r="F352" s="7">
        <v>4.4854153E7</v>
      </c>
      <c r="G352" s="7">
        <v>4.8657899E7</v>
      </c>
      <c r="H352" s="7">
        <v>2.517337393E9</v>
      </c>
      <c r="I352" s="7">
        <v>1345759.0</v>
      </c>
      <c r="J352" s="7">
        <v>1272082.0</v>
      </c>
      <c r="K352" s="7">
        <v>73677.0</v>
      </c>
      <c r="L352" s="7">
        <v>40.92</v>
      </c>
      <c r="M352" s="7">
        <v>-0.02</v>
      </c>
      <c r="N352" s="7">
        <v>109255.0</v>
      </c>
      <c r="O352" s="7">
        <v>1.8523937E7</v>
      </c>
      <c r="P352" s="7" t="s">
        <v>411</v>
      </c>
      <c r="Q352" s="7">
        <v>5003.96</v>
      </c>
      <c r="R352" s="3">
        <f t="shared" si="1"/>
        <v>10000</v>
      </c>
    </row>
    <row r="353" ht="22.5" customHeight="1">
      <c r="B353" s="7" t="s">
        <v>780</v>
      </c>
      <c r="C353" s="7">
        <v>35119.0</v>
      </c>
      <c r="D353" s="7">
        <v>992014.0</v>
      </c>
      <c r="E353" s="7">
        <v>1.5524182E7</v>
      </c>
      <c r="F353" s="7">
        <v>1.5301838E7</v>
      </c>
      <c r="G353" s="7">
        <v>1.8759323E7</v>
      </c>
      <c r="H353" s="7">
        <v>9.91072692E8</v>
      </c>
      <c r="I353" s="7">
        <v>390486.0</v>
      </c>
      <c r="J353" s="7">
        <v>360428.0</v>
      </c>
      <c r="K353" s="7">
        <v>30058.0</v>
      </c>
      <c r="L353" s="7">
        <v>110.83</v>
      </c>
      <c r="M353" s="7">
        <v>-0.02</v>
      </c>
      <c r="N353" s="7">
        <v>45481.0</v>
      </c>
      <c r="O353" s="7">
        <v>4822341.0</v>
      </c>
      <c r="P353" s="7" t="s">
        <v>411</v>
      </c>
      <c r="Q353" s="7">
        <v>5003.94</v>
      </c>
      <c r="R353" s="3">
        <f t="shared" si="1"/>
        <v>10000</v>
      </c>
    </row>
    <row r="354" ht="22.5" customHeight="1">
      <c r="B354" s="7" t="s">
        <v>781</v>
      </c>
      <c r="C354" s="7">
        <v>63882.0</v>
      </c>
      <c r="D354" s="7">
        <v>123981.0</v>
      </c>
      <c r="E354" s="7">
        <v>2.8158311E7</v>
      </c>
      <c r="F354" s="7">
        <v>2.7784459E7</v>
      </c>
      <c r="G354" s="7">
        <v>2.83342843E8</v>
      </c>
      <c r="H354" s="7">
        <v>2.111859592E9</v>
      </c>
      <c r="I354" s="7">
        <v>1430889.0</v>
      </c>
      <c r="J354" s="7">
        <v>1399092.0</v>
      </c>
      <c r="K354" s="7">
        <v>31797.0</v>
      </c>
      <c r="L354" s="7">
        <v>19.27</v>
      </c>
      <c r="M354" s="7">
        <v>-0.11</v>
      </c>
      <c r="N354" s="7">
        <v>48582.0</v>
      </c>
      <c r="O354" s="7">
        <v>4.107185E7</v>
      </c>
      <c r="P354" s="7" t="s">
        <v>411</v>
      </c>
      <c r="Q354" s="7">
        <v>5003.91</v>
      </c>
      <c r="R354" s="3">
        <f t="shared" si="1"/>
        <v>10000</v>
      </c>
    </row>
    <row r="355" ht="22.5" customHeight="1">
      <c r="B355" s="7" t="s">
        <v>782</v>
      </c>
      <c r="C355" s="7">
        <v>385857.0</v>
      </c>
      <c r="D355" s="7">
        <v>1216215.0</v>
      </c>
      <c r="E355" s="7">
        <v>1.2180585E7</v>
      </c>
      <c r="F355" s="7">
        <v>1.1767531E7</v>
      </c>
      <c r="G355" s="7">
        <v>2.5569364E7</v>
      </c>
      <c r="H355" s="7">
        <v>4.138024027E9</v>
      </c>
      <c r="I355" s="7">
        <v>304870.0</v>
      </c>
      <c r="J355" s="7">
        <v>285242.0</v>
      </c>
      <c r="K355" s="7">
        <v>19628.0</v>
      </c>
      <c r="L355" s="7">
        <v>60.98</v>
      </c>
      <c r="M355" s="7">
        <v>-0.06</v>
      </c>
      <c r="N355" s="7">
        <v>29932.0</v>
      </c>
      <c r="O355" s="7">
        <v>5487037.0</v>
      </c>
      <c r="P355" s="7" t="s">
        <v>411</v>
      </c>
      <c r="Q355" s="7">
        <v>5003.95</v>
      </c>
      <c r="R355" s="3">
        <f t="shared" si="1"/>
        <v>10000</v>
      </c>
    </row>
    <row r="356" ht="22.5" customHeight="1">
      <c r="B356" s="7" t="s">
        <v>783</v>
      </c>
      <c r="C356" s="7">
        <v>597850.0</v>
      </c>
      <c r="D356" s="7">
        <v>4571725.0</v>
      </c>
      <c r="E356" s="7">
        <v>3177657.0</v>
      </c>
      <c r="F356" s="7">
        <v>3036683.0</v>
      </c>
      <c r="G356" s="7">
        <v>4.3244116E7</v>
      </c>
      <c r="H356" s="7">
        <v>6.098721542E9</v>
      </c>
      <c r="I356" s="7">
        <v>98922.0</v>
      </c>
      <c r="J356" s="7">
        <v>93226.0</v>
      </c>
      <c r="K356" s="7">
        <v>5696.0</v>
      </c>
      <c r="L356" s="7">
        <v>545.75</v>
      </c>
      <c r="M356" s="7">
        <v>-0.17</v>
      </c>
      <c r="N356" s="7">
        <v>8475.0</v>
      </c>
      <c r="O356" s="7">
        <v>6600240.0</v>
      </c>
      <c r="P356" s="7" t="s">
        <v>411</v>
      </c>
      <c r="Q356" s="7">
        <v>5003.82</v>
      </c>
      <c r="R356" s="3">
        <f t="shared" si="1"/>
        <v>10000</v>
      </c>
    </row>
    <row r="357" ht="22.5" customHeight="1">
      <c r="B357" s="7" t="s">
        <v>784</v>
      </c>
      <c r="C357" s="7">
        <v>21734.0</v>
      </c>
      <c r="D357" s="7">
        <v>78990.0</v>
      </c>
      <c r="E357" s="7">
        <v>2.3084922E7</v>
      </c>
      <c r="F357" s="7">
        <v>2.274827E7</v>
      </c>
      <c r="G357" s="7">
        <v>9.1019979E7</v>
      </c>
      <c r="H357" s="7">
        <v>4.22385112E9</v>
      </c>
      <c r="I357" s="7">
        <v>1017997.0</v>
      </c>
      <c r="J357" s="7">
        <v>984661.0</v>
      </c>
      <c r="K357" s="7">
        <v>33336.0</v>
      </c>
      <c r="L357" s="7">
        <v>52.74</v>
      </c>
      <c r="M357" s="7">
        <v>-0.1</v>
      </c>
      <c r="N357" s="7">
        <v>50100.0</v>
      </c>
      <c r="O357" s="7">
        <v>1.3355225E7</v>
      </c>
      <c r="P357" s="7" t="s">
        <v>411</v>
      </c>
      <c r="Q357" s="7">
        <v>5003.94</v>
      </c>
      <c r="R357" s="3">
        <f t="shared" si="1"/>
        <v>10000</v>
      </c>
    </row>
    <row r="358" ht="22.5" customHeight="1">
      <c r="B358" s="7" t="s">
        <v>785</v>
      </c>
      <c r="C358" s="7">
        <v>4040.0</v>
      </c>
      <c r="D358" s="7">
        <v>202202.0</v>
      </c>
      <c r="E358" s="7">
        <v>1.222595E7</v>
      </c>
      <c r="F358" s="7">
        <v>1.2055315E7</v>
      </c>
      <c r="G358" s="7">
        <v>1.4172908E7</v>
      </c>
      <c r="H358" s="7">
        <v>1.178204032E9</v>
      </c>
      <c r="I358" s="7">
        <v>294725.0</v>
      </c>
      <c r="J358" s="7">
        <v>270491.0</v>
      </c>
      <c r="K358" s="7">
        <v>24234.0</v>
      </c>
      <c r="L358" s="7">
        <v>259.93</v>
      </c>
      <c r="M358" s="7">
        <v>-0.02</v>
      </c>
      <c r="N358" s="7">
        <v>34548.0</v>
      </c>
      <c r="O358" s="7">
        <v>4817886.0</v>
      </c>
      <c r="P358" s="7" t="s">
        <v>411</v>
      </c>
      <c r="Q358" s="7">
        <v>5003.91</v>
      </c>
      <c r="R358" s="3">
        <f t="shared" si="1"/>
        <v>10000</v>
      </c>
    </row>
    <row r="359" ht="22.5" customHeight="1">
      <c r="B359" s="7" t="s">
        <v>786</v>
      </c>
      <c r="C359" s="7">
        <v>134810.0</v>
      </c>
      <c r="D359" s="7">
        <v>2541120.0</v>
      </c>
      <c r="E359" s="7">
        <v>688650.0</v>
      </c>
      <c r="F359" s="7">
        <v>668669.0</v>
      </c>
      <c r="G359" s="7">
        <v>1684727.0</v>
      </c>
      <c r="H359" s="7">
        <v>6.133233017E9</v>
      </c>
      <c r="I359" s="7">
        <v>28740.0</v>
      </c>
      <c r="J359" s="7">
        <v>27822.0</v>
      </c>
      <c r="K359" s="7">
        <v>918.0</v>
      </c>
      <c r="L359" s="7">
        <v>30.44</v>
      </c>
      <c r="M359" s="7">
        <v>-0.1</v>
      </c>
      <c r="N359" s="7">
        <v>1455.0</v>
      </c>
      <c r="O359" s="7">
        <v>360043.0</v>
      </c>
      <c r="P359" s="7" t="s">
        <v>411</v>
      </c>
      <c r="Q359" s="7">
        <v>5003.87</v>
      </c>
      <c r="R359" s="3">
        <f t="shared" si="1"/>
        <v>10000</v>
      </c>
    </row>
    <row r="360" ht="22.5" customHeight="1">
      <c r="B360" s="7" t="s">
        <v>787</v>
      </c>
      <c r="C360" s="7">
        <v>551880.0</v>
      </c>
      <c r="D360" s="7">
        <v>7941144.0</v>
      </c>
      <c r="E360" s="7">
        <v>5640036.0</v>
      </c>
      <c r="F360" s="7">
        <v>5525370.0</v>
      </c>
      <c r="G360" s="7">
        <v>6525584.0</v>
      </c>
      <c r="H360" s="7">
        <v>2.0262514999E10</v>
      </c>
      <c r="I360" s="7">
        <v>142468.0</v>
      </c>
      <c r="J360" s="7">
        <v>134378.0</v>
      </c>
      <c r="K360" s="7">
        <v>8090.0</v>
      </c>
      <c r="L360" s="7">
        <v>31.65</v>
      </c>
      <c r="M360" s="7">
        <v>-0.02</v>
      </c>
      <c r="N360" s="7">
        <v>12285.0</v>
      </c>
      <c r="O360" s="7">
        <v>2852685.0</v>
      </c>
      <c r="P360" s="7" t="s">
        <v>411</v>
      </c>
      <c r="Q360" s="7">
        <v>5006.25</v>
      </c>
      <c r="R360" s="3">
        <f t="shared" si="1"/>
        <v>10000</v>
      </c>
    </row>
    <row r="361" ht="22.5" customHeight="1">
      <c r="B361" s="7" t="s">
        <v>788</v>
      </c>
      <c r="C361" s="7">
        <v>336.0</v>
      </c>
      <c r="D361" s="7">
        <v>10430.0</v>
      </c>
      <c r="E361" s="7">
        <v>2.8287191E7</v>
      </c>
      <c r="F361" s="7">
        <v>2.8039992E7</v>
      </c>
      <c r="G361" s="7">
        <v>3.4402012E7</v>
      </c>
      <c r="H361" s="7">
        <v>3.92286875E8</v>
      </c>
      <c r="I361" s="7">
        <v>1140451.0</v>
      </c>
      <c r="J361" s="7">
        <v>1101914.0</v>
      </c>
      <c r="K361" s="7">
        <v>38537.0</v>
      </c>
      <c r="L361" s="7">
        <v>86.21</v>
      </c>
      <c r="M361" s="7">
        <v>-0.02</v>
      </c>
      <c r="N361" s="7">
        <v>55186.0</v>
      </c>
      <c r="O361" s="7">
        <v>1.4130706E7</v>
      </c>
      <c r="P361" s="7" t="s">
        <v>411</v>
      </c>
      <c r="Q361" s="7">
        <v>5004.0</v>
      </c>
      <c r="R361" s="3">
        <f t="shared" si="1"/>
        <v>10000</v>
      </c>
    </row>
    <row r="362" ht="22.5" customHeight="1">
      <c r="B362" s="7" t="s">
        <v>789</v>
      </c>
      <c r="C362" s="7">
        <v>56108.0</v>
      </c>
      <c r="D362" s="7">
        <v>208888.0</v>
      </c>
      <c r="E362" s="7">
        <v>1459179.0</v>
      </c>
      <c r="F362" s="7">
        <v>1427954.0</v>
      </c>
      <c r="G362" s="7">
        <v>3038658.0</v>
      </c>
      <c r="H362" s="7">
        <v>7.438145957E9</v>
      </c>
      <c r="I362" s="7">
        <v>77867.0</v>
      </c>
      <c r="J362" s="7">
        <v>75641.0</v>
      </c>
      <c r="K362" s="7">
        <v>2226.0</v>
      </c>
      <c r="L362" s="7">
        <v>108.33</v>
      </c>
      <c r="M362" s="7">
        <v>-0.06</v>
      </c>
      <c r="N362" s="7">
        <v>3274.0</v>
      </c>
      <c r="O362" s="7">
        <v>631362.0</v>
      </c>
      <c r="P362" s="7" t="s">
        <v>411</v>
      </c>
      <c r="Q362" s="7">
        <v>5003.99</v>
      </c>
      <c r="R362" s="3">
        <f t="shared" si="1"/>
        <v>10000</v>
      </c>
    </row>
    <row r="363" ht="22.5" customHeight="1">
      <c r="B363" s="7" t="s">
        <v>614</v>
      </c>
      <c r="C363" s="7">
        <v>11020.0</v>
      </c>
      <c r="D363" s="7">
        <v>241816.0</v>
      </c>
      <c r="E363" s="7">
        <v>8128279.0</v>
      </c>
      <c r="F363" s="7">
        <v>7924258.0</v>
      </c>
      <c r="G363" s="7">
        <v>2.4658705E7</v>
      </c>
      <c r="H363" s="7">
        <v>2.433140018E9</v>
      </c>
      <c r="I363" s="7">
        <v>413793.0</v>
      </c>
      <c r="J363" s="7">
        <v>405546.0</v>
      </c>
      <c r="K363" s="7">
        <v>8247.0</v>
      </c>
      <c r="L363" s="7">
        <v>54.12</v>
      </c>
      <c r="M363" s="7">
        <v>-0.1</v>
      </c>
      <c r="N363" s="7">
        <v>12437.0</v>
      </c>
      <c r="O363" s="7">
        <v>5484173.0</v>
      </c>
      <c r="P363" s="7" t="s">
        <v>411</v>
      </c>
      <c r="Q363" s="7">
        <v>5004.05</v>
      </c>
      <c r="R363" s="3">
        <f t="shared" si="1"/>
        <v>10000</v>
      </c>
    </row>
    <row r="364" ht="22.5" customHeight="1">
      <c r="B364" s="7" t="s">
        <v>790</v>
      </c>
      <c r="C364" s="7">
        <v>25025.0</v>
      </c>
      <c r="D364" s="7">
        <v>49872.0</v>
      </c>
      <c r="E364" s="7">
        <v>2.6342934E7</v>
      </c>
      <c r="F364" s="7">
        <v>2.5950533E7</v>
      </c>
      <c r="G364" s="7">
        <v>6.0860767E7</v>
      </c>
      <c r="H364" s="7">
        <v>3.405568811E9</v>
      </c>
      <c r="I364" s="7">
        <v>1211904.0</v>
      </c>
      <c r="J364" s="7">
        <v>1181828.0</v>
      </c>
      <c r="K364" s="7">
        <v>30076.0</v>
      </c>
      <c r="L364" s="7">
        <v>40.59</v>
      </c>
      <c r="M364" s="7">
        <v>-0.07</v>
      </c>
      <c r="N364" s="7">
        <v>46882.0</v>
      </c>
      <c r="O364" s="7">
        <v>1.281882E7</v>
      </c>
      <c r="P364" s="7" t="s">
        <v>411</v>
      </c>
      <c r="Q364" s="7">
        <v>5003.97</v>
      </c>
      <c r="R364" s="3">
        <f t="shared" si="1"/>
        <v>10000</v>
      </c>
    </row>
    <row r="365" ht="22.5" customHeight="1">
      <c r="B365" s="7" t="s">
        <v>791</v>
      </c>
      <c r="C365" s="7">
        <v>2926.0</v>
      </c>
      <c r="D365" s="7">
        <v>9494.0</v>
      </c>
      <c r="E365" s="7">
        <v>1.5419395E7</v>
      </c>
      <c r="F365" s="7">
        <v>1.5273182E7</v>
      </c>
      <c r="G365" s="7">
        <v>2.3195299E7</v>
      </c>
      <c r="H365" s="7">
        <v>1.604253378E9</v>
      </c>
      <c r="I365" s="7">
        <v>490379.0</v>
      </c>
      <c r="J365" s="7">
        <v>466214.0</v>
      </c>
      <c r="K365" s="7">
        <v>24165.0</v>
      </c>
      <c r="L365" s="7">
        <v>35.17</v>
      </c>
      <c r="M365" s="7">
        <v>-0.05</v>
      </c>
      <c r="N365" s="7">
        <v>39502.0</v>
      </c>
      <c r="O365" s="7">
        <v>4210470.0</v>
      </c>
      <c r="P365" s="7" t="s">
        <v>411</v>
      </c>
      <c r="Q365" s="7">
        <v>5003.97</v>
      </c>
      <c r="R365" s="3">
        <f t="shared" si="1"/>
        <v>10000</v>
      </c>
    </row>
    <row r="366" ht="22.5" customHeight="1">
      <c r="B366" s="7" t="s">
        <v>792</v>
      </c>
      <c r="C366" s="7">
        <v>124533.0</v>
      </c>
      <c r="D366" s="7">
        <v>1535105.0</v>
      </c>
      <c r="E366" s="7">
        <v>7135621.0</v>
      </c>
      <c r="F366" s="7">
        <v>6925215.0</v>
      </c>
      <c r="G366" s="7">
        <v>3.6964293E7</v>
      </c>
      <c r="H366" s="7">
        <v>8.505096256E9</v>
      </c>
      <c r="I366" s="7">
        <v>373317.0</v>
      </c>
      <c r="J366" s="7">
        <v>366009.0</v>
      </c>
      <c r="K366" s="7">
        <v>7308.0</v>
      </c>
      <c r="L366" s="7">
        <v>23.92</v>
      </c>
      <c r="M366" s="7">
        <v>-0.16</v>
      </c>
      <c r="N366" s="7">
        <v>11510.0</v>
      </c>
      <c r="O366" s="7">
        <v>9490066.0</v>
      </c>
      <c r="P366" s="7" t="s">
        <v>411</v>
      </c>
      <c r="Q366" s="7">
        <v>5003.93</v>
      </c>
      <c r="R366" s="3">
        <f t="shared" si="1"/>
        <v>10000</v>
      </c>
    </row>
    <row r="367" ht="22.5" customHeight="1">
      <c r="B367" s="7" t="s">
        <v>793</v>
      </c>
      <c r="C367" s="7">
        <v>2744.0</v>
      </c>
      <c r="D367" s="7">
        <v>9840.0</v>
      </c>
      <c r="E367" s="7">
        <v>9040608.0</v>
      </c>
      <c r="F367" s="7">
        <v>9038944.0</v>
      </c>
      <c r="G367" s="7">
        <v>9122825.0</v>
      </c>
      <c r="H367" s="7">
        <v>5.979670666E9</v>
      </c>
      <c r="I367" s="7">
        <v>184254.0</v>
      </c>
      <c r="J367" s="7">
        <v>174578.0</v>
      </c>
      <c r="K367" s="7">
        <v>9676.0</v>
      </c>
      <c r="L367" s="7">
        <v>56.78</v>
      </c>
      <c r="M367" s="7">
        <v>0.0</v>
      </c>
      <c r="N367" s="7">
        <v>15194.0</v>
      </c>
      <c r="O367" s="7">
        <v>4956970.0</v>
      </c>
      <c r="P367" s="7" t="s">
        <v>411</v>
      </c>
      <c r="Q367" s="7">
        <v>5003.69</v>
      </c>
      <c r="R367" s="3">
        <f t="shared" si="1"/>
        <v>10000</v>
      </c>
    </row>
    <row r="368" ht="22.5" customHeight="1">
      <c r="B368" s="7" t="s">
        <v>794</v>
      </c>
      <c r="C368" s="7">
        <v>2965.0</v>
      </c>
      <c r="D368" s="7">
        <v>10472.0</v>
      </c>
      <c r="E368" s="7">
        <v>9607716.0</v>
      </c>
      <c r="F368" s="7">
        <v>9606963.0</v>
      </c>
      <c r="G368" s="7">
        <v>9667908.0</v>
      </c>
      <c r="H368" s="7">
        <v>6.486440465E9</v>
      </c>
      <c r="I368" s="7">
        <v>152638.0</v>
      </c>
      <c r="J368" s="7">
        <v>141644.0</v>
      </c>
      <c r="K368" s="7">
        <v>10994.0</v>
      </c>
      <c r="L368" s="7">
        <v>55.49</v>
      </c>
      <c r="M368" s="7">
        <v>0.0</v>
      </c>
      <c r="N368" s="7">
        <v>17391.0</v>
      </c>
      <c r="O368" s="7">
        <v>5053606.0</v>
      </c>
      <c r="P368" s="7" t="s">
        <v>411</v>
      </c>
      <c r="Q368" s="7">
        <v>5003.99</v>
      </c>
      <c r="R368" s="3">
        <f t="shared" si="1"/>
        <v>10000</v>
      </c>
    </row>
    <row r="369" ht="22.5" customHeight="1">
      <c r="B369" s="7" t="s">
        <v>795</v>
      </c>
      <c r="C369" s="7">
        <v>9456.0</v>
      </c>
      <c r="D369" s="7">
        <v>188597.0</v>
      </c>
      <c r="E369" s="7">
        <v>1.2537288E7</v>
      </c>
      <c r="F369" s="7">
        <v>1.2396649E7</v>
      </c>
      <c r="G369" s="7">
        <v>1.4592403E7</v>
      </c>
      <c r="H369" s="7">
        <v>1.024670708E9</v>
      </c>
      <c r="I369" s="7">
        <v>289881.0</v>
      </c>
      <c r="J369" s="7">
        <v>265632.0</v>
      </c>
      <c r="K369" s="7">
        <v>24249.0</v>
      </c>
      <c r="L369" s="7">
        <v>578.02</v>
      </c>
      <c r="M369" s="7">
        <v>-0.02</v>
      </c>
      <c r="N369" s="7">
        <v>35070.0</v>
      </c>
      <c r="O369" s="7">
        <v>5034633.0</v>
      </c>
      <c r="P369" s="7" t="s">
        <v>411</v>
      </c>
      <c r="Q369" s="7">
        <v>5003.92</v>
      </c>
      <c r="R369" s="3">
        <f t="shared" si="1"/>
        <v>10000</v>
      </c>
    </row>
    <row r="370" ht="22.5" customHeight="1">
      <c r="B370" s="7" t="s">
        <v>796</v>
      </c>
      <c r="C370" s="7">
        <v>6650.0</v>
      </c>
      <c r="D370" s="7">
        <v>542070.0</v>
      </c>
      <c r="E370" s="7">
        <v>9178040.0</v>
      </c>
      <c r="F370" s="7">
        <v>9077924.0</v>
      </c>
      <c r="G370" s="7">
        <v>1.0136554E7</v>
      </c>
      <c r="H370" s="7">
        <v>3.39574252E8</v>
      </c>
      <c r="I370" s="7">
        <v>199220.0</v>
      </c>
      <c r="J370" s="7">
        <v>186445.0</v>
      </c>
      <c r="K370" s="7">
        <v>12775.0</v>
      </c>
      <c r="L370" s="7">
        <v>955.57</v>
      </c>
      <c r="M370" s="7">
        <v>-0.01</v>
      </c>
      <c r="N370" s="7">
        <v>18459.0</v>
      </c>
      <c r="O370" s="7">
        <v>4987812.0</v>
      </c>
      <c r="P370" s="7" t="s">
        <v>411</v>
      </c>
      <c r="Q370" s="7">
        <v>5003.82</v>
      </c>
      <c r="R370" s="3">
        <f t="shared" si="1"/>
        <v>10000</v>
      </c>
    </row>
    <row r="371" ht="22.5" customHeight="1">
      <c r="B371" s="7" t="s">
        <v>797</v>
      </c>
      <c r="C371" s="7">
        <v>2087.0</v>
      </c>
      <c r="D371" s="7">
        <v>7590.0</v>
      </c>
      <c r="E371" s="7">
        <v>1.550978E7</v>
      </c>
      <c r="F371" s="7">
        <v>1.5509375E7</v>
      </c>
      <c r="G371" s="7">
        <v>1.5588329E7</v>
      </c>
      <c r="H371" s="7">
        <v>9.28018429E9</v>
      </c>
      <c r="I371" s="7">
        <v>150756.0</v>
      </c>
      <c r="J371" s="7">
        <v>124493.0</v>
      </c>
      <c r="K371" s="7">
        <v>26263.0</v>
      </c>
      <c r="L371" s="7">
        <v>56.34</v>
      </c>
      <c r="M371" s="7">
        <v>0.0</v>
      </c>
      <c r="N371" s="7">
        <v>41761.0</v>
      </c>
      <c r="O371" s="7">
        <v>5104358.0</v>
      </c>
      <c r="P371" s="7" t="s">
        <v>411</v>
      </c>
      <c r="Q371" s="7">
        <v>5003.98</v>
      </c>
      <c r="R371" s="3">
        <f t="shared" si="1"/>
        <v>10000</v>
      </c>
    </row>
    <row r="372" ht="22.5" customHeight="1">
      <c r="B372" s="7" t="s">
        <v>798</v>
      </c>
      <c r="C372" s="7">
        <v>13849.0</v>
      </c>
      <c r="D372" s="7">
        <v>5739033.0</v>
      </c>
      <c r="E372" s="7">
        <v>1.0179721E7</v>
      </c>
      <c r="F372" s="7">
        <v>9900166.0</v>
      </c>
      <c r="G372" s="7">
        <v>3.7937097E7</v>
      </c>
      <c r="H372" s="7">
        <v>2.327066308E9</v>
      </c>
      <c r="I372" s="7">
        <v>183861.0</v>
      </c>
      <c r="J372" s="7">
        <v>170207.0</v>
      </c>
      <c r="K372" s="7">
        <v>13654.0</v>
      </c>
      <c r="L372" s="7">
        <v>114.25</v>
      </c>
      <c r="M372" s="7">
        <v>-0.06</v>
      </c>
      <c r="N372" s="7">
        <v>20904.0</v>
      </c>
      <c r="O372" s="7">
        <v>5763756.0</v>
      </c>
      <c r="P372" s="7" t="s">
        <v>411</v>
      </c>
      <c r="Q372" s="7">
        <v>5003.92</v>
      </c>
      <c r="R372" s="3">
        <f t="shared" si="1"/>
        <v>10000</v>
      </c>
    </row>
    <row r="373" ht="22.5" customHeight="1">
      <c r="B373" s="7" t="s">
        <v>799</v>
      </c>
      <c r="C373" s="7">
        <v>48400.0</v>
      </c>
      <c r="D373" s="7">
        <v>375793.0</v>
      </c>
      <c r="E373" s="7">
        <v>9242328.0</v>
      </c>
      <c r="F373" s="7">
        <v>8986913.0</v>
      </c>
      <c r="G373" s="7">
        <v>2.9990555E7</v>
      </c>
      <c r="H373" s="7">
        <v>4.639709207E9</v>
      </c>
      <c r="I373" s="7">
        <v>433007.0</v>
      </c>
      <c r="J373" s="7">
        <v>422496.0</v>
      </c>
      <c r="K373" s="7">
        <v>10511.0</v>
      </c>
      <c r="L373" s="7">
        <v>45.77</v>
      </c>
      <c r="M373" s="7">
        <v>-0.13</v>
      </c>
      <c r="N373" s="7">
        <v>16321.0</v>
      </c>
      <c r="O373" s="7">
        <v>6386746.0</v>
      </c>
      <c r="P373" s="7" t="s">
        <v>411</v>
      </c>
      <c r="Q373" s="7">
        <v>5003.98</v>
      </c>
      <c r="R373" s="3">
        <f t="shared" si="1"/>
        <v>10000</v>
      </c>
    </row>
    <row r="374" ht="22.5" customHeight="1">
      <c r="B374" s="7" t="s">
        <v>611</v>
      </c>
      <c r="C374" s="7">
        <v>2262.0</v>
      </c>
      <c r="D374" s="7">
        <v>29659.0</v>
      </c>
      <c r="E374" s="7">
        <v>9563591.0</v>
      </c>
      <c r="F374" s="7">
        <v>9499229.0</v>
      </c>
      <c r="G374" s="7">
        <v>1.3873404E7</v>
      </c>
      <c r="H374" s="7">
        <v>6.09572214E8</v>
      </c>
      <c r="I374" s="7">
        <v>427180.0</v>
      </c>
      <c r="J374" s="7">
        <v>416904.0</v>
      </c>
      <c r="K374" s="7">
        <v>10276.0</v>
      </c>
      <c r="L374" s="7">
        <v>21.42</v>
      </c>
      <c r="M374" s="7">
        <v>-0.04</v>
      </c>
      <c r="N374" s="7">
        <v>16596.0</v>
      </c>
      <c r="O374" s="7">
        <v>4303574.0</v>
      </c>
      <c r="P374" s="7" t="s">
        <v>411</v>
      </c>
      <c r="Q374" s="7">
        <v>5004.0</v>
      </c>
      <c r="R374" s="3">
        <f t="shared" si="1"/>
        <v>10000</v>
      </c>
    </row>
    <row r="375" ht="22.5" customHeight="1">
      <c r="B375" s="7" t="s">
        <v>801</v>
      </c>
      <c r="C375" s="7">
        <v>9612.0</v>
      </c>
      <c r="D375" s="7">
        <v>210000.0</v>
      </c>
      <c r="E375" s="7">
        <v>9461316.0</v>
      </c>
      <c r="F375" s="7">
        <v>9231729.0</v>
      </c>
      <c r="G375" s="7">
        <v>2.7429989E7</v>
      </c>
      <c r="H375" s="7">
        <v>2.579287316E9</v>
      </c>
      <c r="I375" s="7">
        <v>427270.0</v>
      </c>
      <c r="J375" s="7">
        <v>415116.0</v>
      </c>
      <c r="K375" s="7">
        <v>12154.0</v>
      </c>
      <c r="L375" s="7">
        <v>58.06</v>
      </c>
      <c r="M375" s="7">
        <v>-0.09</v>
      </c>
      <c r="N375" s="7">
        <v>18291.0</v>
      </c>
      <c r="O375" s="7">
        <v>5404381.0</v>
      </c>
      <c r="P375" s="7" t="s">
        <v>411</v>
      </c>
      <c r="Q375" s="7">
        <v>5003.95</v>
      </c>
      <c r="R375" s="3">
        <f t="shared" si="1"/>
        <v>10000</v>
      </c>
    </row>
    <row r="376" ht="22.5" customHeight="1">
      <c r="B376" s="7" t="s">
        <v>802</v>
      </c>
      <c r="C376" s="7">
        <v>1038.0</v>
      </c>
      <c r="D376" s="7">
        <v>5841.0</v>
      </c>
      <c r="E376" s="7">
        <v>2.4578756E7</v>
      </c>
      <c r="F376" s="7">
        <v>2.4530361E7</v>
      </c>
      <c r="G376" s="7">
        <v>3.2368072E7</v>
      </c>
      <c r="H376" s="7">
        <v>4.79369499E9</v>
      </c>
      <c r="I376" s="7">
        <v>859518.0</v>
      </c>
      <c r="J376" s="7">
        <v>829460.0</v>
      </c>
      <c r="K376" s="7">
        <v>30058.0</v>
      </c>
      <c r="L376" s="7">
        <v>28.08</v>
      </c>
      <c r="M376" s="7">
        <v>-0.02</v>
      </c>
      <c r="N376" s="7">
        <v>46873.0</v>
      </c>
      <c r="O376" s="7">
        <v>1.1398833E7</v>
      </c>
      <c r="P376" s="7" t="s">
        <v>411</v>
      </c>
      <c r="Q376" s="7">
        <v>5003.96</v>
      </c>
      <c r="R376" s="3">
        <f t="shared" si="1"/>
        <v>10000</v>
      </c>
    </row>
    <row r="377" ht="22.5" customHeight="1">
      <c r="B377" s="7" t="s">
        <v>804</v>
      </c>
      <c r="C377" s="7">
        <v>576.0</v>
      </c>
      <c r="D377" s="7">
        <v>1135338.0</v>
      </c>
      <c r="E377" s="7">
        <v>1.833329E7</v>
      </c>
      <c r="F377" s="7">
        <v>1.7963605E7</v>
      </c>
      <c r="G377" s="7">
        <v>2.2346005E7</v>
      </c>
      <c r="H377" s="7">
        <v>6.69895216E8</v>
      </c>
      <c r="I377" s="7">
        <v>272097.0</v>
      </c>
      <c r="J377" s="7">
        <v>241306.0</v>
      </c>
      <c r="K377" s="7">
        <v>30791.0</v>
      </c>
      <c r="L377" s="7">
        <v>42.5</v>
      </c>
      <c r="M377" s="7">
        <v>-0.03</v>
      </c>
      <c r="N377" s="7">
        <v>47545.0</v>
      </c>
      <c r="O377" s="7">
        <v>7826306.0</v>
      </c>
      <c r="P377" s="7" t="s">
        <v>411</v>
      </c>
      <c r="Q377" s="7">
        <v>5003.85</v>
      </c>
      <c r="R377" s="3">
        <f t="shared" si="1"/>
        <v>10000</v>
      </c>
    </row>
    <row r="378" ht="22.5" customHeight="1">
      <c r="B378" s="7" t="s">
        <v>805</v>
      </c>
      <c r="C378" s="7">
        <v>102341.0</v>
      </c>
      <c r="D378" s="7">
        <v>152771.0</v>
      </c>
      <c r="E378" s="7">
        <v>4876465.0</v>
      </c>
      <c r="F378" s="7">
        <v>4773790.0</v>
      </c>
      <c r="G378" s="7">
        <v>1.5136105E7</v>
      </c>
      <c r="H378" s="7">
        <v>8.294217331E9</v>
      </c>
      <c r="I378" s="7">
        <v>151523.0</v>
      </c>
      <c r="J378" s="7">
        <v>143894.0</v>
      </c>
      <c r="K378" s="7">
        <v>7629.0</v>
      </c>
      <c r="L378" s="7">
        <v>88.86</v>
      </c>
      <c r="M378" s="7">
        <v>-0.06</v>
      </c>
      <c r="N378" s="7">
        <v>11827.0</v>
      </c>
      <c r="O378" s="7">
        <v>2162745.0</v>
      </c>
      <c r="P378" s="7" t="s">
        <v>411</v>
      </c>
      <c r="Q378" s="7">
        <v>5003.96</v>
      </c>
      <c r="R378" s="3">
        <f t="shared" si="1"/>
        <v>10000</v>
      </c>
    </row>
    <row r="379" ht="22.5" customHeight="1">
      <c r="B379" s="7" t="s">
        <v>608</v>
      </c>
      <c r="C379" s="7">
        <v>2948.0</v>
      </c>
      <c r="D379" s="7">
        <v>9572.0</v>
      </c>
      <c r="E379" s="7">
        <v>1.1139908E7</v>
      </c>
      <c r="F379" s="7">
        <v>1.1019624E7</v>
      </c>
      <c r="G379" s="7">
        <v>1.8016656E7</v>
      </c>
      <c r="H379" s="7">
        <v>1.263352556E9</v>
      </c>
      <c r="I379" s="7">
        <v>451136.0</v>
      </c>
      <c r="J379" s="7">
        <v>436932.0</v>
      </c>
      <c r="K379" s="7">
        <v>14204.0</v>
      </c>
      <c r="L379" s="7">
        <v>34.62</v>
      </c>
      <c r="M379" s="7">
        <v>-0.06</v>
      </c>
      <c r="N379" s="7">
        <v>22950.0</v>
      </c>
      <c r="O379" s="7">
        <v>4309580.0</v>
      </c>
      <c r="P379" s="7" t="s">
        <v>411</v>
      </c>
      <c r="Q379" s="7">
        <v>5003.97</v>
      </c>
      <c r="R379" s="3">
        <f t="shared" si="1"/>
        <v>10000</v>
      </c>
    </row>
    <row r="380" ht="22.5" customHeight="1">
      <c r="B380" s="7" t="s">
        <v>806</v>
      </c>
      <c r="C380" s="7">
        <v>35620.0</v>
      </c>
      <c r="D380" s="7">
        <v>1019503.0</v>
      </c>
      <c r="E380" s="7">
        <v>2.0207414E7</v>
      </c>
      <c r="F380" s="7">
        <v>1.990194E7</v>
      </c>
      <c r="G380" s="7">
        <v>2.4830125E7</v>
      </c>
      <c r="H380" s="7">
        <v>1.530318218E9</v>
      </c>
      <c r="I380" s="7">
        <v>518950.0</v>
      </c>
      <c r="J380" s="7">
        <v>484026.0</v>
      </c>
      <c r="K380" s="7">
        <v>34924.0</v>
      </c>
      <c r="L380" s="7">
        <v>151.38</v>
      </c>
      <c r="M380" s="7">
        <v>-0.03</v>
      </c>
      <c r="N380" s="7">
        <v>51640.0</v>
      </c>
      <c r="O380" s="7">
        <v>8542886.0</v>
      </c>
      <c r="P380" s="7" t="s">
        <v>411</v>
      </c>
      <c r="Q380" s="7">
        <v>5004.2</v>
      </c>
      <c r="R380" s="3">
        <f t="shared" si="1"/>
        <v>10000</v>
      </c>
    </row>
    <row r="381" ht="22.5" customHeight="1">
      <c r="B381" s="7" t="s">
        <v>807</v>
      </c>
      <c r="C381" s="7">
        <v>1200.0</v>
      </c>
      <c r="D381" s="7">
        <v>21040.0</v>
      </c>
      <c r="E381" s="7">
        <v>2.1555472E7</v>
      </c>
      <c r="F381" s="7">
        <v>2.1462361E7</v>
      </c>
      <c r="G381" s="7">
        <v>5.8285561E7</v>
      </c>
      <c r="H381" s="7">
        <v>2.526855037E9</v>
      </c>
      <c r="I381" s="7">
        <v>649437.0</v>
      </c>
      <c r="J381" s="7">
        <v>618762.0</v>
      </c>
      <c r="K381" s="7">
        <v>30675.0</v>
      </c>
      <c r="L381" s="7">
        <v>68.62</v>
      </c>
      <c r="M381" s="7">
        <v>-0.04</v>
      </c>
      <c r="N381" s="7">
        <v>47476.0</v>
      </c>
      <c r="O381" s="7">
        <v>9282682.0</v>
      </c>
      <c r="P381" s="7" t="s">
        <v>411</v>
      </c>
      <c r="Q381" s="7">
        <v>5003.97</v>
      </c>
      <c r="R381" s="3">
        <f t="shared" si="1"/>
        <v>10000</v>
      </c>
    </row>
    <row r="382" ht="22.5" customHeight="1">
      <c r="B382" s="7" t="s">
        <v>808</v>
      </c>
      <c r="C382" s="7">
        <v>1250.0</v>
      </c>
      <c r="D382" s="7">
        <v>15375.0</v>
      </c>
      <c r="E382" s="7">
        <v>2.9715486E7</v>
      </c>
      <c r="F382" s="7">
        <v>2.9472919E7</v>
      </c>
      <c r="G382" s="7">
        <v>3.3817697E7</v>
      </c>
      <c r="H382" s="7">
        <v>8.75310812E8</v>
      </c>
      <c r="I382" s="7">
        <v>796164.0</v>
      </c>
      <c r="J382" s="7">
        <v>758319.0</v>
      </c>
      <c r="K382" s="7">
        <v>37845.0</v>
      </c>
      <c r="L382" s="7">
        <v>185.93</v>
      </c>
      <c r="M382" s="7">
        <v>-0.02</v>
      </c>
      <c r="N382" s="7">
        <v>54545.0</v>
      </c>
      <c r="O382" s="7">
        <v>1.7072825E7</v>
      </c>
      <c r="P382" s="7" t="s">
        <v>411</v>
      </c>
      <c r="Q382" s="7">
        <v>5003.9</v>
      </c>
      <c r="R382" s="3">
        <f t="shared" si="1"/>
        <v>10000</v>
      </c>
    </row>
    <row r="383" ht="22.5" customHeight="1">
      <c r="B383" s="7" t="s">
        <v>809</v>
      </c>
      <c r="C383" s="7">
        <v>7582.0</v>
      </c>
      <c r="D383" s="7">
        <v>34329.0</v>
      </c>
      <c r="E383" s="7">
        <v>1.2731608E7</v>
      </c>
      <c r="F383" s="7">
        <v>1.2638092E7</v>
      </c>
      <c r="G383" s="7">
        <v>1.3749482E7</v>
      </c>
      <c r="H383" s="7">
        <v>8.801804873E9</v>
      </c>
      <c r="I383" s="7">
        <v>556020.0</v>
      </c>
      <c r="J383" s="7">
        <v>536996.0</v>
      </c>
      <c r="K383" s="7">
        <v>19024.0</v>
      </c>
      <c r="L383" s="7">
        <v>33.11</v>
      </c>
      <c r="M383" s="7">
        <v>-0.01</v>
      </c>
      <c r="N383" s="7">
        <v>30220.0</v>
      </c>
      <c r="O383" s="7">
        <v>4180427.0</v>
      </c>
      <c r="P383" s="7" t="s">
        <v>411</v>
      </c>
      <c r="Q383" s="7">
        <v>5003.97</v>
      </c>
      <c r="R383" s="3">
        <f t="shared" si="1"/>
        <v>10000</v>
      </c>
    </row>
    <row r="384" ht="22.5" customHeight="1">
      <c r="B384" s="7" t="s">
        <v>810</v>
      </c>
      <c r="C384" s="7">
        <v>11020.0</v>
      </c>
      <c r="D384" s="7">
        <v>241816.0</v>
      </c>
      <c r="E384" s="7">
        <v>9860630.0</v>
      </c>
      <c r="F384" s="7">
        <v>9634268.0</v>
      </c>
      <c r="G384" s="7">
        <v>2.734831E7</v>
      </c>
      <c r="H384" s="7">
        <v>2.935286556E9</v>
      </c>
      <c r="I384" s="7">
        <v>431769.0</v>
      </c>
      <c r="J384" s="7">
        <v>418780.0</v>
      </c>
      <c r="K384" s="7">
        <v>12989.0</v>
      </c>
      <c r="L384" s="7">
        <v>56.93</v>
      </c>
      <c r="M384" s="7">
        <v>-0.09</v>
      </c>
      <c r="N384" s="7">
        <v>19742.0</v>
      </c>
      <c r="O384" s="7">
        <v>5467363.0</v>
      </c>
      <c r="P384" s="7" t="s">
        <v>411</v>
      </c>
      <c r="Q384" s="7">
        <v>5003.91</v>
      </c>
      <c r="R384" s="3">
        <f t="shared" si="1"/>
        <v>10000</v>
      </c>
    </row>
    <row r="385" ht="22.5" customHeight="1">
      <c r="B385" s="7" t="s">
        <v>811</v>
      </c>
      <c r="C385" s="7">
        <v>13079.0</v>
      </c>
      <c r="D385" s="7">
        <v>252490.0</v>
      </c>
      <c r="E385" s="7">
        <v>1.701532E7</v>
      </c>
      <c r="F385" s="7">
        <v>1.6850285E7</v>
      </c>
      <c r="G385" s="7">
        <v>1.9224743E7</v>
      </c>
      <c r="H385" s="7">
        <v>4.26968195E9</v>
      </c>
      <c r="I385" s="7">
        <v>334942.0</v>
      </c>
      <c r="J385" s="7">
        <v>297936.0</v>
      </c>
      <c r="K385" s="7">
        <v>37006.0</v>
      </c>
      <c r="L385" s="7">
        <v>265.54</v>
      </c>
      <c r="M385" s="7">
        <v>-0.02</v>
      </c>
      <c r="N385" s="7">
        <v>53697.0</v>
      </c>
      <c r="O385" s="7">
        <v>5418978.0</v>
      </c>
      <c r="P385" s="7" t="s">
        <v>411</v>
      </c>
      <c r="Q385" s="7">
        <v>5003.85</v>
      </c>
      <c r="R385" s="3">
        <f t="shared" si="1"/>
        <v>10000</v>
      </c>
    </row>
    <row r="386" ht="22.5" customHeight="1">
      <c r="B386" s="7" t="s">
        <v>812</v>
      </c>
      <c r="C386" s="7">
        <v>1757.0</v>
      </c>
      <c r="D386" s="7">
        <v>7470.0</v>
      </c>
      <c r="E386" s="7">
        <v>1.5601177E7</v>
      </c>
      <c r="F386" s="7">
        <v>1.544889E7</v>
      </c>
      <c r="G386" s="7">
        <v>2.3689195E7</v>
      </c>
      <c r="H386" s="7">
        <v>1.739872068E9</v>
      </c>
      <c r="I386" s="7">
        <v>490890.0</v>
      </c>
      <c r="J386" s="7">
        <v>466014.0</v>
      </c>
      <c r="K386" s="7">
        <v>24876.0</v>
      </c>
      <c r="L386" s="7">
        <v>36.52</v>
      </c>
      <c r="M386" s="7">
        <v>-0.05</v>
      </c>
      <c r="N386" s="7">
        <v>40489.0</v>
      </c>
      <c r="O386" s="7">
        <v>4208275.0</v>
      </c>
      <c r="P386" s="7" t="s">
        <v>411</v>
      </c>
      <c r="Q386" s="7">
        <v>5003.98</v>
      </c>
      <c r="R386" s="3">
        <f t="shared" si="1"/>
        <v>10000</v>
      </c>
    </row>
    <row r="387" ht="22.5" customHeight="1">
      <c r="B387" s="7" t="s">
        <v>813</v>
      </c>
      <c r="C387" s="7">
        <v>7600.0</v>
      </c>
      <c r="D387" s="7">
        <v>144800.0</v>
      </c>
      <c r="E387" s="7">
        <v>2.8203538E7</v>
      </c>
      <c r="F387" s="7">
        <v>2.7995394E7</v>
      </c>
      <c r="G387" s="7">
        <v>3.1731708E7</v>
      </c>
      <c r="H387" s="7">
        <v>1.450944984E9</v>
      </c>
      <c r="I387" s="7">
        <v>860738.0</v>
      </c>
      <c r="J387" s="7">
        <v>824390.0</v>
      </c>
      <c r="K387" s="7">
        <v>36348.0</v>
      </c>
      <c r="L387" s="7">
        <v>113.47</v>
      </c>
      <c r="M387" s="7">
        <v>-0.03</v>
      </c>
      <c r="N387" s="7">
        <v>53058.0</v>
      </c>
      <c r="O387" s="7">
        <v>1.5335636E7</v>
      </c>
      <c r="P387" s="7" t="s">
        <v>411</v>
      </c>
      <c r="Q387" s="7">
        <v>5003.94</v>
      </c>
      <c r="R387" s="3">
        <f t="shared" si="1"/>
        <v>10000</v>
      </c>
    </row>
    <row r="388" ht="22.5" customHeight="1">
      <c r="B388" s="7" t="s">
        <v>814</v>
      </c>
      <c r="C388" s="7">
        <v>26541.0</v>
      </c>
      <c r="D388" s="7">
        <v>117126.0</v>
      </c>
      <c r="E388" s="7">
        <v>2.5357725E7</v>
      </c>
      <c r="F388" s="7">
        <v>2.4899478E7</v>
      </c>
      <c r="G388" s="7">
        <v>2.35870847E8</v>
      </c>
      <c r="H388" s="7">
        <v>4.884421011E9</v>
      </c>
      <c r="I388" s="7">
        <v>1139516.0</v>
      </c>
      <c r="J388" s="7">
        <v>1105071.0</v>
      </c>
      <c r="K388" s="7">
        <v>34445.0</v>
      </c>
      <c r="L388" s="7">
        <v>69.09</v>
      </c>
      <c r="M388" s="7">
        <v>-0.13</v>
      </c>
      <c r="N388" s="7">
        <v>51212.0</v>
      </c>
      <c r="O388" s="7">
        <v>2.4329816E7</v>
      </c>
      <c r="P388" s="7" t="s">
        <v>411</v>
      </c>
      <c r="Q388" s="7">
        <v>5003.92</v>
      </c>
      <c r="R388" s="3">
        <f t="shared" si="1"/>
        <v>10000</v>
      </c>
    </row>
    <row r="389" ht="22.5" customHeight="1">
      <c r="B389" s="7" t="s">
        <v>815</v>
      </c>
      <c r="C389" s="7">
        <v>1574100.0</v>
      </c>
      <c r="D389" s="7">
        <v>8746143.0</v>
      </c>
      <c r="E389" s="7">
        <v>1451299.0</v>
      </c>
      <c r="F389" s="7">
        <v>1302085.0</v>
      </c>
      <c r="G389" s="7">
        <v>8.2537438E7</v>
      </c>
      <c r="H389" s="7">
        <v>2.5248640569E10</v>
      </c>
      <c r="I389" s="7">
        <v>49940.0</v>
      </c>
      <c r="J389" s="7">
        <v>48863.0</v>
      </c>
      <c r="K389" s="7">
        <v>1077.0</v>
      </c>
      <c r="L389" s="7">
        <v>550.34</v>
      </c>
      <c r="M389" s="7">
        <v>-0.23</v>
      </c>
      <c r="N389" s="7">
        <v>2129.0</v>
      </c>
      <c r="O389" s="7">
        <v>1.4640116E7</v>
      </c>
      <c r="P389" s="7" t="s">
        <v>411</v>
      </c>
      <c r="Q389" s="7">
        <v>5003.85</v>
      </c>
      <c r="R389" s="3">
        <f t="shared" si="1"/>
        <v>10000</v>
      </c>
    </row>
    <row r="390" ht="22.5" customHeight="1">
      <c r="B390" s="7" t="s">
        <v>816</v>
      </c>
      <c r="C390" s="7">
        <v>133566.0</v>
      </c>
      <c r="D390" s="7">
        <v>456000.0</v>
      </c>
      <c r="E390" s="7">
        <v>5100436.0</v>
      </c>
      <c r="F390" s="7">
        <v>4965850.0</v>
      </c>
      <c r="G390" s="7">
        <v>2.6133595E7</v>
      </c>
      <c r="H390" s="7">
        <v>3.880101741E9</v>
      </c>
      <c r="I390" s="7">
        <v>121084.0</v>
      </c>
      <c r="J390" s="7">
        <v>112730.0</v>
      </c>
      <c r="K390" s="7">
        <v>8354.0</v>
      </c>
      <c r="L390" s="7">
        <v>2207.65</v>
      </c>
      <c r="M390" s="7">
        <v>-0.05</v>
      </c>
      <c r="N390" s="7">
        <v>12543.0</v>
      </c>
      <c r="O390" s="7">
        <v>2554352.0</v>
      </c>
      <c r="P390" s="7" t="s">
        <v>411</v>
      </c>
      <c r="Q390" s="7">
        <v>5003.88</v>
      </c>
      <c r="R390" s="3">
        <f t="shared" si="1"/>
        <v>10000</v>
      </c>
    </row>
    <row r="391" ht="22.5" customHeight="1">
      <c r="B391" s="7" t="s">
        <v>817</v>
      </c>
      <c r="C391" s="7">
        <v>552.0</v>
      </c>
      <c r="D391" s="7">
        <v>1001616.0</v>
      </c>
      <c r="E391" s="7">
        <v>2.610652E7</v>
      </c>
      <c r="F391" s="7">
        <v>2.556594E7</v>
      </c>
      <c r="G391" s="7">
        <v>3.2222355E7</v>
      </c>
      <c r="H391" s="7">
        <v>9.29455073E8</v>
      </c>
      <c r="I391" s="7">
        <v>542332.0</v>
      </c>
      <c r="J391" s="7">
        <v>511992.0</v>
      </c>
      <c r="K391" s="7">
        <v>30340.0</v>
      </c>
      <c r="L391" s="7">
        <v>39.6</v>
      </c>
      <c r="M391" s="7">
        <v>-0.03</v>
      </c>
      <c r="N391" s="7">
        <v>47097.0</v>
      </c>
      <c r="O391" s="7">
        <v>1.5886048E7</v>
      </c>
      <c r="P391" s="7" t="s">
        <v>411</v>
      </c>
      <c r="Q391" s="7">
        <v>5004.04</v>
      </c>
      <c r="R391" s="3">
        <f t="shared" si="1"/>
        <v>10000</v>
      </c>
    </row>
    <row r="392" ht="22.5" customHeight="1">
      <c r="B392" s="7" t="s">
        <v>818</v>
      </c>
      <c r="C392" s="7">
        <v>11020.0</v>
      </c>
      <c r="D392" s="7">
        <v>241816.0</v>
      </c>
      <c r="E392" s="7">
        <v>1.0086648E7</v>
      </c>
      <c r="F392" s="7">
        <v>9850486.0</v>
      </c>
      <c r="G392" s="7">
        <v>2.7962549E7</v>
      </c>
      <c r="H392" s="7">
        <v>2.921236051E9</v>
      </c>
      <c r="I392" s="7">
        <v>433940.0</v>
      </c>
      <c r="J392" s="7">
        <v>420104.0</v>
      </c>
      <c r="K392" s="7">
        <v>13836.0</v>
      </c>
      <c r="L392" s="7">
        <v>57.76</v>
      </c>
      <c r="M392" s="7">
        <v>-0.09</v>
      </c>
      <c r="N392" s="7">
        <v>20934.0</v>
      </c>
      <c r="O392" s="7">
        <v>5481694.0</v>
      </c>
      <c r="P392" s="7" t="s">
        <v>411</v>
      </c>
      <c r="Q392" s="7">
        <v>5003.94</v>
      </c>
      <c r="R392" s="3">
        <f t="shared" si="1"/>
        <v>10000</v>
      </c>
    </row>
    <row r="393" ht="22.5" customHeight="1">
      <c r="B393" s="7" t="s">
        <v>819</v>
      </c>
      <c r="C393" s="7">
        <v>380.0</v>
      </c>
      <c r="D393" s="7">
        <v>7050.0</v>
      </c>
      <c r="E393" s="7">
        <v>2.1390121E7</v>
      </c>
      <c r="F393" s="7">
        <v>2.1302349E7</v>
      </c>
      <c r="G393" s="7">
        <v>2.2751125E7</v>
      </c>
      <c r="H393" s="7">
        <v>2.5478207E8</v>
      </c>
      <c r="I393" s="7">
        <v>525293.0</v>
      </c>
      <c r="J393" s="7">
        <v>486840.0</v>
      </c>
      <c r="K393" s="7">
        <v>38453.0</v>
      </c>
      <c r="L393" s="7">
        <v>127.48</v>
      </c>
      <c r="M393" s="7">
        <v>-0.01</v>
      </c>
      <c r="N393" s="7">
        <v>55166.0</v>
      </c>
      <c r="O393" s="7">
        <v>9228486.0</v>
      </c>
      <c r="P393" s="7" t="s">
        <v>411</v>
      </c>
      <c r="Q393" s="7">
        <v>5003.94</v>
      </c>
      <c r="R393" s="3">
        <f t="shared" si="1"/>
        <v>10000</v>
      </c>
    </row>
    <row r="394" ht="22.5" customHeight="1">
      <c r="B394" s="7" t="s">
        <v>820</v>
      </c>
      <c r="C394" s="7">
        <v>1664.0</v>
      </c>
      <c r="D394" s="7">
        <v>157664.0</v>
      </c>
      <c r="E394" s="7">
        <v>4.4044535E7</v>
      </c>
      <c r="F394" s="7">
        <v>4.2876235E7</v>
      </c>
      <c r="G394" s="7">
        <v>2.04952901E8</v>
      </c>
      <c r="H394" s="7">
        <v>1.397680858E9</v>
      </c>
      <c r="I394" s="7">
        <v>969677.0</v>
      </c>
      <c r="J394" s="7">
        <v>913208.0</v>
      </c>
      <c r="K394" s="7">
        <v>56469.0</v>
      </c>
      <c r="L394" s="7">
        <v>82.89</v>
      </c>
      <c r="M394" s="7">
        <v>-0.09</v>
      </c>
      <c r="N394" s="7">
        <v>90631.0</v>
      </c>
      <c r="O394" s="7">
        <v>2.6807881E7</v>
      </c>
      <c r="P394" s="7" t="s">
        <v>411</v>
      </c>
      <c r="Q394" s="7">
        <v>5003.95</v>
      </c>
      <c r="R394" s="3">
        <f t="shared" si="1"/>
        <v>10000</v>
      </c>
    </row>
    <row r="395" ht="22.5" customHeight="1">
      <c r="B395" s="7" t="s">
        <v>821</v>
      </c>
      <c r="C395" s="7">
        <v>40979.0</v>
      </c>
      <c r="D395" s="7">
        <v>619358.0</v>
      </c>
      <c r="E395" s="7">
        <v>2.4575864E7</v>
      </c>
      <c r="F395" s="7">
        <v>2.3381937E7</v>
      </c>
      <c r="G395" s="7">
        <v>5.0524802E7</v>
      </c>
      <c r="H395" s="7">
        <v>6.828707635E9</v>
      </c>
      <c r="I395" s="7">
        <v>482936.0</v>
      </c>
      <c r="J395" s="7">
        <v>448244.0</v>
      </c>
      <c r="K395" s="7">
        <v>34692.0</v>
      </c>
      <c r="L395" s="7">
        <v>269.19</v>
      </c>
      <c r="M395" s="7">
        <v>-0.06</v>
      </c>
      <c r="N395" s="7">
        <v>51412.0</v>
      </c>
      <c r="O395" s="7">
        <v>1.5214801E7</v>
      </c>
      <c r="P395" s="7" t="s">
        <v>411</v>
      </c>
      <c r="Q395" s="7">
        <v>5003.81</v>
      </c>
      <c r="R395" s="3">
        <f t="shared" si="1"/>
        <v>10000</v>
      </c>
    </row>
    <row r="396" ht="22.5" customHeight="1">
      <c r="B396" s="7" t="s">
        <v>822</v>
      </c>
      <c r="C396" s="7">
        <v>188473.0</v>
      </c>
      <c r="D396" s="7">
        <v>564648.0</v>
      </c>
      <c r="E396" s="7">
        <v>9203444.0</v>
      </c>
      <c r="F396" s="7">
        <v>8974428.0</v>
      </c>
      <c r="G396" s="7">
        <v>4.0260305E7</v>
      </c>
      <c r="H396" s="7">
        <v>1.1863356366E10</v>
      </c>
      <c r="I396" s="7">
        <v>396534.0</v>
      </c>
      <c r="J396" s="7">
        <v>384587.0</v>
      </c>
      <c r="K396" s="7">
        <v>11947.0</v>
      </c>
      <c r="L396" s="7">
        <v>64.19</v>
      </c>
      <c r="M396" s="7">
        <v>-0.13</v>
      </c>
      <c r="N396" s="7">
        <v>17685.0</v>
      </c>
      <c r="O396" s="7">
        <v>9967912.0</v>
      </c>
      <c r="P396" s="7" t="s">
        <v>411</v>
      </c>
      <c r="Q396" s="7">
        <v>5003.96</v>
      </c>
      <c r="R396" s="3">
        <f t="shared" si="1"/>
        <v>10000</v>
      </c>
    </row>
    <row r="397" ht="22.5" customHeight="1">
      <c r="B397" s="7" t="s">
        <v>823</v>
      </c>
      <c r="C397" s="7">
        <v>990.0</v>
      </c>
      <c r="D397" s="7">
        <v>42615.0</v>
      </c>
      <c r="E397" s="7">
        <v>3.1994272E7</v>
      </c>
      <c r="F397" s="7">
        <v>3.1851697E7</v>
      </c>
      <c r="G397" s="7">
        <v>3.4055559E7</v>
      </c>
      <c r="H397" s="7">
        <v>3.01410619E8</v>
      </c>
      <c r="I397" s="7">
        <v>947165.0</v>
      </c>
      <c r="J397" s="7">
        <v>912641.0</v>
      </c>
      <c r="K397" s="7">
        <v>34524.0</v>
      </c>
      <c r="L397" s="7">
        <v>209.24</v>
      </c>
      <c r="M397" s="7">
        <v>-0.01</v>
      </c>
      <c r="N397" s="7">
        <v>51261.0</v>
      </c>
      <c r="O397" s="7">
        <v>1.8649112E7</v>
      </c>
      <c r="P397" s="7" t="s">
        <v>411</v>
      </c>
      <c r="Q397" s="7">
        <v>5003.93</v>
      </c>
      <c r="R397" s="3">
        <f t="shared" si="1"/>
        <v>10000</v>
      </c>
    </row>
    <row r="398" ht="22.5" customHeight="1">
      <c r="B398" s="7" t="s">
        <v>825</v>
      </c>
      <c r="C398" s="7">
        <v>3703.0</v>
      </c>
      <c r="D398" s="7">
        <v>2281666.0</v>
      </c>
      <c r="E398" s="7">
        <v>1.0713852E7</v>
      </c>
      <c r="F398" s="7">
        <v>1.0430181E7</v>
      </c>
      <c r="G398" s="7">
        <v>3.5309029E7</v>
      </c>
      <c r="H398" s="7">
        <v>5.13947052E8</v>
      </c>
      <c r="I398" s="7">
        <v>177848.0</v>
      </c>
      <c r="J398" s="7">
        <v>163735.0</v>
      </c>
      <c r="K398" s="7">
        <v>14113.0</v>
      </c>
      <c r="L398" s="7">
        <v>104.26</v>
      </c>
      <c r="M398" s="7">
        <v>-0.05</v>
      </c>
      <c r="N398" s="7">
        <v>22186.0</v>
      </c>
      <c r="O398" s="7">
        <v>5199837.0</v>
      </c>
      <c r="P398" s="7" t="s">
        <v>411</v>
      </c>
      <c r="Q398" s="7">
        <v>5003.66</v>
      </c>
      <c r="R398" s="3">
        <f t="shared" si="1"/>
        <v>10000</v>
      </c>
    </row>
    <row r="399" ht="22.5" customHeight="1">
      <c r="B399" s="7" t="s">
        <v>826</v>
      </c>
      <c r="C399" s="7">
        <v>420.0</v>
      </c>
      <c r="D399" s="7">
        <v>541603.0</v>
      </c>
      <c r="E399" s="7">
        <v>3.7794594E7</v>
      </c>
      <c r="F399" s="7">
        <v>3.701592E7</v>
      </c>
      <c r="G399" s="7">
        <v>4.6952472E7</v>
      </c>
      <c r="H399" s="7">
        <v>1.220552892E9</v>
      </c>
      <c r="I399" s="7">
        <v>900637.0</v>
      </c>
      <c r="J399" s="7">
        <v>856020.0</v>
      </c>
      <c r="K399" s="7">
        <v>44617.0</v>
      </c>
      <c r="L399" s="7">
        <v>33.32</v>
      </c>
      <c r="M399" s="7">
        <v>-0.04</v>
      </c>
      <c r="N399" s="7">
        <v>69080.0</v>
      </c>
      <c r="O399" s="7">
        <v>2.2506729E7</v>
      </c>
      <c r="P399" s="7" t="s">
        <v>411</v>
      </c>
      <c r="Q399" s="7">
        <v>5003.97</v>
      </c>
      <c r="R399" s="3">
        <f t="shared" si="1"/>
        <v>10000</v>
      </c>
    </row>
    <row r="400" ht="22.5" customHeight="1">
      <c r="B400" s="7" t="s">
        <v>827</v>
      </c>
      <c r="C400" s="7">
        <v>1200.0</v>
      </c>
      <c r="D400" s="7">
        <v>21040.0</v>
      </c>
      <c r="E400" s="7">
        <v>2.3764973E7</v>
      </c>
      <c r="F400" s="7">
        <v>2.3641389E7</v>
      </c>
      <c r="G400" s="7">
        <v>6.3475357E7</v>
      </c>
      <c r="H400" s="7">
        <v>2.633665401E9</v>
      </c>
      <c r="I400" s="7">
        <v>847371.0</v>
      </c>
      <c r="J400" s="7">
        <v>816632.0</v>
      </c>
      <c r="K400" s="7">
        <v>30739.0</v>
      </c>
      <c r="L400" s="7">
        <v>65.36</v>
      </c>
      <c r="M400" s="7">
        <v>-0.05</v>
      </c>
      <c r="N400" s="7">
        <v>47537.0</v>
      </c>
      <c r="O400" s="7">
        <v>1.0887925E7</v>
      </c>
      <c r="P400" s="7" t="s">
        <v>411</v>
      </c>
      <c r="Q400" s="7">
        <v>5003.98</v>
      </c>
      <c r="R400" s="3">
        <f t="shared" si="1"/>
        <v>10000</v>
      </c>
    </row>
    <row r="401" ht="22.5" customHeight="1">
      <c r="B401" s="7" t="s">
        <v>828</v>
      </c>
      <c r="C401" s="7">
        <v>5800.0</v>
      </c>
      <c r="D401" s="7">
        <v>71820.0</v>
      </c>
      <c r="E401" s="7">
        <v>6.2108786E7</v>
      </c>
      <c r="F401" s="7">
        <v>6.1769839E7</v>
      </c>
      <c r="G401" s="7">
        <v>6.8389576E7</v>
      </c>
      <c r="H401" s="7">
        <v>4.01252668E9</v>
      </c>
      <c r="I401" s="7">
        <v>1268320.0</v>
      </c>
      <c r="J401" s="7">
        <v>1152515.0</v>
      </c>
      <c r="K401" s="7">
        <v>115805.0</v>
      </c>
      <c r="L401" s="7">
        <v>38.09</v>
      </c>
      <c r="M401" s="7">
        <v>-0.02</v>
      </c>
      <c r="N401" s="7">
        <v>177632.0</v>
      </c>
      <c r="O401" s="7">
        <v>1.8985303E7</v>
      </c>
      <c r="P401" s="7" t="s">
        <v>411</v>
      </c>
      <c r="Q401" s="7">
        <v>5003.96</v>
      </c>
      <c r="R401" s="3">
        <f t="shared" si="1"/>
        <v>10000</v>
      </c>
    </row>
    <row r="403">
      <c r="P403" s="4" t="s">
        <v>408</v>
      </c>
      <c r="Q403" s="4" t="s">
        <v>4</v>
      </c>
    </row>
    <row r="404">
      <c r="P404" s="5">
        <f t="shared" ref="P404:Q404" si="2">SUM(Q2:Q401)/400</f>
        <v>3067.408625</v>
      </c>
      <c r="Q404" s="5">
        <f t="shared" si="2"/>
        <v>5740.3496</v>
      </c>
    </row>
    <row r="405">
      <c r="N405" s="4" t="s">
        <v>409</v>
      </c>
      <c r="O405" s="5">
        <f>COUNTIF(P2:P401,"=SAT")</f>
        <v>111</v>
      </c>
    </row>
    <row r="406">
      <c r="N406" s="4" t="s">
        <v>410</v>
      </c>
      <c r="O406" s="5">
        <f>COUNTIF(P2:P401,"=UNSAT")</f>
        <v>75</v>
      </c>
    </row>
    <row r="407">
      <c r="N407" s="4" t="s">
        <v>411</v>
      </c>
      <c r="O407" s="5">
        <f>COUNTIF(P2:P401,"=IND")</f>
        <v>214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8" max="8" width="8.13"/>
    <col customWidth="1" min="9" max="9" width="7.75"/>
    <col customWidth="1" min="10" max="10" width="6.63"/>
    <col customWidth="1" min="11" max="11" width="10.63"/>
    <col customWidth="1" min="12" max="12" width="10.5"/>
    <col customWidth="1" min="13" max="13" width="11.13"/>
    <col customWidth="1" min="14" max="14" width="10.5"/>
    <col customWidth="1" min="15" max="15" width="9.75"/>
    <col customWidth="1" min="16" max="16" width="10.63"/>
    <col customWidth="1" min="17" max="17" width="12.13"/>
  </cols>
  <sheetData>
    <row r="1" ht="22.5" customHeight="1">
      <c r="A1" s="1" t="s">
        <v>0</v>
      </c>
      <c r="B1" s="2" t="s">
        <v>1</v>
      </c>
      <c r="C1" s="6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419</v>
      </c>
      <c r="K1" s="2" t="s">
        <v>420</v>
      </c>
      <c r="L1" s="2" t="s">
        <v>421</v>
      </c>
      <c r="M1" s="2" t="s">
        <v>422</v>
      </c>
      <c r="N1" s="2" t="s">
        <v>423</v>
      </c>
      <c r="O1" s="2" t="s">
        <v>424</v>
      </c>
      <c r="P1" s="2" t="s">
        <v>2</v>
      </c>
      <c r="Q1" s="2" t="s">
        <v>3</v>
      </c>
      <c r="R1" s="1" t="s">
        <v>4</v>
      </c>
    </row>
    <row r="2" ht="22.5" customHeight="1">
      <c r="B2" s="7" t="s">
        <v>429</v>
      </c>
      <c r="C2" s="7">
        <v>2320.0</v>
      </c>
      <c r="D2" s="7">
        <v>8240.0</v>
      </c>
      <c r="E2" s="7">
        <v>4.0</v>
      </c>
      <c r="F2" s="7">
        <v>3.0</v>
      </c>
      <c r="G2" s="7">
        <v>5.0</v>
      </c>
      <c r="H2" s="7">
        <v>1225.0</v>
      </c>
      <c r="I2" s="7">
        <v>0.0</v>
      </c>
      <c r="J2" s="7">
        <v>0.0</v>
      </c>
      <c r="K2" s="7">
        <v>0.0</v>
      </c>
      <c r="L2" s="7">
        <v>1.0</v>
      </c>
      <c r="M2" s="7">
        <v>-0.67</v>
      </c>
      <c r="N2" s="7">
        <v>0.0</v>
      </c>
      <c r="O2" s="7">
        <v>0.0</v>
      </c>
      <c r="P2" s="7" t="s">
        <v>410</v>
      </c>
      <c r="Q2" s="7">
        <v>0.01</v>
      </c>
      <c r="R2" s="3">
        <f t="shared" ref="R2:R401" si="1">IF(P2="IND", 10000, Q2)</f>
        <v>0.01</v>
      </c>
    </row>
    <row r="3" ht="22.5" customHeight="1">
      <c r="B3" s="7" t="s">
        <v>430</v>
      </c>
      <c r="C3" s="7">
        <v>3328.0</v>
      </c>
      <c r="D3" s="7">
        <v>10944.0</v>
      </c>
      <c r="E3" s="7">
        <v>0.0</v>
      </c>
      <c r="F3" s="7">
        <v>0.0</v>
      </c>
      <c r="G3" s="7">
        <v>0.0</v>
      </c>
      <c r="H3" s="7">
        <v>352.0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 t="s">
        <v>409</v>
      </c>
      <c r="Q3" s="7">
        <v>0.01</v>
      </c>
      <c r="R3" s="3">
        <f t="shared" si="1"/>
        <v>0.01</v>
      </c>
    </row>
    <row r="4" ht="22.5" customHeight="1">
      <c r="B4" s="7" t="s">
        <v>431</v>
      </c>
      <c r="C4" s="7">
        <v>3648.0</v>
      </c>
      <c r="D4" s="7">
        <v>12032.0</v>
      </c>
      <c r="E4" s="7">
        <v>0.0</v>
      </c>
      <c r="F4" s="7">
        <v>0.0</v>
      </c>
      <c r="G4" s="7">
        <v>0.0</v>
      </c>
      <c r="H4" s="7">
        <v>352.0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 t="s">
        <v>409</v>
      </c>
      <c r="Q4" s="7">
        <v>0.01</v>
      </c>
      <c r="R4" s="3">
        <f t="shared" si="1"/>
        <v>0.01</v>
      </c>
    </row>
    <row r="5" ht="22.5" customHeight="1">
      <c r="B5" s="7" t="s">
        <v>432</v>
      </c>
      <c r="C5" s="7">
        <v>4220.0</v>
      </c>
      <c r="D5" s="7">
        <v>14391.0</v>
      </c>
      <c r="E5" s="7">
        <v>6.0</v>
      </c>
      <c r="F5" s="7">
        <v>5.0</v>
      </c>
      <c r="G5" s="7">
        <v>11.0</v>
      </c>
      <c r="H5" s="7">
        <v>2971.0</v>
      </c>
      <c r="I5" s="7">
        <v>1.0</v>
      </c>
      <c r="J5" s="7">
        <v>1.0</v>
      </c>
      <c r="K5" s="7">
        <v>0.0</v>
      </c>
      <c r="L5" s="7">
        <v>1.0</v>
      </c>
      <c r="M5" s="7">
        <v>-0.8</v>
      </c>
      <c r="N5" s="7">
        <v>0.0</v>
      </c>
      <c r="O5" s="7">
        <v>1.0</v>
      </c>
      <c r="P5" s="7" t="s">
        <v>410</v>
      </c>
      <c r="Q5" s="7">
        <v>0.01</v>
      </c>
      <c r="R5" s="3">
        <f t="shared" si="1"/>
        <v>0.01</v>
      </c>
    </row>
    <row r="6" ht="22.5" customHeight="1">
      <c r="B6" s="7" t="s">
        <v>433</v>
      </c>
      <c r="C6" s="7">
        <v>1180.0</v>
      </c>
      <c r="D6" s="7">
        <v>635898.0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 t="s">
        <v>409</v>
      </c>
      <c r="Q6" s="7">
        <v>0.18</v>
      </c>
      <c r="R6" s="3">
        <f t="shared" si="1"/>
        <v>0.18</v>
      </c>
    </row>
    <row r="7" ht="22.5" customHeight="1">
      <c r="B7" s="7" t="s">
        <v>435</v>
      </c>
      <c r="C7" s="7">
        <v>1948.0</v>
      </c>
      <c r="D7" s="7">
        <v>1458450.0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 t="s">
        <v>409</v>
      </c>
      <c r="Q7" s="7">
        <v>0.45</v>
      </c>
      <c r="R7" s="3">
        <f t="shared" si="1"/>
        <v>0.45</v>
      </c>
    </row>
    <row r="8" ht="22.5" customHeight="1">
      <c r="B8" s="7" t="s">
        <v>434</v>
      </c>
      <c r="C8" s="7">
        <v>296051.0</v>
      </c>
      <c r="D8" s="7">
        <v>968712.0</v>
      </c>
      <c r="E8" s="7">
        <v>0.0</v>
      </c>
      <c r="F8" s="7">
        <v>0.0</v>
      </c>
      <c r="G8" s="7">
        <v>0.0</v>
      </c>
      <c r="H8" s="7">
        <v>1.0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 t="s">
        <v>409</v>
      </c>
      <c r="Q8" s="7">
        <v>0.46</v>
      </c>
      <c r="R8" s="3">
        <f t="shared" si="1"/>
        <v>0.46</v>
      </c>
    </row>
    <row r="9" ht="22.5" customHeight="1">
      <c r="B9" s="7" t="s">
        <v>437</v>
      </c>
      <c r="C9" s="7">
        <v>8400.0</v>
      </c>
      <c r="D9" s="7">
        <v>3941000.0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 t="s">
        <v>409</v>
      </c>
      <c r="Q9" s="7">
        <v>1.23</v>
      </c>
      <c r="R9" s="3">
        <f t="shared" si="1"/>
        <v>1.23</v>
      </c>
    </row>
    <row r="10" ht="22.5" customHeight="1">
      <c r="B10" s="7" t="s">
        <v>438</v>
      </c>
      <c r="C10" s="7">
        <v>4660.0</v>
      </c>
      <c r="D10" s="7">
        <v>4198168.0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 t="s">
        <v>409</v>
      </c>
      <c r="Q10" s="7">
        <v>1.42</v>
      </c>
      <c r="R10" s="3">
        <f t="shared" si="1"/>
        <v>1.42</v>
      </c>
    </row>
    <row r="11" ht="22.5" customHeight="1">
      <c r="B11" s="7" t="s">
        <v>439</v>
      </c>
      <c r="C11" s="7">
        <v>7500.0</v>
      </c>
      <c r="D11" s="7">
        <v>3136245.0</v>
      </c>
      <c r="E11" s="7">
        <v>0.0</v>
      </c>
      <c r="F11" s="7">
        <v>0.0</v>
      </c>
      <c r="G11" s="7">
        <v>0.0</v>
      </c>
      <c r="H11" s="7">
        <v>7500.0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 t="s">
        <v>409</v>
      </c>
      <c r="Q11" s="7">
        <v>1.5</v>
      </c>
      <c r="R11" s="3">
        <f t="shared" si="1"/>
        <v>1.5</v>
      </c>
    </row>
    <row r="12" ht="22.5" customHeight="1">
      <c r="B12" s="7" t="s">
        <v>440</v>
      </c>
      <c r="C12" s="7">
        <v>3896.0</v>
      </c>
      <c r="D12" s="7">
        <v>2918848.0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 t="s">
        <v>409</v>
      </c>
      <c r="Q12" s="7">
        <v>1.57</v>
      </c>
      <c r="R12" s="3">
        <f t="shared" si="1"/>
        <v>1.57</v>
      </c>
    </row>
    <row r="13" ht="22.5" customHeight="1">
      <c r="B13" s="7" t="s">
        <v>436</v>
      </c>
      <c r="C13" s="7">
        <v>320.0</v>
      </c>
      <c r="D13" s="7">
        <v>30726.0</v>
      </c>
      <c r="E13" s="7">
        <v>22406.0</v>
      </c>
      <c r="F13" s="7">
        <v>21727.0</v>
      </c>
      <c r="G13" s="7">
        <v>40402.0</v>
      </c>
      <c r="H13" s="7">
        <v>401738.0</v>
      </c>
      <c r="I13" s="7">
        <v>1071.0</v>
      </c>
      <c r="J13" s="7">
        <v>903.0</v>
      </c>
      <c r="K13" s="7">
        <v>168.0</v>
      </c>
      <c r="L13" s="7">
        <v>154.99</v>
      </c>
      <c r="M13" s="7">
        <v>-0.07</v>
      </c>
      <c r="N13" s="7">
        <v>194.0</v>
      </c>
      <c r="O13" s="7">
        <v>12442.0</v>
      </c>
      <c r="P13" s="7" t="s">
        <v>409</v>
      </c>
      <c r="Q13" s="7">
        <v>1.78</v>
      </c>
      <c r="R13" s="3">
        <f t="shared" si="1"/>
        <v>1.78</v>
      </c>
    </row>
    <row r="14" ht="22.5" customHeight="1">
      <c r="B14" s="7" t="s">
        <v>442</v>
      </c>
      <c r="C14" s="7">
        <v>4165.0</v>
      </c>
      <c r="D14" s="7">
        <v>7173053.0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 t="s">
        <v>409</v>
      </c>
      <c r="Q14" s="7">
        <v>2.31</v>
      </c>
      <c r="R14" s="3">
        <f t="shared" si="1"/>
        <v>2.31</v>
      </c>
    </row>
    <row r="15" ht="22.5" customHeight="1">
      <c r="B15" s="7" t="s">
        <v>441</v>
      </c>
      <c r="C15" s="7">
        <v>5428.0</v>
      </c>
      <c r="D15" s="7">
        <v>5721464.0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 t="s">
        <v>409</v>
      </c>
      <c r="Q15" s="7">
        <v>2.32</v>
      </c>
      <c r="R15" s="3">
        <f t="shared" si="1"/>
        <v>2.32</v>
      </c>
    </row>
    <row r="16" ht="22.5" customHeight="1">
      <c r="B16" s="7" t="s">
        <v>443</v>
      </c>
      <c r="C16" s="7">
        <v>5892.0</v>
      </c>
      <c r="D16" s="7">
        <v>23300.0</v>
      </c>
      <c r="E16" s="7">
        <v>32120.0</v>
      </c>
      <c r="F16" s="7">
        <v>31452.0</v>
      </c>
      <c r="G16" s="7">
        <v>65206.0</v>
      </c>
      <c r="H16" s="7">
        <v>1.241568E7</v>
      </c>
      <c r="I16" s="7">
        <v>1541.0</v>
      </c>
      <c r="J16" s="7">
        <v>1368.0</v>
      </c>
      <c r="K16" s="7">
        <v>173.0</v>
      </c>
      <c r="L16" s="7">
        <v>28.54</v>
      </c>
      <c r="M16" s="7">
        <v>-0.09</v>
      </c>
      <c r="N16" s="7">
        <v>204.0</v>
      </c>
      <c r="O16" s="7">
        <v>23113.0</v>
      </c>
      <c r="P16" s="7" t="s">
        <v>409</v>
      </c>
      <c r="Q16" s="7">
        <v>3.15</v>
      </c>
      <c r="R16" s="3">
        <f t="shared" si="1"/>
        <v>3.15</v>
      </c>
    </row>
    <row r="17" ht="22.5" customHeight="1">
      <c r="B17" s="7" t="s">
        <v>493</v>
      </c>
      <c r="C17" s="7">
        <v>43977.0</v>
      </c>
      <c r="D17" s="7">
        <v>185569.0</v>
      </c>
      <c r="E17" s="7">
        <v>10030.0</v>
      </c>
      <c r="F17" s="7">
        <v>9648.0</v>
      </c>
      <c r="G17" s="7">
        <v>62518.0</v>
      </c>
      <c r="H17" s="7">
        <v>1.1470722E7</v>
      </c>
      <c r="I17" s="7">
        <v>606.0</v>
      </c>
      <c r="J17" s="7">
        <v>565.0</v>
      </c>
      <c r="K17" s="7">
        <v>41.0</v>
      </c>
      <c r="L17" s="7">
        <v>72.89</v>
      </c>
      <c r="M17" s="7">
        <v>-0.16</v>
      </c>
      <c r="N17" s="7">
        <v>57.0</v>
      </c>
      <c r="O17" s="7">
        <v>8934.0</v>
      </c>
      <c r="P17" s="7" t="s">
        <v>409</v>
      </c>
      <c r="Q17" s="7">
        <v>3.3</v>
      </c>
      <c r="R17" s="3">
        <f t="shared" si="1"/>
        <v>3.3</v>
      </c>
    </row>
    <row r="18" ht="22.5" customHeight="1">
      <c r="B18" s="7" t="s">
        <v>447</v>
      </c>
      <c r="C18" s="7">
        <v>19260.0</v>
      </c>
      <c r="D18" s="7">
        <v>5481578.0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 t="s">
        <v>409</v>
      </c>
      <c r="Q18" s="7">
        <v>3.46</v>
      </c>
      <c r="R18" s="3">
        <f t="shared" si="1"/>
        <v>3.46</v>
      </c>
    </row>
    <row r="19" ht="22.5" customHeight="1">
      <c r="B19" s="7" t="s">
        <v>444</v>
      </c>
      <c r="C19" s="7">
        <v>14432.0</v>
      </c>
      <c r="D19" s="7">
        <v>7330186.0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 t="s">
        <v>409</v>
      </c>
      <c r="Q19" s="7">
        <v>3.99</v>
      </c>
      <c r="R19" s="3">
        <f t="shared" si="1"/>
        <v>3.99</v>
      </c>
    </row>
    <row r="20" ht="22.5" customHeight="1">
      <c r="B20" s="7" t="s">
        <v>445</v>
      </c>
      <c r="C20" s="7">
        <v>384.0</v>
      </c>
      <c r="D20" s="7">
        <v>44173.0</v>
      </c>
      <c r="E20" s="7">
        <v>45531.0</v>
      </c>
      <c r="F20" s="7">
        <v>44177.0</v>
      </c>
      <c r="G20" s="7">
        <v>85312.0</v>
      </c>
      <c r="H20" s="7">
        <v>842047.0</v>
      </c>
      <c r="I20" s="7">
        <v>1886.0</v>
      </c>
      <c r="J20" s="7">
        <v>1511.0</v>
      </c>
      <c r="K20" s="7">
        <v>375.0</v>
      </c>
      <c r="L20" s="7">
        <v>172.02</v>
      </c>
      <c r="M20" s="7">
        <v>-0.06</v>
      </c>
      <c r="N20" s="7">
        <v>439.0</v>
      </c>
      <c r="O20" s="7">
        <v>21701.0</v>
      </c>
      <c r="P20" s="7" t="s">
        <v>409</v>
      </c>
      <c r="Q20" s="7">
        <v>4.39</v>
      </c>
      <c r="R20" s="3">
        <f t="shared" si="1"/>
        <v>4.39</v>
      </c>
    </row>
    <row r="21" ht="22.5" customHeight="1">
      <c r="B21" s="7" t="s">
        <v>450</v>
      </c>
      <c r="C21" s="7">
        <v>10977.0</v>
      </c>
      <c r="D21" s="7">
        <v>21826.0</v>
      </c>
      <c r="E21" s="7">
        <v>142755.0</v>
      </c>
      <c r="F21" s="7">
        <v>137976.0</v>
      </c>
      <c r="G21" s="7">
        <v>270208.0</v>
      </c>
      <c r="H21" s="7">
        <v>8033443.0</v>
      </c>
      <c r="I21" s="7">
        <v>7280.0</v>
      </c>
      <c r="J21" s="7">
        <v>6621.0</v>
      </c>
      <c r="K21" s="7">
        <v>659.0</v>
      </c>
      <c r="L21" s="7">
        <v>14.68</v>
      </c>
      <c r="M21" s="7">
        <v>-0.09</v>
      </c>
      <c r="N21" s="7">
        <v>822.0</v>
      </c>
      <c r="O21" s="7">
        <v>81115.0</v>
      </c>
      <c r="P21" s="7" t="s">
        <v>410</v>
      </c>
      <c r="Q21" s="7">
        <v>5.24</v>
      </c>
      <c r="R21" s="3">
        <f t="shared" si="1"/>
        <v>5.24</v>
      </c>
    </row>
    <row r="22" ht="22.5" customHeight="1">
      <c r="B22" s="7" t="s">
        <v>446</v>
      </c>
      <c r="C22" s="7">
        <v>10110.0</v>
      </c>
      <c r="D22" s="7">
        <v>9992832.0</v>
      </c>
      <c r="E22" s="7">
        <v>0.0</v>
      </c>
      <c r="F22" s="7">
        <v>0.0</v>
      </c>
      <c r="G22" s="7">
        <v>0.0</v>
      </c>
      <c r="H22" s="7">
        <v>126.0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 t="s">
        <v>409</v>
      </c>
      <c r="Q22" s="7">
        <v>5.5</v>
      </c>
      <c r="R22" s="3">
        <f t="shared" si="1"/>
        <v>5.5</v>
      </c>
    </row>
    <row r="23" ht="22.5" customHeight="1">
      <c r="B23" s="7" t="s">
        <v>464</v>
      </c>
      <c r="C23" s="7">
        <v>5096.0</v>
      </c>
      <c r="D23" s="7">
        <v>80154.0</v>
      </c>
      <c r="E23" s="7">
        <v>72895.0</v>
      </c>
      <c r="F23" s="7">
        <v>70732.0</v>
      </c>
      <c r="G23" s="7">
        <v>246272.0</v>
      </c>
      <c r="H23" s="7">
        <v>1.3795772E7</v>
      </c>
      <c r="I23" s="7">
        <v>1844.0</v>
      </c>
      <c r="J23" s="7">
        <v>1425.0</v>
      </c>
      <c r="K23" s="7">
        <v>419.0</v>
      </c>
      <c r="L23" s="7">
        <v>34.87</v>
      </c>
      <c r="M23" s="7">
        <v>-0.08</v>
      </c>
      <c r="N23" s="7">
        <v>541.0</v>
      </c>
      <c r="O23" s="7">
        <v>68269.0</v>
      </c>
      <c r="P23" s="7" t="s">
        <v>410</v>
      </c>
      <c r="Q23" s="7">
        <v>5.57</v>
      </c>
      <c r="R23" s="3">
        <f t="shared" si="1"/>
        <v>5.57</v>
      </c>
    </row>
    <row r="24" ht="22.5" customHeight="1">
      <c r="B24" s="7" t="s">
        <v>541</v>
      </c>
      <c r="C24" s="7">
        <v>550.0</v>
      </c>
      <c r="D24" s="7">
        <v>4941.0</v>
      </c>
      <c r="E24" s="7">
        <v>158072.0</v>
      </c>
      <c r="F24" s="7">
        <v>154429.0</v>
      </c>
      <c r="G24" s="7">
        <v>292880.0</v>
      </c>
      <c r="H24" s="7">
        <v>1.371141E7</v>
      </c>
      <c r="I24" s="7">
        <v>6714.0</v>
      </c>
      <c r="J24" s="7">
        <v>5800.0</v>
      </c>
      <c r="K24" s="7">
        <v>914.0</v>
      </c>
      <c r="L24" s="7">
        <v>25.41</v>
      </c>
      <c r="M24" s="7">
        <v>-0.07</v>
      </c>
      <c r="N24" s="7">
        <v>1118.0</v>
      </c>
      <c r="O24" s="7">
        <v>72906.0</v>
      </c>
      <c r="P24" s="7" t="s">
        <v>409</v>
      </c>
      <c r="Q24" s="7">
        <v>8.21</v>
      </c>
      <c r="R24" s="3">
        <f t="shared" si="1"/>
        <v>8.21</v>
      </c>
    </row>
    <row r="25" ht="22.5" customHeight="1">
      <c r="B25" s="7" t="s">
        <v>451</v>
      </c>
      <c r="C25" s="7">
        <v>6737543.0</v>
      </c>
      <c r="D25" s="7">
        <v>1.6772613E7</v>
      </c>
      <c r="E25" s="7">
        <v>0.0</v>
      </c>
      <c r="F25" s="7">
        <v>0.0</v>
      </c>
      <c r="G25" s="7">
        <v>0.0</v>
      </c>
      <c r="H25" s="7">
        <v>833800.0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 t="s">
        <v>409</v>
      </c>
      <c r="Q25" s="7">
        <v>8.48</v>
      </c>
      <c r="R25" s="3">
        <f t="shared" si="1"/>
        <v>8.48</v>
      </c>
    </row>
    <row r="26" ht="22.5" customHeight="1">
      <c r="B26" s="7" t="s">
        <v>503</v>
      </c>
      <c r="C26" s="7">
        <v>272.0</v>
      </c>
      <c r="D26" s="7">
        <v>200920.0</v>
      </c>
      <c r="E26" s="7">
        <v>116715.0</v>
      </c>
      <c r="F26" s="7">
        <v>114330.0</v>
      </c>
      <c r="G26" s="7">
        <v>151402.0</v>
      </c>
      <c r="H26" s="7">
        <v>3079370.0</v>
      </c>
      <c r="I26" s="7">
        <v>4287.0</v>
      </c>
      <c r="J26" s="7">
        <v>3719.0</v>
      </c>
      <c r="K26" s="7">
        <v>568.0</v>
      </c>
      <c r="L26" s="7">
        <v>26.1</v>
      </c>
      <c r="M26" s="7">
        <v>-0.05</v>
      </c>
      <c r="N26" s="7">
        <v>684.0</v>
      </c>
      <c r="O26" s="7">
        <v>75544.0</v>
      </c>
      <c r="P26" s="7" t="s">
        <v>409</v>
      </c>
      <c r="Q26" s="7">
        <v>8.65</v>
      </c>
      <c r="R26" s="3">
        <f t="shared" si="1"/>
        <v>8.65</v>
      </c>
    </row>
    <row r="27" ht="22.5" customHeight="1">
      <c r="B27" s="7" t="s">
        <v>518</v>
      </c>
      <c r="C27" s="7">
        <v>220.0</v>
      </c>
      <c r="D27" s="7">
        <v>1122.0</v>
      </c>
      <c r="E27" s="7">
        <v>278138.0</v>
      </c>
      <c r="F27" s="7">
        <v>276249.0</v>
      </c>
      <c r="G27" s="7">
        <v>326984.0</v>
      </c>
      <c r="H27" s="7">
        <v>4002611.0</v>
      </c>
      <c r="I27" s="7">
        <v>8053.0</v>
      </c>
      <c r="J27" s="7">
        <v>5525.0</v>
      </c>
      <c r="K27" s="7">
        <v>2528.0</v>
      </c>
      <c r="L27" s="7">
        <v>28.49</v>
      </c>
      <c r="M27" s="7">
        <v>-0.04</v>
      </c>
      <c r="N27" s="7">
        <v>2982.0</v>
      </c>
      <c r="O27" s="7">
        <v>97141.0</v>
      </c>
      <c r="P27" s="7" t="s">
        <v>410</v>
      </c>
      <c r="Q27" s="7">
        <v>9.12</v>
      </c>
      <c r="R27" s="3">
        <f t="shared" si="1"/>
        <v>9.12</v>
      </c>
    </row>
    <row r="28" ht="22.5" customHeight="1">
      <c r="B28" s="7" t="s">
        <v>454</v>
      </c>
      <c r="C28" s="7">
        <v>12350.0</v>
      </c>
      <c r="D28" s="7">
        <v>2.5473024E7</v>
      </c>
      <c r="E28" s="7">
        <v>0.0</v>
      </c>
      <c r="F28" s="7">
        <v>0.0</v>
      </c>
      <c r="G28" s="7">
        <v>0.0</v>
      </c>
      <c r="H28" s="7">
        <v>62.0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 t="s">
        <v>409</v>
      </c>
      <c r="Q28" s="7">
        <v>9.15</v>
      </c>
      <c r="R28" s="3">
        <f t="shared" si="1"/>
        <v>9.15</v>
      </c>
    </row>
    <row r="29" ht="22.5" customHeight="1">
      <c r="B29" s="7" t="s">
        <v>455</v>
      </c>
      <c r="C29" s="7">
        <v>8085143.0</v>
      </c>
      <c r="D29" s="7">
        <v>2.0127513E7</v>
      </c>
      <c r="E29" s="7">
        <v>0.0</v>
      </c>
      <c r="F29" s="7">
        <v>0.0</v>
      </c>
      <c r="G29" s="7">
        <v>0.0</v>
      </c>
      <c r="H29" s="7">
        <v>1000200.0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 t="s">
        <v>409</v>
      </c>
      <c r="Q29" s="7">
        <v>9.85</v>
      </c>
      <c r="R29" s="3">
        <f t="shared" si="1"/>
        <v>9.85</v>
      </c>
    </row>
    <row r="30" ht="22.5" customHeight="1">
      <c r="B30" s="7" t="s">
        <v>502</v>
      </c>
      <c r="C30" s="7">
        <v>41734.0</v>
      </c>
      <c r="D30" s="7">
        <v>62235.0</v>
      </c>
      <c r="E30" s="7">
        <v>40191.0</v>
      </c>
      <c r="F30" s="7">
        <v>39241.0</v>
      </c>
      <c r="G30" s="7">
        <v>132335.0</v>
      </c>
      <c r="H30" s="7">
        <v>4.7730282E7</v>
      </c>
      <c r="I30" s="7">
        <v>1811.0</v>
      </c>
      <c r="J30" s="7">
        <v>1529.0</v>
      </c>
      <c r="K30" s="7">
        <v>282.0</v>
      </c>
      <c r="L30" s="7">
        <v>55.38</v>
      </c>
      <c r="M30" s="7">
        <v>-0.08</v>
      </c>
      <c r="N30" s="7">
        <v>335.0</v>
      </c>
      <c r="O30" s="7">
        <v>22200.0</v>
      </c>
      <c r="P30" s="7" t="s">
        <v>409</v>
      </c>
      <c r="Q30" s="7">
        <v>10.3</v>
      </c>
      <c r="R30" s="3">
        <f t="shared" si="1"/>
        <v>10.3</v>
      </c>
    </row>
    <row r="31" ht="22.5" customHeight="1">
      <c r="B31" s="7" t="s">
        <v>568</v>
      </c>
      <c r="C31" s="7">
        <v>180.0</v>
      </c>
      <c r="D31" s="7">
        <v>3160.0</v>
      </c>
      <c r="E31" s="7">
        <v>288077.0</v>
      </c>
      <c r="F31" s="7">
        <v>285803.0</v>
      </c>
      <c r="G31" s="7">
        <v>358877.0</v>
      </c>
      <c r="H31" s="7">
        <v>3997871.0</v>
      </c>
      <c r="I31" s="7">
        <v>11902.0</v>
      </c>
      <c r="J31" s="7">
        <v>8732.0</v>
      </c>
      <c r="K31" s="7">
        <v>3170.0</v>
      </c>
      <c r="L31" s="7">
        <v>43.3</v>
      </c>
      <c r="M31" s="7">
        <v>-0.03</v>
      </c>
      <c r="N31" s="7">
        <v>3587.0</v>
      </c>
      <c r="O31" s="7">
        <v>93565.0</v>
      </c>
      <c r="P31" s="7" t="s">
        <v>410</v>
      </c>
      <c r="Q31" s="7">
        <v>12.27</v>
      </c>
      <c r="R31" s="3">
        <f t="shared" si="1"/>
        <v>12.27</v>
      </c>
    </row>
    <row r="32" ht="22.5" customHeight="1">
      <c r="B32" s="7" t="s">
        <v>448</v>
      </c>
      <c r="C32" s="7">
        <v>568.0</v>
      </c>
      <c r="D32" s="7">
        <v>553495.0</v>
      </c>
      <c r="E32" s="7">
        <v>21011.0</v>
      </c>
      <c r="F32" s="7">
        <v>20600.0</v>
      </c>
      <c r="G32" s="7">
        <v>303918.0</v>
      </c>
      <c r="H32" s="7">
        <v>388917.0</v>
      </c>
      <c r="I32" s="7">
        <v>148.0</v>
      </c>
      <c r="J32" s="7">
        <v>146.0</v>
      </c>
      <c r="K32" s="7">
        <v>2.0</v>
      </c>
      <c r="L32" s="7">
        <v>11.48</v>
      </c>
      <c r="M32" s="7">
        <v>-0.2</v>
      </c>
      <c r="N32" s="7">
        <v>36.0</v>
      </c>
      <c r="O32" s="7">
        <v>149394.0</v>
      </c>
      <c r="P32" s="7" t="s">
        <v>409</v>
      </c>
      <c r="Q32" s="7">
        <v>12.45</v>
      </c>
      <c r="R32" s="3">
        <f t="shared" si="1"/>
        <v>12.45</v>
      </c>
    </row>
    <row r="33" ht="22.5" customHeight="1">
      <c r="B33" s="7" t="s">
        <v>457</v>
      </c>
      <c r="C33" s="7">
        <v>7216.0</v>
      </c>
      <c r="D33" s="7">
        <v>2213253.0</v>
      </c>
      <c r="E33" s="7">
        <v>49269.0</v>
      </c>
      <c r="F33" s="7">
        <v>48035.0</v>
      </c>
      <c r="G33" s="7">
        <v>140755.0</v>
      </c>
      <c r="H33" s="7">
        <v>4223631.0</v>
      </c>
      <c r="I33" s="7">
        <v>2446.0</v>
      </c>
      <c r="J33" s="7">
        <v>1799.0</v>
      </c>
      <c r="K33" s="7">
        <v>647.0</v>
      </c>
      <c r="L33" s="7">
        <v>237.15</v>
      </c>
      <c r="M33" s="7">
        <v>-0.05</v>
      </c>
      <c r="N33" s="7">
        <v>709.0</v>
      </c>
      <c r="O33" s="7">
        <v>26274.0</v>
      </c>
      <c r="P33" s="7" t="s">
        <v>410</v>
      </c>
      <c r="Q33" s="7">
        <v>14.0</v>
      </c>
      <c r="R33" s="3">
        <f t="shared" si="1"/>
        <v>14</v>
      </c>
    </row>
    <row r="34" ht="22.5" customHeight="1">
      <c r="B34" s="7" t="s">
        <v>456</v>
      </c>
      <c r="C34" s="7">
        <v>9432743.0</v>
      </c>
      <c r="D34" s="7">
        <v>2.3482413E7</v>
      </c>
      <c r="E34" s="7">
        <v>0.0</v>
      </c>
      <c r="F34" s="7">
        <v>0.0</v>
      </c>
      <c r="G34" s="7">
        <v>0.0</v>
      </c>
      <c r="H34" s="7">
        <v>1166600.0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 t="s">
        <v>409</v>
      </c>
      <c r="Q34" s="7">
        <v>14.09</v>
      </c>
      <c r="R34" s="3">
        <f t="shared" si="1"/>
        <v>14.09</v>
      </c>
    </row>
    <row r="35" ht="22.5" customHeight="1">
      <c r="B35" s="7" t="s">
        <v>458</v>
      </c>
      <c r="C35" s="7">
        <v>1.0780343E7</v>
      </c>
      <c r="D35" s="7">
        <v>2.6837313E7</v>
      </c>
      <c r="E35" s="7">
        <v>0.0</v>
      </c>
      <c r="F35" s="7">
        <v>0.0</v>
      </c>
      <c r="G35" s="7">
        <v>0.0</v>
      </c>
      <c r="H35" s="7">
        <v>1333000.0</v>
      </c>
      <c r="I35" s="7">
        <v>0.0</v>
      </c>
      <c r="J35" s="7">
        <v>0.0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 t="s">
        <v>409</v>
      </c>
      <c r="Q35" s="7">
        <v>14.3</v>
      </c>
      <c r="R35" s="3">
        <f t="shared" si="1"/>
        <v>14.3</v>
      </c>
    </row>
    <row r="36" ht="22.5" customHeight="1">
      <c r="B36" s="7" t="s">
        <v>461</v>
      </c>
      <c r="C36" s="7">
        <v>178500.0</v>
      </c>
      <c r="D36" s="7">
        <v>4.3865066E7</v>
      </c>
      <c r="E36" s="7">
        <v>0.0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7" t="s">
        <v>409</v>
      </c>
      <c r="Q36" s="7">
        <v>14.46</v>
      </c>
      <c r="R36" s="3">
        <f t="shared" si="1"/>
        <v>14.46</v>
      </c>
    </row>
    <row r="37" ht="22.5" customHeight="1">
      <c r="B37" s="7" t="s">
        <v>460</v>
      </c>
      <c r="C37" s="7">
        <v>1.2127943E7</v>
      </c>
      <c r="D37" s="7">
        <v>3.0192213E7</v>
      </c>
      <c r="E37" s="7">
        <v>0.0</v>
      </c>
      <c r="F37" s="7">
        <v>0.0</v>
      </c>
      <c r="G37" s="7">
        <v>0.0</v>
      </c>
      <c r="H37" s="7">
        <v>1499400.0</v>
      </c>
      <c r="I37" s="7">
        <v>0.0</v>
      </c>
      <c r="J37" s="7">
        <v>0.0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7" t="s">
        <v>409</v>
      </c>
      <c r="Q37" s="7">
        <v>14.81</v>
      </c>
      <c r="R37" s="3">
        <f t="shared" si="1"/>
        <v>14.81</v>
      </c>
    </row>
    <row r="38" ht="22.5" customHeight="1">
      <c r="B38" s="7" t="s">
        <v>449</v>
      </c>
      <c r="C38" s="7">
        <v>862.0</v>
      </c>
      <c r="D38" s="7">
        <v>855716.0</v>
      </c>
      <c r="E38" s="7">
        <v>21011.0</v>
      </c>
      <c r="F38" s="7">
        <v>20557.0</v>
      </c>
      <c r="G38" s="7">
        <v>447584.0</v>
      </c>
      <c r="H38" s="7">
        <v>539748.0</v>
      </c>
      <c r="I38" s="7">
        <v>91.0</v>
      </c>
      <c r="J38" s="7">
        <v>91.0</v>
      </c>
      <c r="K38" s="7">
        <v>0.0</v>
      </c>
      <c r="L38" s="7">
        <v>11.34</v>
      </c>
      <c r="M38" s="7">
        <v>-0.23</v>
      </c>
      <c r="N38" s="7">
        <v>34.0</v>
      </c>
      <c r="O38" s="7">
        <v>240624.0</v>
      </c>
      <c r="P38" s="7" t="s">
        <v>409</v>
      </c>
      <c r="Q38" s="7">
        <v>14.82</v>
      </c>
      <c r="R38" s="3">
        <f t="shared" si="1"/>
        <v>14.82</v>
      </c>
    </row>
    <row r="39" ht="22.5" customHeight="1">
      <c r="B39" s="7" t="s">
        <v>466</v>
      </c>
      <c r="C39" s="7">
        <v>178500.0</v>
      </c>
      <c r="D39" s="7">
        <v>4.3858644E7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 t="s">
        <v>409</v>
      </c>
      <c r="Q39" s="7">
        <v>14.84</v>
      </c>
      <c r="R39" s="3">
        <f t="shared" si="1"/>
        <v>14.84</v>
      </c>
    </row>
    <row r="40" ht="22.5" customHeight="1">
      <c r="B40" s="7" t="s">
        <v>467</v>
      </c>
      <c r="C40" s="7">
        <v>1.3475543E7</v>
      </c>
      <c r="D40" s="7">
        <v>3.3547113E7</v>
      </c>
      <c r="E40" s="7">
        <v>0.0</v>
      </c>
      <c r="F40" s="7">
        <v>0.0</v>
      </c>
      <c r="G40" s="7">
        <v>0.0</v>
      </c>
      <c r="H40" s="7">
        <v>1665800.0</v>
      </c>
      <c r="I40" s="7">
        <v>0.0</v>
      </c>
      <c r="J40" s="7">
        <v>0.0</v>
      </c>
      <c r="K40" s="7">
        <v>0.0</v>
      </c>
      <c r="L40" s="7">
        <v>0.0</v>
      </c>
      <c r="M40" s="7">
        <v>0.0</v>
      </c>
      <c r="N40" s="7">
        <v>0.0</v>
      </c>
      <c r="O40" s="7">
        <v>0.0</v>
      </c>
      <c r="P40" s="7" t="s">
        <v>409</v>
      </c>
      <c r="Q40" s="7">
        <v>17.2</v>
      </c>
      <c r="R40" s="3">
        <f t="shared" si="1"/>
        <v>17.2</v>
      </c>
    </row>
    <row r="41" ht="22.5" customHeight="1">
      <c r="B41" s="7" t="s">
        <v>465</v>
      </c>
      <c r="C41" s="7">
        <v>178500.0</v>
      </c>
      <c r="D41" s="7">
        <v>4.3869358E7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0.0</v>
      </c>
      <c r="N41" s="7">
        <v>0.0</v>
      </c>
      <c r="O41" s="7">
        <v>0.0</v>
      </c>
      <c r="P41" s="7" t="s">
        <v>409</v>
      </c>
      <c r="Q41" s="7">
        <v>17.77</v>
      </c>
      <c r="R41" s="3">
        <f t="shared" si="1"/>
        <v>17.77</v>
      </c>
    </row>
    <row r="42" ht="22.5" customHeight="1">
      <c r="B42" s="7" t="s">
        <v>468</v>
      </c>
      <c r="C42" s="7">
        <v>1.4823143E7</v>
      </c>
      <c r="D42" s="7">
        <v>3.6902013E7</v>
      </c>
      <c r="E42" s="7">
        <v>0.0</v>
      </c>
      <c r="F42" s="7">
        <v>0.0</v>
      </c>
      <c r="G42" s="7">
        <v>0.0</v>
      </c>
      <c r="H42" s="7">
        <v>1832200.0</v>
      </c>
      <c r="I42" s="7">
        <v>0.0</v>
      </c>
      <c r="J42" s="7">
        <v>0.0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7" t="s">
        <v>409</v>
      </c>
      <c r="Q42" s="7">
        <v>18.09</v>
      </c>
      <c r="R42" s="3">
        <f t="shared" si="1"/>
        <v>18.09</v>
      </c>
    </row>
    <row r="43" ht="22.5" customHeight="1">
      <c r="B43" s="7" t="s">
        <v>504</v>
      </c>
      <c r="C43" s="7">
        <v>1900.0</v>
      </c>
      <c r="D43" s="7">
        <v>14440.0</v>
      </c>
      <c r="E43" s="7">
        <v>244125.0</v>
      </c>
      <c r="F43" s="7">
        <v>243153.0</v>
      </c>
      <c r="G43" s="7">
        <v>273087.0</v>
      </c>
      <c r="H43" s="7">
        <v>9753100.0</v>
      </c>
      <c r="I43" s="7">
        <v>8511.0</v>
      </c>
      <c r="J43" s="7">
        <v>5147.0</v>
      </c>
      <c r="K43" s="7">
        <v>3364.0</v>
      </c>
      <c r="L43" s="7">
        <v>29.41</v>
      </c>
      <c r="M43" s="7">
        <v>-0.02</v>
      </c>
      <c r="N43" s="7">
        <v>3746.0</v>
      </c>
      <c r="O43" s="7">
        <v>72556.0</v>
      </c>
      <c r="P43" s="7" t="s">
        <v>410</v>
      </c>
      <c r="Q43" s="7">
        <v>18.44</v>
      </c>
      <c r="R43" s="3">
        <f t="shared" si="1"/>
        <v>18.44</v>
      </c>
    </row>
    <row r="44" ht="22.5" customHeight="1">
      <c r="B44" s="7" t="s">
        <v>499</v>
      </c>
      <c r="C44" s="7">
        <v>5700.0</v>
      </c>
      <c r="D44" s="7">
        <v>42890.0</v>
      </c>
      <c r="E44" s="7">
        <v>217646.0</v>
      </c>
      <c r="F44" s="7">
        <v>216853.0</v>
      </c>
      <c r="G44" s="7">
        <v>240960.0</v>
      </c>
      <c r="H44" s="7">
        <v>8263494.0</v>
      </c>
      <c r="I44" s="7">
        <v>7330.0</v>
      </c>
      <c r="J44" s="7">
        <v>4720.0</v>
      </c>
      <c r="K44" s="7">
        <v>2610.0</v>
      </c>
      <c r="L44" s="7">
        <v>29.3</v>
      </c>
      <c r="M44" s="7">
        <v>-0.02</v>
      </c>
      <c r="N44" s="7">
        <v>2936.0</v>
      </c>
      <c r="O44" s="7">
        <v>73411.0</v>
      </c>
      <c r="P44" s="7" t="s">
        <v>410</v>
      </c>
      <c r="Q44" s="7">
        <v>18.85</v>
      </c>
      <c r="R44" s="3">
        <f t="shared" si="1"/>
        <v>18.85</v>
      </c>
    </row>
    <row r="45" ht="22.5" customHeight="1">
      <c r="B45" s="7" t="s">
        <v>474</v>
      </c>
      <c r="C45" s="7">
        <v>29183.0</v>
      </c>
      <c r="D45" s="7">
        <v>697901.0</v>
      </c>
      <c r="E45" s="7">
        <v>140589.0</v>
      </c>
      <c r="F45" s="7">
        <v>138502.0</v>
      </c>
      <c r="G45" s="7">
        <v>211615.0</v>
      </c>
      <c r="H45" s="7">
        <v>7181362.0</v>
      </c>
      <c r="I45" s="7">
        <v>9702.0</v>
      </c>
      <c r="J45" s="7">
        <v>8908.0</v>
      </c>
      <c r="K45" s="7">
        <v>794.0</v>
      </c>
      <c r="L45" s="7">
        <v>101.01</v>
      </c>
      <c r="M45" s="7">
        <v>-0.04</v>
      </c>
      <c r="N45" s="7">
        <v>944.0</v>
      </c>
      <c r="O45" s="7">
        <v>65677.0</v>
      </c>
      <c r="P45" s="7" t="s">
        <v>409</v>
      </c>
      <c r="Q45" s="7">
        <v>21.73</v>
      </c>
      <c r="R45" s="3">
        <f t="shared" si="1"/>
        <v>21.73</v>
      </c>
    </row>
    <row r="46" ht="22.5" customHeight="1">
      <c r="B46" s="7" t="s">
        <v>501</v>
      </c>
      <c r="C46" s="7">
        <v>289.0</v>
      </c>
      <c r="D46" s="7">
        <v>242594.0</v>
      </c>
      <c r="E46" s="7">
        <v>284892.0</v>
      </c>
      <c r="F46" s="7">
        <v>279322.0</v>
      </c>
      <c r="G46" s="7">
        <v>362583.0</v>
      </c>
      <c r="H46" s="7">
        <v>8273657.0</v>
      </c>
      <c r="I46" s="7">
        <v>7636.0</v>
      </c>
      <c r="J46" s="7">
        <v>5424.0</v>
      </c>
      <c r="K46" s="7">
        <v>2212.0</v>
      </c>
      <c r="L46" s="7">
        <v>28.1</v>
      </c>
      <c r="M46" s="7">
        <v>-0.04</v>
      </c>
      <c r="N46" s="7">
        <v>2677.0</v>
      </c>
      <c r="O46" s="7">
        <v>117521.0</v>
      </c>
      <c r="P46" s="7" t="s">
        <v>409</v>
      </c>
      <c r="Q46" s="7">
        <v>22.34</v>
      </c>
      <c r="R46" s="3">
        <f t="shared" si="1"/>
        <v>22.34</v>
      </c>
    </row>
    <row r="47" ht="22.5" customHeight="1">
      <c r="B47" s="7" t="s">
        <v>469</v>
      </c>
      <c r="C47" s="7">
        <v>1.6170743E7</v>
      </c>
      <c r="D47" s="7">
        <v>4.0256913E7</v>
      </c>
      <c r="E47" s="7">
        <v>0.0</v>
      </c>
      <c r="F47" s="7">
        <v>0.0</v>
      </c>
      <c r="G47" s="7">
        <v>0.0</v>
      </c>
      <c r="H47" s="7">
        <v>1998600.0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 t="s">
        <v>409</v>
      </c>
      <c r="Q47" s="7">
        <v>22.66</v>
      </c>
      <c r="R47" s="3">
        <f t="shared" si="1"/>
        <v>22.66</v>
      </c>
    </row>
    <row r="48" ht="22.5" customHeight="1">
      <c r="B48" s="7" t="s">
        <v>453</v>
      </c>
      <c r="C48" s="7">
        <v>6087.0</v>
      </c>
      <c r="D48" s="7">
        <v>681814.0</v>
      </c>
      <c r="E48" s="7">
        <v>150537.0</v>
      </c>
      <c r="F48" s="7">
        <v>146203.0</v>
      </c>
      <c r="G48" s="7">
        <v>275207.0</v>
      </c>
      <c r="H48" s="7">
        <v>1.1158008E7</v>
      </c>
      <c r="I48" s="7">
        <v>7184.0</v>
      </c>
      <c r="J48" s="7">
        <v>6222.0</v>
      </c>
      <c r="K48" s="7">
        <v>962.0</v>
      </c>
      <c r="L48" s="7">
        <v>80.34</v>
      </c>
      <c r="M48" s="7">
        <v>-0.06</v>
      </c>
      <c r="N48" s="7">
        <v>1134.0</v>
      </c>
      <c r="O48" s="7">
        <v>84404.0</v>
      </c>
      <c r="P48" s="7" t="s">
        <v>410</v>
      </c>
      <c r="Q48" s="7">
        <v>23.9</v>
      </c>
      <c r="R48" s="3">
        <f t="shared" si="1"/>
        <v>23.9</v>
      </c>
    </row>
    <row r="49" ht="22.5" customHeight="1">
      <c r="B49" s="7" t="s">
        <v>471</v>
      </c>
      <c r="C49" s="7">
        <v>1.7518343E7</v>
      </c>
      <c r="D49" s="7">
        <v>4.3611813E7</v>
      </c>
      <c r="E49" s="7">
        <v>0.0</v>
      </c>
      <c r="F49" s="7">
        <v>0.0</v>
      </c>
      <c r="G49" s="7">
        <v>0.0</v>
      </c>
      <c r="H49" s="7">
        <v>2165000.0</v>
      </c>
      <c r="I49" s="7">
        <v>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 t="s">
        <v>409</v>
      </c>
      <c r="Q49" s="7">
        <v>24.3</v>
      </c>
      <c r="R49" s="3">
        <f t="shared" si="1"/>
        <v>24.3</v>
      </c>
    </row>
    <row r="50" ht="22.5" customHeight="1">
      <c r="B50" s="7" t="s">
        <v>472</v>
      </c>
      <c r="C50" s="7">
        <v>1.8865943E7</v>
      </c>
      <c r="D50" s="7">
        <v>4.6966713E7</v>
      </c>
      <c r="E50" s="7">
        <v>0.0</v>
      </c>
      <c r="F50" s="7">
        <v>0.0</v>
      </c>
      <c r="G50" s="7">
        <v>0.0</v>
      </c>
      <c r="H50" s="7">
        <v>2331400.0</v>
      </c>
      <c r="I50" s="7">
        <v>0.0</v>
      </c>
      <c r="J50" s="7">
        <v>0.0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 t="s">
        <v>409</v>
      </c>
      <c r="Q50" s="7">
        <v>24.91</v>
      </c>
      <c r="R50" s="3">
        <f t="shared" si="1"/>
        <v>24.91</v>
      </c>
    </row>
    <row r="51" ht="22.5" customHeight="1">
      <c r="B51" s="7" t="s">
        <v>459</v>
      </c>
      <c r="C51" s="7">
        <v>1.05311E7</v>
      </c>
      <c r="D51" s="7">
        <v>2.6465625E7</v>
      </c>
      <c r="E51" s="7">
        <v>1003.0</v>
      </c>
      <c r="F51" s="7">
        <v>658.0</v>
      </c>
      <c r="G51" s="7">
        <v>1146721.0</v>
      </c>
      <c r="H51" s="7">
        <v>2.3913736E7</v>
      </c>
      <c r="I51" s="7">
        <v>40.0</v>
      </c>
      <c r="J51" s="7">
        <v>40.0</v>
      </c>
      <c r="K51" s="7">
        <v>0.0</v>
      </c>
      <c r="L51" s="7">
        <v>6.1</v>
      </c>
      <c r="M51" s="7">
        <v>-0.48</v>
      </c>
      <c r="N51" s="7">
        <v>1.0</v>
      </c>
      <c r="O51" s="7">
        <v>381002.0</v>
      </c>
      <c r="P51" s="7" t="s">
        <v>409</v>
      </c>
      <c r="Q51" s="7">
        <v>29.04</v>
      </c>
      <c r="R51" s="3">
        <f t="shared" si="1"/>
        <v>29.04</v>
      </c>
    </row>
    <row r="52" ht="22.5" customHeight="1">
      <c r="B52" s="7" t="s">
        <v>494</v>
      </c>
      <c r="C52" s="7">
        <v>600.0</v>
      </c>
      <c r="D52" s="7">
        <v>16790.0</v>
      </c>
      <c r="E52" s="7">
        <v>212527.0</v>
      </c>
      <c r="F52" s="7">
        <v>210893.0</v>
      </c>
      <c r="G52" s="7">
        <v>333234.0</v>
      </c>
      <c r="H52" s="7">
        <v>1.7775186E7</v>
      </c>
      <c r="I52" s="7">
        <v>10302.0</v>
      </c>
      <c r="J52" s="7">
        <v>8645.0</v>
      </c>
      <c r="K52" s="7">
        <v>1657.0</v>
      </c>
      <c r="L52" s="7">
        <v>20.96</v>
      </c>
      <c r="M52" s="7">
        <v>-0.06</v>
      </c>
      <c r="N52" s="7">
        <v>2011.0</v>
      </c>
      <c r="O52" s="7">
        <v>65216.0</v>
      </c>
      <c r="P52" s="7" t="s">
        <v>409</v>
      </c>
      <c r="Q52" s="7">
        <v>29.07</v>
      </c>
      <c r="R52" s="3">
        <f t="shared" si="1"/>
        <v>29.07</v>
      </c>
    </row>
    <row r="53" ht="22.5" customHeight="1">
      <c r="B53" s="7" t="s">
        <v>482</v>
      </c>
      <c r="C53" s="7">
        <v>260.0</v>
      </c>
      <c r="D53" s="7">
        <v>16640.0</v>
      </c>
      <c r="E53" s="7">
        <v>918077.0</v>
      </c>
      <c r="F53" s="7">
        <v>905649.0</v>
      </c>
      <c r="G53" s="7">
        <v>1117527.0</v>
      </c>
      <c r="H53" s="7">
        <v>1.3616947E7</v>
      </c>
      <c r="I53" s="7">
        <v>28497.0</v>
      </c>
      <c r="J53" s="7">
        <v>21003.0</v>
      </c>
      <c r="K53" s="7">
        <v>7494.0</v>
      </c>
      <c r="L53" s="7">
        <v>15.1</v>
      </c>
      <c r="M53" s="7">
        <v>-0.03</v>
      </c>
      <c r="N53" s="7">
        <v>9085.0</v>
      </c>
      <c r="O53" s="7">
        <v>288195.0</v>
      </c>
      <c r="P53" s="7" t="s">
        <v>410</v>
      </c>
      <c r="Q53" s="7">
        <v>33.96</v>
      </c>
      <c r="R53" s="3">
        <f t="shared" si="1"/>
        <v>33.96</v>
      </c>
    </row>
    <row r="54" ht="22.5" customHeight="1">
      <c r="B54" s="7" t="s">
        <v>462</v>
      </c>
      <c r="C54" s="7">
        <v>647.0</v>
      </c>
      <c r="D54" s="7">
        <v>3239.0</v>
      </c>
      <c r="E54" s="7">
        <v>695411.0</v>
      </c>
      <c r="F54" s="7">
        <v>681399.0</v>
      </c>
      <c r="G54" s="7">
        <v>1612064.0</v>
      </c>
      <c r="H54" s="7">
        <v>3.8764591E7</v>
      </c>
      <c r="I54" s="7">
        <v>39381.0</v>
      </c>
      <c r="J54" s="7">
        <v>35317.0</v>
      </c>
      <c r="K54" s="7">
        <v>4064.0</v>
      </c>
      <c r="L54" s="7">
        <v>20.87</v>
      </c>
      <c r="M54" s="7">
        <v>-0.1</v>
      </c>
      <c r="N54" s="7">
        <v>5065.0</v>
      </c>
      <c r="O54" s="7">
        <v>268287.0</v>
      </c>
      <c r="P54" s="7" t="s">
        <v>409</v>
      </c>
      <c r="Q54" s="7">
        <v>34.87</v>
      </c>
      <c r="R54" s="3">
        <f t="shared" si="1"/>
        <v>34.87</v>
      </c>
    </row>
    <row r="55" ht="22.5" customHeight="1">
      <c r="B55" s="7" t="s">
        <v>495</v>
      </c>
      <c r="C55" s="7">
        <v>248213.0</v>
      </c>
      <c r="D55" s="7">
        <v>797751.0</v>
      </c>
      <c r="E55" s="7">
        <v>41211.0</v>
      </c>
      <c r="F55" s="7">
        <v>38401.0</v>
      </c>
      <c r="G55" s="7">
        <v>4722788.0</v>
      </c>
      <c r="H55" s="7">
        <v>3.2359086E7</v>
      </c>
      <c r="I55" s="7">
        <v>3071.0</v>
      </c>
      <c r="J55" s="7">
        <v>2975.0</v>
      </c>
      <c r="K55" s="7">
        <v>96.0</v>
      </c>
      <c r="L55" s="7">
        <v>65.51</v>
      </c>
      <c r="M55" s="7">
        <v>-0.19</v>
      </c>
      <c r="N55" s="7">
        <v>160.0</v>
      </c>
      <c r="O55" s="7">
        <v>191596.0</v>
      </c>
      <c r="P55" s="7" t="s">
        <v>409</v>
      </c>
      <c r="Q55" s="7">
        <v>36.62</v>
      </c>
      <c r="R55" s="3">
        <f t="shared" si="1"/>
        <v>36.62</v>
      </c>
    </row>
    <row r="56" ht="22.5" customHeight="1">
      <c r="B56" s="7" t="s">
        <v>478</v>
      </c>
      <c r="C56" s="7">
        <v>568.0</v>
      </c>
      <c r="D56" s="7">
        <v>7150.0</v>
      </c>
      <c r="E56" s="7">
        <v>536423.0</v>
      </c>
      <c r="F56" s="7">
        <v>531259.0</v>
      </c>
      <c r="G56" s="7">
        <v>656868.0</v>
      </c>
      <c r="H56" s="7">
        <v>5.1885187E7</v>
      </c>
      <c r="I56" s="7">
        <v>22528.0</v>
      </c>
      <c r="J56" s="7">
        <v>19542.0</v>
      </c>
      <c r="K56" s="7">
        <v>2986.0</v>
      </c>
      <c r="L56" s="7">
        <v>17.74</v>
      </c>
      <c r="M56" s="7">
        <v>-0.04</v>
      </c>
      <c r="N56" s="7">
        <v>3506.0</v>
      </c>
      <c r="O56" s="7">
        <v>294064.0</v>
      </c>
      <c r="P56" s="7" t="s">
        <v>410</v>
      </c>
      <c r="Q56" s="7">
        <v>38.21</v>
      </c>
      <c r="R56" s="3">
        <f t="shared" si="1"/>
        <v>38.21</v>
      </c>
    </row>
    <row r="57" ht="22.5" customHeight="1">
      <c r="B57" s="7" t="s">
        <v>476</v>
      </c>
      <c r="C57" s="7">
        <v>25400.0</v>
      </c>
      <c r="D57" s="7">
        <v>1538668.0</v>
      </c>
      <c r="E57" s="7">
        <v>198182.0</v>
      </c>
      <c r="F57" s="7">
        <v>193221.0</v>
      </c>
      <c r="G57" s="7">
        <v>250568.0</v>
      </c>
      <c r="H57" s="7">
        <v>1.5410831E7</v>
      </c>
      <c r="I57" s="7">
        <v>5959.0</v>
      </c>
      <c r="J57" s="7">
        <v>4428.0</v>
      </c>
      <c r="K57" s="7">
        <v>1531.0</v>
      </c>
      <c r="L57" s="7">
        <v>42.56</v>
      </c>
      <c r="M57" s="7">
        <v>-0.05</v>
      </c>
      <c r="N57" s="7">
        <v>1838.0</v>
      </c>
      <c r="O57" s="7">
        <v>80487.0</v>
      </c>
      <c r="P57" s="7" t="s">
        <v>410</v>
      </c>
      <c r="Q57" s="7">
        <v>44.57</v>
      </c>
      <c r="R57" s="3">
        <f t="shared" si="1"/>
        <v>44.57</v>
      </c>
    </row>
    <row r="58" ht="22.5" customHeight="1">
      <c r="B58" s="7" t="s">
        <v>481</v>
      </c>
      <c r="C58" s="7">
        <v>3.2170813E7</v>
      </c>
      <c r="D58" s="7">
        <v>7.4103667E7</v>
      </c>
      <c r="E58" s="7">
        <v>0.0</v>
      </c>
      <c r="F58" s="7">
        <v>0.0</v>
      </c>
      <c r="G58" s="7">
        <v>0.0</v>
      </c>
      <c r="H58" s="7">
        <v>6838597.0</v>
      </c>
      <c r="I58" s="7">
        <v>0.0</v>
      </c>
      <c r="J58" s="7">
        <v>0.0</v>
      </c>
      <c r="K58" s="7">
        <v>0.0</v>
      </c>
      <c r="L58" s="7">
        <v>0.0</v>
      </c>
      <c r="M58" s="7">
        <v>0.0</v>
      </c>
      <c r="N58" s="7">
        <v>0.0</v>
      </c>
      <c r="O58" s="7">
        <v>0.0</v>
      </c>
      <c r="P58" s="7" t="s">
        <v>409</v>
      </c>
      <c r="Q58" s="7">
        <v>45.23</v>
      </c>
      <c r="R58" s="3">
        <f t="shared" si="1"/>
        <v>45.23</v>
      </c>
    </row>
    <row r="59" ht="22.5" customHeight="1">
      <c r="B59" s="7" t="s">
        <v>475</v>
      </c>
      <c r="C59" s="7">
        <v>9630.0</v>
      </c>
      <c r="D59" s="7">
        <v>1991493.0</v>
      </c>
      <c r="E59" s="7">
        <v>172246.0</v>
      </c>
      <c r="F59" s="7">
        <v>166973.0</v>
      </c>
      <c r="G59" s="7">
        <v>309984.0</v>
      </c>
      <c r="H59" s="7">
        <v>2.7089311E7</v>
      </c>
      <c r="I59" s="7">
        <v>6113.0</v>
      </c>
      <c r="J59" s="7">
        <v>4680.0</v>
      </c>
      <c r="K59" s="7">
        <v>1433.0</v>
      </c>
      <c r="L59" s="7">
        <v>88.64</v>
      </c>
      <c r="M59" s="7">
        <v>-0.06</v>
      </c>
      <c r="N59" s="7">
        <v>1656.0</v>
      </c>
      <c r="O59" s="7">
        <v>91584.0</v>
      </c>
      <c r="P59" s="7" t="s">
        <v>410</v>
      </c>
      <c r="Q59" s="7">
        <v>48.11</v>
      </c>
      <c r="R59" s="3">
        <f t="shared" si="1"/>
        <v>48.11</v>
      </c>
    </row>
    <row r="60" ht="22.5" customHeight="1">
      <c r="B60" s="7" t="s">
        <v>463</v>
      </c>
      <c r="C60" s="7">
        <v>138711.0</v>
      </c>
      <c r="D60" s="7">
        <v>4688533.0</v>
      </c>
      <c r="E60" s="7">
        <v>20244.0</v>
      </c>
      <c r="F60" s="7">
        <v>19547.0</v>
      </c>
      <c r="G60" s="7">
        <v>311638.0</v>
      </c>
      <c r="H60" s="7">
        <v>6.3667261E7</v>
      </c>
      <c r="I60" s="7">
        <v>1155.0</v>
      </c>
      <c r="J60" s="7">
        <v>1093.0</v>
      </c>
      <c r="K60" s="7">
        <v>62.0</v>
      </c>
      <c r="L60" s="7">
        <v>134.82</v>
      </c>
      <c r="M60" s="7">
        <v>-0.14</v>
      </c>
      <c r="N60" s="7">
        <v>94.0</v>
      </c>
      <c r="O60" s="7">
        <v>54062.0</v>
      </c>
      <c r="P60" s="7" t="s">
        <v>409</v>
      </c>
      <c r="Q60" s="7">
        <v>52.0</v>
      </c>
      <c r="R60" s="3">
        <f t="shared" si="1"/>
        <v>52</v>
      </c>
    </row>
    <row r="61" ht="22.5" customHeight="1">
      <c r="B61" s="7" t="s">
        <v>484</v>
      </c>
      <c r="C61" s="7">
        <v>2520.0</v>
      </c>
      <c r="D61" s="7">
        <v>8255.0</v>
      </c>
      <c r="E61" s="7">
        <v>465941.0</v>
      </c>
      <c r="F61" s="7">
        <v>459015.0</v>
      </c>
      <c r="G61" s="7">
        <v>843511.0</v>
      </c>
      <c r="H61" s="7">
        <v>7.99723E7</v>
      </c>
      <c r="I61" s="7">
        <v>27056.0</v>
      </c>
      <c r="J61" s="7">
        <v>24852.0</v>
      </c>
      <c r="K61" s="7">
        <v>2204.0</v>
      </c>
      <c r="L61" s="7">
        <v>23.0</v>
      </c>
      <c r="M61" s="7">
        <v>-0.08</v>
      </c>
      <c r="N61" s="7">
        <v>2675.0</v>
      </c>
      <c r="O61" s="7">
        <v>237561.0</v>
      </c>
      <c r="P61" s="7" t="s">
        <v>410</v>
      </c>
      <c r="Q61" s="7">
        <v>53.03</v>
      </c>
      <c r="R61" s="3">
        <f t="shared" si="1"/>
        <v>53.03</v>
      </c>
    </row>
    <row r="62" ht="22.5" customHeight="1">
      <c r="B62" s="7" t="s">
        <v>480</v>
      </c>
      <c r="C62" s="7">
        <v>500.0</v>
      </c>
      <c r="D62" s="7">
        <v>15526.0</v>
      </c>
      <c r="E62" s="7">
        <v>482639.0</v>
      </c>
      <c r="F62" s="7">
        <v>467565.0</v>
      </c>
      <c r="G62" s="7">
        <v>711534.0</v>
      </c>
      <c r="H62" s="7">
        <v>2.9203636E7</v>
      </c>
      <c r="I62" s="7">
        <v>14306.0</v>
      </c>
      <c r="J62" s="7">
        <v>12464.0</v>
      </c>
      <c r="K62" s="7">
        <v>1842.0</v>
      </c>
      <c r="L62" s="7">
        <v>37.19</v>
      </c>
      <c r="M62" s="7">
        <v>-0.07</v>
      </c>
      <c r="N62" s="7">
        <v>2324.0</v>
      </c>
      <c r="O62" s="7">
        <v>350855.0</v>
      </c>
      <c r="P62" s="7" t="s">
        <v>410</v>
      </c>
      <c r="Q62" s="7">
        <v>53.77</v>
      </c>
      <c r="R62" s="3">
        <f t="shared" si="1"/>
        <v>53.77</v>
      </c>
    </row>
    <row r="63" ht="22.5" customHeight="1">
      <c r="B63" s="7" t="s">
        <v>800</v>
      </c>
      <c r="C63" s="7">
        <v>56511.0</v>
      </c>
      <c r="D63" s="7">
        <v>161376.0</v>
      </c>
      <c r="E63" s="7">
        <v>143552.0</v>
      </c>
      <c r="F63" s="7">
        <v>138335.0</v>
      </c>
      <c r="G63" s="7">
        <v>2130611.0</v>
      </c>
      <c r="H63" s="7">
        <v>2.65561374E8</v>
      </c>
      <c r="I63" s="7">
        <v>12408.0</v>
      </c>
      <c r="J63" s="7">
        <v>12003.0</v>
      </c>
      <c r="K63" s="7">
        <v>405.0</v>
      </c>
      <c r="L63" s="7">
        <v>86.02</v>
      </c>
      <c r="M63" s="7">
        <v>-0.19</v>
      </c>
      <c r="N63" s="7">
        <v>582.0</v>
      </c>
      <c r="O63" s="7">
        <v>73387.0</v>
      </c>
      <c r="P63" s="7" t="s">
        <v>409</v>
      </c>
      <c r="Q63" s="7">
        <v>55.45</v>
      </c>
      <c r="R63" s="3">
        <f t="shared" si="1"/>
        <v>55.45</v>
      </c>
    </row>
    <row r="64" ht="22.5" customHeight="1">
      <c r="B64" s="7" t="s">
        <v>452</v>
      </c>
      <c r="C64" s="7">
        <v>12662.0</v>
      </c>
      <c r="D64" s="7">
        <v>101807.0</v>
      </c>
      <c r="E64" s="7">
        <v>520265.0</v>
      </c>
      <c r="F64" s="7">
        <v>500306.0</v>
      </c>
      <c r="G64" s="7">
        <v>4260033.0</v>
      </c>
      <c r="H64" s="7">
        <v>5.1595213E7</v>
      </c>
      <c r="I64" s="7">
        <v>53749.0</v>
      </c>
      <c r="J64" s="7">
        <v>53046.0</v>
      </c>
      <c r="K64" s="7">
        <v>703.0</v>
      </c>
      <c r="L64" s="7">
        <v>16.39</v>
      </c>
      <c r="M64" s="7">
        <v>-0.27</v>
      </c>
      <c r="N64" s="7">
        <v>1268.0</v>
      </c>
      <c r="O64" s="7">
        <v>518578.0</v>
      </c>
      <c r="P64" s="7" t="s">
        <v>409</v>
      </c>
      <c r="Q64" s="7">
        <v>62.24</v>
      </c>
      <c r="R64" s="3">
        <f t="shared" si="1"/>
        <v>62.24</v>
      </c>
    </row>
    <row r="65" ht="22.5" customHeight="1">
      <c r="B65" s="7" t="s">
        <v>489</v>
      </c>
      <c r="C65" s="7">
        <v>945.0</v>
      </c>
      <c r="D65" s="7">
        <v>61409.0</v>
      </c>
      <c r="E65" s="7">
        <v>664119.0</v>
      </c>
      <c r="F65" s="7">
        <v>648206.0</v>
      </c>
      <c r="G65" s="7">
        <v>995936.0</v>
      </c>
      <c r="H65" s="7">
        <v>6.3777596E7</v>
      </c>
      <c r="I65" s="7">
        <v>22938.0</v>
      </c>
      <c r="J65" s="7">
        <v>19286.0</v>
      </c>
      <c r="K65" s="7">
        <v>3652.0</v>
      </c>
      <c r="L65" s="7">
        <v>54.91</v>
      </c>
      <c r="M65" s="7">
        <v>-0.06</v>
      </c>
      <c r="N65" s="7">
        <v>4560.0</v>
      </c>
      <c r="O65" s="7">
        <v>332914.0</v>
      </c>
      <c r="P65" s="7" t="s">
        <v>409</v>
      </c>
      <c r="Q65" s="7">
        <v>63.92</v>
      </c>
      <c r="R65" s="3">
        <f t="shared" si="1"/>
        <v>63.92</v>
      </c>
    </row>
    <row r="66" ht="22.5" customHeight="1">
      <c r="B66" s="7" t="s">
        <v>498</v>
      </c>
      <c r="C66" s="7">
        <v>1509852.0</v>
      </c>
      <c r="D66" s="7">
        <v>1.5272255E7</v>
      </c>
      <c r="E66" s="7">
        <v>6822.0</v>
      </c>
      <c r="F66" s="7">
        <v>3843.0</v>
      </c>
      <c r="G66" s="7">
        <v>182912.0</v>
      </c>
      <c r="H66" s="7">
        <v>3.37349388E8</v>
      </c>
      <c r="I66" s="7">
        <v>81.0</v>
      </c>
      <c r="J66" s="7">
        <v>68.0</v>
      </c>
      <c r="K66" s="7">
        <v>13.0</v>
      </c>
      <c r="L66" s="7">
        <v>938.03</v>
      </c>
      <c r="M66" s="7">
        <v>-0.05</v>
      </c>
      <c r="N66" s="7">
        <v>18.0</v>
      </c>
      <c r="O66" s="7">
        <v>24463.0</v>
      </c>
      <c r="P66" s="7" t="s">
        <v>410</v>
      </c>
      <c r="Q66" s="7">
        <v>80.66</v>
      </c>
      <c r="R66" s="3">
        <f t="shared" si="1"/>
        <v>80.66</v>
      </c>
    </row>
    <row r="67" ht="22.5" customHeight="1">
      <c r="B67" s="7" t="s">
        <v>490</v>
      </c>
      <c r="C67" s="7">
        <v>2856.0</v>
      </c>
      <c r="D67" s="7">
        <v>10225.0</v>
      </c>
      <c r="E67" s="7">
        <v>1181950.0</v>
      </c>
      <c r="F67" s="7">
        <v>1167159.0</v>
      </c>
      <c r="G67" s="7">
        <v>2120552.0</v>
      </c>
      <c r="H67" s="7">
        <v>1.1929624E8</v>
      </c>
      <c r="I67" s="7">
        <v>48703.0</v>
      </c>
      <c r="J67" s="7">
        <v>39639.0</v>
      </c>
      <c r="K67" s="7">
        <v>9064.0</v>
      </c>
      <c r="L67" s="7">
        <v>23.22</v>
      </c>
      <c r="M67" s="7">
        <v>-0.07</v>
      </c>
      <c r="N67" s="7">
        <v>10939.0</v>
      </c>
      <c r="O67" s="7">
        <v>444079.0</v>
      </c>
      <c r="P67" s="7" t="s">
        <v>410</v>
      </c>
      <c r="Q67" s="7">
        <v>81.76</v>
      </c>
      <c r="R67" s="3">
        <f t="shared" si="1"/>
        <v>81.76</v>
      </c>
    </row>
    <row r="68" ht="22.5" customHeight="1">
      <c r="B68" s="7" t="s">
        <v>479</v>
      </c>
      <c r="C68" s="7">
        <v>76014.0</v>
      </c>
      <c r="D68" s="7">
        <v>1420382.0</v>
      </c>
      <c r="E68" s="7">
        <v>146139.0</v>
      </c>
      <c r="F68" s="7">
        <v>137710.0</v>
      </c>
      <c r="G68" s="7">
        <v>2.1708946E7</v>
      </c>
      <c r="H68" s="7">
        <v>1.95146102E8</v>
      </c>
      <c r="I68" s="7">
        <v>9140.0</v>
      </c>
      <c r="J68" s="7">
        <v>9005.0</v>
      </c>
      <c r="K68" s="7">
        <v>135.0</v>
      </c>
      <c r="L68" s="7">
        <v>124.84</v>
      </c>
      <c r="M68" s="7">
        <v>-0.22</v>
      </c>
      <c r="N68" s="7">
        <v>332.0</v>
      </c>
      <c r="O68" s="7">
        <v>1514658.0</v>
      </c>
      <c r="P68" s="7" t="s">
        <v>409</v>
      </c>
      <c r="Q68" s="7">
        <v>82.19</v>
      </c>
      <c r="R68" s="3">
        <f t="shared" si="1"/>
        <v>82.19</v>
      </c>
    </row>
    <row r="69" ht="22.5" customHeight="1">
      <c r="B69" s="7" t="s">
        <v>487</v>
      </c>
      <c r="C69" s="7">
        <v>2720.0</v>
      </c>
      <c r="D69" s="7">
        <v>105706.0</v>
      </c>
      <c r="E69" s="7">
        <v>257866.0</v>
      </c>
      <c r="F69" s="7">
        <v>251984.0</v>
      </c>
      <c r="G69" s="7">
        <v>482701.0</v>
      </c>
      <c r="H69" s="7">
        <v>1.931228E7</v>
      </c>
      <c r="I69" s="7">
        <v>7147.0</v>
      </c>
      <c r="J69" s="7">
        <v>5376.0</v>
      </c>
      <c r="K69" s="7">
        <v>1771.0</v>
      </c>
      <c r="L69" s="7">
        <v>49.49</v>
      </c>
      <c r="M69" s="7">
        <v>-0.05</v>
      </c>
      <c r="N69" s="7">
        <v>2255.0</v>
      </c>
      <c r="O69" s="7">
        <v>93480.0</v>
      </c>
      <c r="P69" s="7" t="s">
        <v>410</v>
      </c>
      <c r="Q69" s="7">
        <v>86.83</v>
      </c>
      <c r="R69" s="3">
        <f t="shared" si="1"/>
        <v>86.83</v>
      </c>
    </row>
    <row r="70" ht="22.5" customHeight="1">
      <c r="B70" s="7" t="s">
        <v>506</v>
      </c>
      <c r="C70" s="7">
        <v>69397.0</v>
      </c>
      <c r="D70" s="7">
        <v>225657.0</v>
      </c>
      <c r="E70" s="7">
        <v>33419.0</v>
      </c>
      <c r="F70" s="7">
        <v>32951.0</v>
      </c>
      <c r="G70" s="7">
        <v>69818.0</v>
      </c>
      <c r="H70" s="7">
        <v>2.69001844E8</v>
      </c>
      <c r="I70" s="7">
        <v>552.0</v>
      </c>
      <c r="J70" s="7">
        <v>406.0</v>
      </c>
      <c r="K70" s="7">
        <v>146.0</v>
      </c>
      <c r="L70" s="7">
        <v>60.04</v>
      </c>
      <c r="M70" s="7">
        <v>-0.04</v>
      </c>
      <c r="N70" s="7">
        <v>183.0</v>
      </c>
      <c r="O70" s="7">
        <v>30090.0</v>
      </c>
      <c r="P70" s="7" t="s">
        <v>410</v>
      </c>
      <c r="Q70" s="7">
        <v>89.86</v>
      </c>
      <c r="R70" s="3">
        <f t="shared" si="1"/>
        <v>89.86</v>
      </c>
    </row>
    <row r="71" ht="22.5" customHeight="1">
      <c r="B71" s="7" t="s">
        <v>576</v>
      </c>
      <c r="C71" s="7">
        <v>70581.0</v>
      </c>
      <c r="D71" s="7">
        <v>1411168.0</v>
      </c>
      <c r="E71" s="7">
        <v>197544.0</v>
      </c>
      <c r="F71" s="7">
        <v>190068.0</v>
      </c>
      <c r="G71" s="7">
        <v>2.0077759E7</v>
      </c>
      <c r="H71" s="7">
        <v>1.62354506E8</v>
      </c>
      <c r="I71" s="7">
        <v>7820.0</v>
      </c>
      <c r="J71" s="7">
        <v>7340.0</v>
      </c>
      <c r="K71" s="7">
        <v>480.0</v>
      </c>
      <c r="L71" s="7">
        <v>83.09</v>
      </c>
      <c r="M71" s="7">
        <v>-0.16</v>
      </c>
      <c r="N71" s="7">
        <v>830.0</v>
      </c>
      <c r="O71" s="7">
        <v>1502818.0</v>
      </c>
      <c r="P71" s="7" t="s">
        <v>409</v>
      </c>
      <c r="Q71" s="7">
        <v>95.03</v>
      </c>
      <c r="R71" s="3">
        <f t="shared" si="1"/>
        <v>95.03</v>
      </c>
    </row>
    <row r="72" ht="22.5" customHeight="1">
      <c r="B72" s="7" t="s">
        <v>500</v>
      </c>
      <c r="C72" s="7">
        <v>268423.0</v>
      </c>
      <c r="D72" s="7">
        <v>1328859.0</v>
      </c>
      <c r="E72" s="7">
        <v>1122572.0</v>
      </c>
      <c r="F72" s="7">
        <v>1118208.0</v>
      </c>
      <c r="G72" s="7">
        <v>3574359.0</v>
      </c>
      <c r="H72" s="7">
        <v>4.7977461E7</v>
      </c>
      <c r="I72" s="7">
        <v>41634.0</v>
      </c>
      <c r="J72" s="7">
        <v>32067.0</v>
      </c>
      <c r="K72" s="7">
        <v>9567.0</v>
      </c>
      <c r="L72" s="7">
        <v>14.89</v>
      </c>
      <c r="M72" s="7">
        <v>-0.05</v>
      </c>
      <c r="N72" s="7">
        <v>11423.0</v>
      </c>
      <c r="O72" s="7">
        <v>665673.0</v>
      </c>
      <c r="P72" s="7" t="s">
        <v>410</v>
      </c>
      <c r="Q72" s="7">
        <v>108.77</v>
      </c>
      <c r="R72" s="3">
        <f t="shared" si="1"/>
        <v>108.77</v>
      </c>
    </row>
    <row r="73" ht="22.5" customHeight="1">
      <c r="B73" s="7" t="s">
        <v>594</v>
      </c>
      <c r="C73" s="7">
        <v>300.0</v>
      </c>
      <c r="D73" s="7">
        <v>17700.0</v>
      </c>
      <c r="E73" s="7">
        <v>1770112.0</v>
      </c>
      <c r="F73" s="7">
        <v>1733122.0</v>
      </c>
      <c r="G73" s="7">
        <v>3794113.0</v>
      </c>
      <c r="H73" s="7">
        <v>4.8161677E7</v>
      </c>
      <c r="I73" s="7">
        <v>51601.0</v>
      </c>
      <c r="J73" s="7">
        <v>43483.0</v>
      </c>
      <c r="K73" s="7">
        <v>8118.0</v>
      </c>
      <c r="L73" s="7">
        <v>41.4</v>
      </c>
      <c r="M73" s="7">
        <v>-0.05</v>
      </c>
      <c r="N73" s="7">
        <v>10025.0</v>
      </c>
      <c r="O73" s="7">
        <v>992597.0</v>
      </c>
      <c r="P73" s="7" t="s">
        <v>409</v>
      </c>
      <c r="Q73" s="7">
        <v>118.15</v>
      </c>
      <c r="R73" s="3">
        <f t="shared" si="1"/>
        <v>118.15</v>
      </c>
    </row>
    <row r="74" ht="22.5" customHeight="1">
      <c r="B74" s="7" t="s">
        <v>491</v>
      </c>
      <c r="C74" s="7">
        <v>381577.0</v>
      </c>
      <c r="D74" s="7">
        <v>2669607.0</v>
      </c>
      <c r="E74" s="7">
        <v>144731.0</v>
      </c>
      <c r="F74" s="7">
        <v>140304.0</v>
      </c>
      <c r="G74" s="7">
        <v>1.9644772E7</v>
      </c>
      <c r="H74" s="7">
        <v>1.735219E8</v>
      </c>
      <c r="I74" s="7">
        <v>9396.0</v>
      </c>
      <c r="J74" s="7">
        <v>9129.0</v>
      </c>
      <c r="K74" s="7">
        <v>267.0</v>
      </c>
      <c r="L74" s="7">
        <v>59.48</v>
      </c>
      <c r="M74" s="7">
        <v>-0.18</v>
      </c>
      <c r="N74" s="7">
        <v>454.0</v>
      </c>
      <c r="O74" s="7">
        <v>1305980.0</v>
      </c>
      <c r="P74" s="7" t="s">
        <v>409</v>
      </c>
      <c r="Q74" s="7">
        <v>126.0</v>
      </c>
      <c r="R74" s="3">
        <f t="shared" si="1"/>
        <v>126</v>
      </c>
    </row>
    <row r="75" ht="22.5" customHeight="1">
      <c r="B75" s="7" t="s">
        <v>514</v>
      </c>
      <c r="C75" s="7">
        <v>28489.0</v>
      </c>
      <c r="D75" s="7">
        <v>97537.0</v>
      </c>
      <c r="E75" s="7">
        <v>659185.0</v>
      </c>
      <c r="F75" s="7">
        <v>649664.0</v>
      </c>
      <c r="G75" s="7">
        <v>4021026.0</v>
      </c>
      <c r="H75" s="7">
        <v>2.74143925E8</v>
      </c>
      <c r="I75" s="7">
        <v>47057.0</v>
      </c>
      <c r="J75" s="7">
        <v>44363.0</v>
      </c>
      <c r="K75" s="7">
        <v>2694.0</v>
      </c>
      <c r="L75" s="7">
        <v>31.25</v>
      </c>
      <c r="M75" s="7">
        <v>-0.14</v>
      </c>
      <c r="N75" s="7">
        <v>3635.0</v>
      </c>
      <c r="O75" s="7">
        <v>353858.0</v>
      </c>
      <c r="P75" s="7" t="s">
        <v>409</v>
      </c>
      <c r="Q75" s="7">
        <v>126.38</v>
      </c>
      <c r="R75" s="3">
        <f t="shared" si="1"/>
        <v>126.38</v>
      </c>
    </row>
    <row r="76" ht="22.5" customHeight="1">
      <c r="B76" s="7" t="s">
        <v>477</v>
      </c>
      <c r="C76" s="7">
        <v>13211.0</v>
      </c>
      <c r="D76" s="7">
        <v>104874.0</v>
      </c>
      <c r="E76" s="7">
        <v>651545.0</v>
      </c>
      <c r="F76" s="7">
        <v>635638.0</v>
      </c>
      <c r="G76" s="7">
        <v>2070632.0</v>
      </c>
      <c r="H76" s="7">
        <v>2.39818948E8</v>
      </c>
      <c r="I76" s="7">
        <v>49808.0</v>
      </c>
      <c r="J76" s="7">
        <v>47312.0</v>
      </c>
      <c r="K76" s="7">
        <v>2496.0</v>
      </c>
      <c r="L76" s="7">
        <v>19.31</v>
      </c>
      <c r="M76" s="7">
        <v>-0.17</v>
      </c>
      <c r="N76" s="7">
        <v>3417.0</v>
      </c>
      <c r="O76" s="7">
        <v>339672.0</v>
      </c>
      <c r="P76" s="7" t="s">
        <v>409</v>
      </c>
      <c r="Q76" s="7">
        <v>126.55</v>
      </c>
      <c r="R76" s="3">
        <f t="shared" si="1"/>
        <v>126.55</v>
      </c>
    </row>
    <row r="77" ht="22.5" customHeight="1">
      <c r="B77" s="7" t="s">
        <v>497</v>
      </c>
      <c r="C77" s="7">
        <v>2240.0</v>
      </c>
      <c r="D77" s="7">
        <v>53398.0</v>
      </c>
      <c r="E77" s="7">
        <v>748045.0</v>
      </c>
      <c r="F77" s="7">
        <v>736636.0</v>
      </c>
      <c r="G77" s="7">
        <v>1030922.0</v>
      </c>
      <c r="H77" s="7">
        <v>3.0097813E7</v>
      </c>
      <c r="I77" s="7">
        <v>18358.0</v>
      </c>
      <c r="J77" s="7">
        <v>13707.0</v>
      </c>
      <c r="K77" s="7">
        <v>4651.0</v>
      </c>
      <c r="L77" s="7">
        <v>61.63</v>
      </c>
      <c r="M77" s="7">
        <v>-0.03</v>
      </c>
      <c r="N77" s="7">
        <v>5787.0</v>
      </c>
      <c r="O77" s="7">
        <v>329948.0</v>
      </c>
      <c r="P77" s="7" t="s">
        <v>410</v>
      </c>
      <c r="Q77" s="7">
        <v>132.77</v>
      </c>
      <c r="R77" s="3">
        <f t="shared" si="1"/>
        <v>132.77</v>
      </c>
    </row>
    <row r="78" ht="22.5" customHeight="1">
      <c r="B78" s="7" t="s">
        <v>561</v>
      </c>
      <c r="C78" s="7">
        <v>600.0</v>
      </c>
      <c r="D78" s="7">
        <v>5405.0</v>
      </c>
      <c r="E78" s="7">
        <v>1310821.0</v>
      </c>
      <c r="F78" s="7">
        <v>1284996.0</v>
      </c>
      <c r="G78" s="7">
        <v>2309674.0</v>
      </c>
      <c r="H78" s="7">
        <v>1.0447031E8</v>
      </c>
      <c r="I78" s="7">
        <v>53776.0</v>
      </c>
      <c r="J78" s="7">
        <v>46071.0</v>
      </c>
      <c r="K78" s="7">
        <v>7705.0</v>
      </c>
      <c r="L78" s="7">
        <v>26.42</v>
      </c>
      <c r="M78" s="7">
        <v>-0.07</v>
      </c>
      <c r="N78" s="7">
        <v>9630.0</v>
      </c>
      <c r="O78" s="7">
        <v>515433.0</v>
      </c>
      <c r="P78" s="7" t="s">
        <v>409</v>
      </c>
      <c r="Q78" s="7">
        <v>149.25</v>
      </c>
      <c r="R78" s="3">
        <f t="shared" si="1"/>
        <v>149.25</v>
      </c>
    </row>
    <row r="79" ht="22.5" customHeight="1">
      <c r="B79" s="7" t="s">
        <v>578</v>
      </c>
      <c r="C79" s="7">
        <v>3587746.0</v>
      </c>
      <c r="D79" s="7">
        <v>7142066.0</v>
      </c>
      <c r="E79" s="7">
        <v>156250.0</v>
      </c>
      <c r="F79" s="7">
        <v>152352.0</v>
      </c>
      <c r="G79" s="7">
        <v>671335.0</v>
      </c>
      <c r="H79" s="7">
        <v>4.94445645E8</v>
      </c>
      <c r="I79" s="7">
        <v>7173.0</v>
      </c>
      <c r="J79" s="7">
        <v>6500.0</v>
      </c>
      <c r="K79" s="7">
        <v>673.0</v>
      </c>
      <c r="L79" s="7">
        <v>14.21</v>
      </c>
      <c r="M79" s="7">
        <v>-0.11</v>
      </c>
      <c r="N79" s="7">
        <v>881.0</v>
      </c>
      <c r="O79" s="7">
        <v>105629.0</v>
      </c>
      <c r="P79" s="7" t="s">
        <v>409</v>
      </c>
      <c r="Q79" s="7">
        <v>150.54</v>
      </c>
      <c r="R79" s="3">
        <f t="shared" si="1"/>
        <v>150.54</v>
      </c>
    </row>
    <row r="80" ht="22.5" customHeight="1">
      <c r="B80" s="7" t="s">
        <v>510</v>
      </c>
      <c r="C80" s="7">
        <v>14650.0</v>
      </c>
      <c r="D80" s="7">
        <v>110155.0</v>
      </c>
      <c r="E80" s="7">
        <v>1639507.0</v>
      </c>
      <c r="F80" s="7">
        <v>1608142.0</v>
      </c>
      <c r="G80" s="7">
        <v>3128782.0</v>
      </c>
      <c r="H80" s="7">
        <v>1.42523899E8</v>
      </c>
      <c r="I80" s="7">
        <v>78010.0</v>
      </c>
      <c r="J80" s="7">
        <v>70290.0</v>
      </c>
      <c r="K80" s="7">
        <v>7720.0</v>
      </c>
      <c r="L80" s="7">
        <v>19.7</v>
      </c>
      <c r="M80" s="7">
        <v>-0.09</v>
      </c>
      <c r="N80" s="7">
        <v>9646.0</v>
      </c>
      <c r="O80" s="7">
        <v>872520.0</v>
      </c>
      <c r="P80" s="7" t="s">
        <v>410</v>
      </c>
      <c r="Q80" s="7">
        <v>160.0</v>
      </c>
      <c r="R80" s="3">
        <f t="shared" si="1"/>
        <v>160</v>
      </c>
    </row>
    <row r="81" ht="22.5" customHeight="1">
      <c r="B81" s="7" t="s">
        <v>492</v>
      </c>
      <c r="C81" s="7">
        <v>400.0</v>
      </c>
      <c r="D81" s="7">
        <v>1737.0</v>
      </c>
      <c r="E81" s="7">
        <v>1657657.0</v>
      </c>
      <c r="F81" s="7">
        <v>1632448.0</v>
      </c>
      <c r="G81" s="7">
        <v>2404842.0</v>
      </c>
      <c r="H81" s="7">
        <v>5.2580443E7</v>
      </c>
      <c r="I81" s="7">
        <v>84253.0</v>
      </c>
      <c r="J81" s="7">
        <v>75206.0</v>
      </c>
      <c r="K81" s="7">
        <v>9047.0</v>
      </c>
      <c r="L81" s="7">
        <v>14.72</v>
      </c>
      <c r="M81" s="7">
        <v>-0.06</v>
      </c>
      <c r="N81" s="7">
        <v>10919.0</v>
      </c>
      <c r="O81" s="7">
        <v>793807.0</v>
      </c>
      <c r="P81" s="7" t="s">
        <v>410</v>
      </c>
      <c r="Q81" s="7">
        <v>165.91</v>
      </c>
      <c r="R81" s="3">
        <f t="shared" si="1"/>
        <v>165.91</v>
      </c>
    </row>
    <row r="82" ht="22.5" customHeight="1">
      <c r="B82" s="7" t="s">
        <v>509</v>
      </c>
      <c r="C82" s="7">
        <v>30503.0</v>
      </c>
      <c r="D82" s="7">
        <v>91434.0</v>
      </c>
      <c r="E82" s="7">
        <v>499182.0</v>
      </c>
      <c r="F82" s="7">
        <v>490117.0</v>
      </c>
      <c r="G82" s="7">
        <v>985587.0</v>
      </c>
      <c r="H82" s="7">
        <v>3.81822871E8</v>
      </c>
      <c r="I82" s="7">
        <v>28036.0</v>
      </c>
      <c r="J82" s="7">
        <v>25039.0</v>
      </c>
      <c r="K82" s="7">
        <v>2997.0</v>
      </c>
      <c r="L82" s="7">
        <v>24.85</v>
      </c>
      <c r="M82" s="7">
        <v>-0.07</v>
      </c>
      <c r="N82" s="7">
        <v>3436.0</v>
      </c>
      <c r="O82" s="7">
        <v>277937.0</v>
      </c>
      <c r="P82" s="7" t="s">
        <v>409</v>
      </c>
      <c r="Q82" s="7">
        <v>167.12</v>
      </c>
      <c r="R82" s="3">
        <f t="shared" si="1"/>
        <v>167.12</v>
      </c>
    </row>
    <row r="83" ht="22.5" customHeight="1">
      <c r="B83" s="7" t="s">
        <v>483</v>
      </c>
      <c r="C83" s="7">
        <v>83188.0</v>
      </c>
      <c r="D83" s="7">
        <v>1897458.0</v>
      </c>
      <c r="E83" s="7">
        <v>552752.0</v>
      </c>
      <c r="F83" s="7">
        <v>525022.0</v>
      </c>
      <c r="G83" s="7">
        <v>3.7349681E7</v>
      </c>
      <c r="H83" s="7">
        <v>4.03377749E8</v>
      </c>
      <c r="I83" s="7">
        <v>50065.0</v>
      </c>
      <c r="J83" s="7">
        <v>49128.0</v>
      </c>
      <c r="K83" s="7">
        <v>937.0</v>
      </c>
      <c r="L83" s="7">
        <v>167.42</v>
      </c>
      <c r="M83" s="7">
        <v>-0.22</v>
      </c>
      <c r="N83" s="7">
        <v>1597.0</v>
      </c>
      <c r="O83" s="7">
        <v>4650654.0</v>
      </c>
      <c r="P83" s="7" t="s">
        <v>409</v>
      </c>
      <c r="Q83" s="7">
        <v>168.1</v>
      </c>
      <c r="R83" s="3">
        <f t="shared" si="1"/>
        <v>168.1</v>
      </c>
    </row>
    <row r="84" ht="22.5" customHeight="1">
      <c r="B84" s="7" t="s">
        <v>473</v>
      </c>
      <c r="C84" s="7">
        <v>322.0</v>
      </c>
      <c r="D84" s="7">
        <v>1127.0</v>
      </c>
      <c r="E84" s="7">
        <v>1431108.0</v>
      </c>
      <c r="F84" s="7">
        <v>1396048.0</v>
      </c>
      <c r="G84" s="7">
        <v>2898008.0</v>
      </c>
      <c r="H84" s="7">
        <v>6.4447037E7</v>
      </c>
      <c r="I84" s="7">
        <v>51833.0</v>
      </c>
      <c r="J84" s="7">
        <v>44132.0</v>
      </c>
      <c r="K84" s="7">
        <v>7701.0</v>
      </c>
      <c r="L84" s="7">
        <v>24.22</v>
      </c>
      <c r="M84" s="7">
        <v>-0.06</v>
      </c>
      <c r="N84" s="7">
        <v>9627.0</v>
      </c>
      <c r="O84" s="7">
        <v>647069.0</v>
      </c>
      <c r="P84" s="7" t="s">
        <v>409</v>
      </c>
      <c r="Q84" s="7">
        <v>170.29</v>
      </c>
      <c r="R84" s="3">
        <f t="shared" si="1"/>
        <v>170.29</v>
      </c>
    </row>
    <row r="85" ht="22.5" customHeight="1">
      <c r="B85" s="7" t="s">
        <v>508</v>
      </c>
      <c r="C85" s="7">
        <v>11749.0</v>
      </c>
      <c r="D85" s="7">
        <v>2075485.0</v>
      </c>
      <c r="E85" s="7">
        <v>1555198.0</v>
      </c>
      <c r="F85" s="7">
        <v>1532382.0</v>
      </c>
      <c r="G85" s="7">
        <v>2506145.0</v>
      </c>
      <c r="H85" s="7">
        <v>1.39655481E8</v>
      </c>
      <c r="I85" s="7">
        <v>69883.0</v>
      </c>
      <c r="J85" s="7">
        <v>62134.0</v>
      </c>
      <c r="K85" s="7">
        <v>7749.0</v>
      </c>
      <c r="L85" s="7">
        <v>25.55</v>
      </c>
      <c r="M85" s="7">
        <v>-0.07</v>
      </c>
      <c r="N85" s="7">
        <v>9673.0</v>
      </c>
      <c r="O85" s="7">
        <v>742404.0</v>
      </c>
      <c r="P85" s="7" t="s">
        <v>410</v>
      </c>
      <c r="Q85" s="7">
        <v>173.31</v>
      </c>
      <c r="R85" s="3">
        <f t="shared" si="1"/>
        <v>173.31</v>
      </c>
    </row>
    <row r="86" ht="22.5" customHeight="1">
      <c r="B86" s="7" t="s">
        <v>507</v>
      </c>
      <c r="C86" s="7">
        <v>6664.0</v>
      </c>
      <c r="D86" s="7">
        <v>89966.0</v>
      </c>
      <c r="E86" s="7">
        <v>1299155.0</v>
      </c>
      <c r="F86" s="7">
        <v>1261185.0</v>
      </c>
      <c r="G86" s="7">
        <v>2633844.0</v>
      </c>
      <c r="H86" s="7">
        <v>2.85099076E8</v>
      </c>
      <c r="I86" s="7">
        <v>46950.0</v>
      </c>
      <c r="J86" s="7">
        <v>40564.0</v>
      </c>
      <c r="K86" s="7">
        <v>6386.0</v>
      </c>
      <c r="L86" s="7">
        <v>47.94</v>
      </c>
      <c r="M86" s="7">
        <v>-0.07</v>
      </c>
      <c r="N86" s="7">
        <v>8362.0</v>
      </c>
      <c r="O86" s="7">
        <v>575048.0</v>
      </c>
      <c r="P86" s="7" t="s">
        <v>410</v>
      </c>
      <c r="Q86" s="7">
        <v>179.8</v>
      </c>
      <c r="R86" s="3">
        <f t="shared" si="1"/>
        <v>179.8</v>
      </c>
    </row>
    <row r="87" ht="22.5" customHeight="1">
      <c r="B87" s="7" t="s">
        <v>525</v>
      </c>
      <c r="C87" s="7">
        <v>48796.0</v>
      </c>
      <c r="D87" s="7">
        <v>72706.0</v>
      </c>
      <c r="E87" s="7">
        <v>617121.0</v>
      </c>
      <c r="F87" s="7">
        <v>602008.0</v>
      </c>
      <c r="G87" s="7">
        <v>1875995.0</v>
      </c>
      <c r="H87" s="7">
        <v>7.29010065E8</v>
      </c>
      <c r="I87" s="7">
        <v>25693.0</v>
      </c>
      <c r="J87" s="7">
        <v>21889.0</v>
      </c>
      <c r="K87" s="7">
        <v>3804.0</v>
      </c>
      <c r="L87" s="7">
        <v>65.23</v>
      </c>
      <c r="M87" s="7">
        <v>-0.07</v>
      </c>
      <c r="N87" s="7">
        <v>4555.0</v>
      </c>
      <c r="O87" s="7">
        <v>342151.0</v>
      </c>
      <c r="P87" s="7" t="s">
        <v>409</v>
      </c>
      <c r="Q87" s="7">
        <v>185.96</v>
      </c>
      <c r="R87" s="3">
        <f t="shared" si="1"/>
        <v>185.96</v>
      </c>
    </row>
    <row r="88" ht="22.5" customHeight="1">
      <c r="B88" s="7" t="s">
        <v>688</v>
      </c>
      <c r="C88" s="7">
        <v>31141.0</v>
      </c>
      <c r="D88" s="7">
        <v>796467.0</v>
      </c>
      <c r="E88" s="7">
        <v>1009444.0</v>
      </c>
      <c r="F88" s="7">
        <v>994531.0</v>
      </c>
      <c r="G88" s="7">
        <v>1337340.0</v>
      </c>
      <c r="H88" s="7">
        <v>5.9345802E7</v>
      </c>
      <c r="I88" s="7">
        <v>37571.0</v>
      </c>
      <c r="J88" s="7">
        <v>26710.0</v>
      </c>
      <c r="K88" s="7">
        <v>10861.0</v>
      </c>
      <c r="L88" s="7">
        <v>109.65</v>
      </c>
      <c r="M88" s="7">
        <v>-0.03</v>
      </c>
      <c r="N88" s="7">
        <v>12587.0</v>
      </c>
      <c r="O88" s="7">
        <v>285864.0</v>
      </c>
      <c r="P88" s="7" t="s">
        <v>409</v>
      </c>
      <c r="Q88" s="7">
        <v>188.52</v>
      </c>
      <c r="R88" s="3">
        <f t="shared" si="1"/>
        <v>188.52</v>
      </c>
    </row>
    <row r="89" ht="22.5" customHeight="1">
      <c r="B89" s="7" t="s">
        <v>520</v>
      </c>
      <c r="C89" s="7">
        <v>126976.0</v>
      </c>
      <c r="D89" s="7">
        <v>296879.0</v>
      </c>
      <c r="E89" s="7">
        <v>162880.0</v>
      </c>
      <c r="F89" s="7">
        <v>160322.0</v>
      </c>
      <c r="G89" s="7">
        <v>3715369.0</v>
      </c>
      <c r="H89" s="7">
        <v>6.34386461E8</v>
      </c>
      <c r="I89" s="7">
        <v>13674.0</v>
      </c>
      <c r="J89" s="7">
        <v>13159.0</v>
      </c>
      <c r="K89" s="7">
        <v>515.0</v>
      </c>
      <c r="L89" s="7">
        <v>19.03</v>
      </c>
      <c r="M89" s="7">
        <v>-0.18</v>
      </c>
      <c r="N89" s="7">
        <v>754.0</v>
      </c>
      <c r="O89" s="7">
        <v>262490.0</v>
      </c>
      <c r="P89" s="7" t="s">
        <v>410</v>
      </c>
      <c r="Q89" s="7">
        <v>191.43</v>
      </c>
      <c r="R89" s="3">
        <f t="shared" si="1"/>
        <v>191.43</v>
      </c>
    </row>
    <row r="90" ht="22.5" customHeight="1">
      <c r="B90" s="7" t="s">
        <v>552</v>
      </c>
      <c r="C90" s="7">
        <v>12168.0</v>
      </c>
      <c r="D90" s="7">
        <v>55686.0</v>
      </c>
      <c r="E90" s="7">
        <v>907810.0</v>
      </c>
      <c r="F90" s="7">
        <v>894894.0</v>
      </c>
      <c r="G90" s="7">
        <v>1300266.0</v>
      </c>
      <c r="H90" s="7">
        <v>5.22334717E8</v>
      </c>
      <c r="I90" s="7">
        <v>27648.0</v>
      </c>
      <c r="J90" s="7">
        <v>21013.0</v>
      </c>
      <c r="K90" s="7">
        <v>6635.0</v>
      </c>
      <c r="L90" s="7">
        <v>41.94</v>
      </c>
      <c r="M90" s="7">
        <v>-0.05</v>
      </c>
      <c r="N90" s="7">
        <v>8219.0</v>
      </c>
      <c r="O90" s="7">
        <v>304926.0</v>
      </c>
      <c r="P90" s="7" t="s">
        <v>409</v>
      </c>
      <c r="Q90" s="7">
        <v>202.15</v>
      </c>
      <c r="R90" s="3">
        <f t="shared" si="1"/>
        <v>202.15</v>
      </c>
    </row>
    <row r="91" ht="22.5" customHeight="1">
      <c r="B91" s="7" t="s">
        <v>534</v>
      </c>
      <c r="C91" s="7">
        <v>24822.0</v>
      </c>
      <c r="D91" s="7">
        <v>216649.0</v>
      </c>
      <c r="E91" s="7">
        <v>848523.0</v>
      </c>
      <c r="F91" s="7">
        <v>826867.0</v>
      </c>
      <c r="G91" s="7">
        <v>3543636.0</v>
      </c>
      <c r="H91" s="7">
        <v>3.81549322E8</v>
      </c>
      <c r="I91" s="7">
        <v>40661.0</v>
      </c>
      <c r="J91" s="7">
        <v>37736.0</v>
      </c>
      <c r="K91" s="7">
        <v>2925.0</v>
      </c>
      <c r="L91" s="7">
        <v>19.06</v>
      </c>
      <c r="M91" s="7">
        <v>-0.17</v>
      </c>
      <c r="N91" s="7">
        <v>4480.0</v>
      </c>
      <c r="O91" s="7">
        <v>598489.0</v>
      </c>
      <c r="P91" s="7" t="s">
        <v>409</v>
      </c>
      <c r="Q91" s="7">
        <v>213.86</v>
      </c>
      <c r="R91" s="3">
        <f t="shared" si="1"/>
        <v>213.86</v>
      </c>
    </row>
    <row r="92" ht="22.5" customHeight="1">
      <c r="B92" s="7" t="s">
        <v>566</v>
      </c>
      <c r="C92" s="7">
        <v>3220.0</v>
      </c>
      <c r="D92" s="7">
        <v>12314.0</v>
      </c>
      <c r="E92" s="7">
        <v>2472907.0</v>
      </c>
      <c r="F92" s="7">
        <v>2432719.0</v>
      </c>
      <c r="G92" s="7">
        <v>7968957.0</v>
      </c>
      <c r="H92" s="7">
        <v>1.77389898E8</v>
      </c>
      <c r="I92" s="7">
        <v>136642.0</v>
      </c>
      <c r="J92" s="7">
        <v>125157.0</v>
      </c>
      <c r="K92" s="7">
        <v>11485.0</v>
      </c>
      <c r="L92" s="7">
        <v>31.05</v>
      </c>
      <c r="M92" s="7">
        <v>-0.11</v>
      </c>
      <c r="N92" s="7">
        <v>14662.0</v>
      </c>
      <c r="O92" s="7">
        <v>1217394.0</v>
      </c>
      <c r="P92" s="7" t="s">
        <v>409</v>
      </c>
      <c r="Q92" s="7">
        <v>214.68</v>
      </c>
      <c r="R92" s="3">
        <f t="shared" si="1"/>
        <v>214.68</v>
      </c>
    </row>
    <row r="93" ht="22.5" customHeight="1">
      <c r="B93" s="7" t="s">
        <v>486</v>
      </c>
      <c r="C93" s="7">
        <v>315093.0</v>
      </c>
      <c r="D93" s="7">
        <v>1546049.0</v>
      </c>
      <c r="E93" s="7">
        <v>543953.0</v>
      </c>
      <c r="F93" s="7">
        <v>530630.0</v>
      </c>
      <c r="G93" s="7">
        <v>4686964.0</v>
      </c>
      <c r="H93" s="7">
        <v>4.01342704E8</v>
      </c>
      <c r="I93" s="7">
        <v>49946.0</v>
      </c>
      <c r="J93" s="7">
        <v>48910.0</v>
      </c>
      <c r="K93" s="7">
        <v>1036.0</v>
      </c>
      <c r="L93" s="7">
        <v>15.43</v>
      </c>
      <c r="M93" s="7">
        <v>-0.22</v>
      </c>
      <c r="N93" s="7">
        <v>1664.0</v>
      </c>
      <c r="O93" s="7">
        <v>614449.0</v>
      </c>
      <c r="P93" s="7" t="s">
        <v>410</v>
      </c>
      <c r="Q93" s="7">
        <v>219.62</v>
      </c>
      <c r="R93" s="3">
        <f t="shared" si="1"/>
        <v>219.62</v>
      </c>
    </row>
    <row r="94" ht="22.5" customHeight="1">
      <c r="B94" s="7" t="s">
        <v>733</v>
      </c>
      <c r="C94" s="7">
        <v>6900.0</v>
      </c>
      <c r="D94" s="7">
        <v>64260.0</v>
      </c>
      <c r="E94" s="7">
        <v>2149102.0</v>
      </c>
      <c r="F94" s="7">
        <v>2140052.0</v>
      </c>
      <c r="G94" s="7">
        <v>2427483.0</v>
      </c>
      <c r="H94" s="7">
        <v>9.454073E7</v>
      </c>
      <c r="I94" s="7">
        <v>104286.0</v>
      </c>
      <c r="J94" s="7">
        <v>88565.0</v>
      </c>
      <c r="K94" s="7">
        <v>15721.0</v>
      </c>
      <c r="L94" s="7">
        <v>40.24</v>
      </c>
      <c r="M94" s="7">
        <v>-0.02</v>
      </c>
      <c r="N94" s="7">
        <v>17630.0</v>
      </c>
      <c r="O94" s="7">
        <v>1131587.0</v>
      </c>
      <c r="P94" s="7" t="s">
        <v>410</v>
      </c>
      <c r="Q94" s="7">
        <v>224.69</v>
      </c>
      <c r="R94" s="3">
        <f t="shared" si="1"/>
        <v>224.69</v>
      </c>
    </row>
    <row r="95" ht="22.5" customHeight="1">
      <c r="B95" s="7" t="s">
        <v>557</v>
      </c>
      <c r="C95" s="7">
        <v>3560698.0</v>
      </c>
      <c r="D95" s="7">
        <v>7088306.0</v>
      </c>
      <c r="E95" s="7">
        <v>947069.0</v>
      </c>
      <c r="F95" s="7">
        <v>927282.0</v>
      </c>
      <c r="G95" s="7">
        <v>2501321.0</v>
      </c>
      <c r="H95" s="7">
        <v>8.78421026E8</v>
      </c>
      <c r="I95" s="7">
        <v>33941.0</v>
      </c>
      <c r="J95" s="7">
        <v>27645.0</v>
      </c>
      <c r="K95" s="7">
        <v>6296.0</v>
      </c>
      <c r="L95" s="7">
        <v>17.7</v>
      </c>
      <c r="M95" s="7">
        <v>-0.09</v>
      </c>
      <c r="N95" s="7">
        <v>8032.0</v>
      </c>
      <c r="O95" s="7">
        <v>401474.0</v>
      </c>
      <c r="P95" s="7" t="s">
        <v>409</v>
      </c>
      <c r="Q95" s="7">
        <v>226.74</v>
      </c>
      <c r="R95" s="3">
        <f t="shared" si="1"/>
        <v>226.74</v>
      </c>
    </row>
    <row r="96" ht="22.5" customHeight="1">
      <c r="B96" s="7" t="s">
        <v>543</v>
      </c>
      <c r="C96" s="7">
        <v>324.0</v>
      </c>
      <c r="D96" s="7">
        <v>313486.0</v>
      </c>
      <c r="E96" s="7">
        <v>3107405.0</v>
      </c>
      <c r="F96" s="7">
        <v>3044168.0</v>
      </c>
      <c r="G96" s="7">
        <v>3955744.0</v>
      </c>
      <c r="H96" s="7">
        <v>9.2552821E7</v>
      </c>
      <c r="I96" s="7">
        <v>82742.0</v>
      </c>
      <c r="J96" s="7">
        <v>58218.0</v>
      </c>
      <c r="K96" s="7">
        <v>24524.0</v>
      </c>
      <c r="L96" s="7">
        <v>29.82</v>
      </c>
      <c r="M96" s="7">
        <v>-0.04</v>
      </c>
      <c r="N96" s="7">
        <v>29191.0</v>
      </c>
      <c r="O96" s="7">
        <v>1407557.0</v>
      </c>
      <c r="P96" s="7" t="s">
        <v>409</v>
      </c>
      <c r="Q96" s="7">
        <v>245.34</v>
      </c>
      <c r="R96" s="3">
        <f t="shared" si="1"/>
        <v>245.34</v>
      </c>
    </row>
    <row r="97" ht="22.5" customHeight="1">
      <c r="B97" s="7" t="s">
        <v>515</v>
      </c>
      <c r="C97" s="7">
        <v>190686.0</v>
      </c>
      <c r="D97" s="7">
        <v>2439819.0</v>
      </c>
      <c r="E97" s="7">
        <v>239305.0</v>
      </c>
      <c r="F97" s="7">
        <v>233374.0</v>
      </c>
      <c r="G97" s="7">
        <v>1252537.0</v>
      </c>
      <c r="H97" s="7">
        <v>3.11383115E8</v>
      </c>
      <c r="I97" s="7">
        <v>7195.0</v>
      </c>
      <c r="J97" s="7">
        <v>6143.0</v>
      </c>
      <c r="K97" s="7">
        <v>1052.0</v>
      </c>
      <c r="L97" s="7">
        <v>23.67</v>
      </c>
      <c r="M97" s="7">
        <v>-0.12</v>
      </c>
      <c r="N97" s="7">
        <v>1518.0</v>
      </c>
      <c r="O97" s="7">
        <v>304341.0</v>
      </c>
      <c r="P97" s="7" t="s">
        <v>409</v>
      </c>
      <c r="Q97" s="7">
        <v>253.48</v>
      </c>
      <c r="R97" s="3">
        <f t="shared" si="1"/>
        <v>253.48</v>
      </c>
    </row>
    <row r="98" ht="22.5" customHeight="1">
      <c r="B98" s="7" t="s">
        <v>512</v>
      </c>
      <c r="C98" s="7">
        <v>5465836.0</v>
      </c>
      <c r="D98" s="7">
        <v>2.4527622E7</v>
      </c>
      <c r="E98" s="7">
        <v>21005.0</v>
      </c>
      <c r="F98" s="7">
        <v>14966.0</v>
      </c>
      <c r="G98" s="7">
        <v>231845.0</v>
      </c>
      <c r="H98" s="7">
        <v>1.25164879E8</v>
      </c>
      <c r="I98" s="7">
        <v>219.0</v>
      </c>
      <c r="J98" s="7">
        <v>129.0</v>
      </c>
      <c r="K98" s="7">
        <v>90.0</v>
      </c>
      <c r="L98" s="7">
        <v>140.07</v>
      </c>
      <c r="M98" s="7">
        <v>-0.04</v>
      </c>
      <c r="N98" s="7">
        <v>110.0</v>
      </c>
      <c r="O98" s="7">
        <v>31451.0</v>
      </c>
      <c r="P98" s="7" t="s">
        <v>410</v>
      </c>
      <c r="Q98" s="7">
        <v>271.72</v>
      </c>
      <c r="R98" s="3">
        <f t="shared" si="1"/>
        <v>271.72</v>
      </c>
    </row>
    <row r="99" ht="22.5" customHeight="1">
      <c r="B99" s="7" t="s">
        <v>516</v>
      </c>
      <c r="C99" s="7">
        <v>3641.0</v>
      </c>
      <c r="D99" s="7">
        <v>4456.0</v>
      </c>
      <c r="E99" s="7">
        <v>2413156.0</v>
      </c>
      <c r="F99" s="7">
        <v>2394924.0</v>
      </c>
      <c r="G99" s="7">
        <v>3023031.0</v>
      </c>
      <c r="H99" s="7">
        <v>2.45045243E8</v>
      </c>
      <c r="I99" s="7">
        <v>123039.0</v>
      </c>
      <c r="J99" s="7">
        <v>106067.0</v>
      </c>
      <c r="K99" s="7">
        <v>16972.0</v>
      </c>
      <c r="L99" s="7">
        <v>22.94</v>
      </c>
      <c r="M99" s="7">
        <v>-0.04</v>
      </c>
      <c r="N99" s="7">
        <v>19728.0</v>
      </c>
      <c r="O99" s="7">
        <v>1093262.0</v>
      </c>
      <c r="P99" s="7" t="s">
        <v>410</v>
      </c>
      <c r="Q99" s="7">
        <v>278.63</v>
      </c>
      <c r="R99" s="3">
        <f t="shared" si="1"/>
        <v>278.63</v>
      </c>
    </row>
    <row r="100" ht="22.5" customHeight="1">
      <c r="B100" s="7" t="s">
        <v>542</v>
      </c>
      <c r="C100" s="7">
        <v>5244.0</v>
      </c>
      <c r="D100" s="7">
        <v>118126.0</v>
      </c>
      <c r="E100" s="7">
        <v>885696.0</v>
      </c>
      <c r="F100" s="7">
        <v>866228.0</v>
      </c>
      <c r="G100" s="7">
        <v>4264105.0</v>
      </c>
      <c r="H100" s="7">
        <v>4.12017013E8</v>
      </c>
      <c r="I100" s="7">
        <v>63468.0</v>
      </c>
      <c r="J100" s="7">
        <v>57552.0</v>
      </c>
      <c r="K100" s="7">
        <v>5916.0</v>
      </c>
      <c r="L100" s="7">
        <v>75.94</v>
      </c>
      <c r="M100" s="7">
        <v>-0.14</v>
      </c>
      <c r="N100" s="7">
        <v>7466.0</v>
      </c>
      <c r="O100" s="7">
        <v>308348.0</v>
      </c>
      <c r="P100" s="7" t="s">
        <v>409</v>
      </c>
      <c r="Q100" s="7">
        <v>279.45</v>
      </c>
      <c r="R100" s="3">
        <f t="shared" si="1"/>
        <v>279.45</v>
      </c>
    </row>
    <row r="101" ht="22.5" customHeight="1">
      <c r="B101" s="7" t="s">
        <v>533</v>
      </c>
      <c r="C101" s="7">
        <v>250.0</v>
      </c>
      <c r="D101" s="7">
        <v>12250.0</v>
      </c>
      <c r="E101" s="7">
        <v>4186183.0</v>
      </c>
      <c r="F101" s="7">
        <v>4109501.0</v>
      </c>
      <c r="G101" s="7">
        <v>7098350.0</v>
      </c>
      <c r="H101" s="7">
        <v>1.11410562E8</v>
      </c>
      <c r="I101" s="7">
        <v>89603.0</v>
      </c>
      <c r="J101" s="7">
        <v>57259.0</v>
      </c>
      <c r="K101" s="7">
        <v>32344.0</v>
      </c>
      <c r="L101" s="7">
        <v>42.84</v>
      </c>
      <c r="M101" s="7">
        <v>-0.04</v>
      </c>
      <c r="N101" s="7">
        <v>39980.0</v>
      </c>
      <c r="O101" s="7">
        <v>1331559.0</v>
      </c>
      <c r="P101" s="7" t="s">
        <v>409</v>
      </c>
      <c r="Q101" s="7">
        <v>291.55</v>
      </c>
      <c r="R101" s="3">
        <f t="shared" si="1"/>
        <v>291.55</v>
      </c>
    </row>
    <row r="102" ht="22.5" customHeight="1">
      <c r="B102" s="7" t="s">
        <v>522</v>
      </c>
      <c r="C102" s="7">
        <v>184371.0</v>
      </c>
      <c r="D102" s="7">
        <v>2307471.0</v>
      </c>
      <c r="E102" s="7">
        <v>542828.0</v>
      </c>
      <c r="F102" s="7">
        <v>526543.0</v>
      </c>
      <c r="G102" s="7">
        <v>3670594.0</v>
      </c>
      <c r="H102" s="7">
        <v>5.10331801E8</v>
      </c>
      <c r="I102" s="7">
        <v>39039.0</v>
      </c>
      <c r="J102" s="7">
        <v>37693.0</v>
      </c>
      <c r="K102" s="7">
        <v>1346.0</v>
      </c>
      <c r="L102" s="7">
        <v>15.06</v>
      </c>
      <c r="M102" s="7">
        <v>-0.2</v>
      </c>
      <c r="N102" s="7">
        <v>1957.0</v>
      </c>
      <c r="O102" s="7">
        <v>867633.0</v>
      </c>
      <c r="P102" s="7" t="s">
        <v>409</v>
      </c>
      <c r="Q102" s="7">
        <v>300.07</v>
      </c>
      <c r="R102" s="3">
        <f t="shared" si="1"/>
        <v>300.07</v>
      </c>
    </row>
    <row r="103" ht="22.5" customHeight="1">
      <c r="B103" s="7" t="s">
        <v>485</v>
      </c>
      <c r="C103" s="7">
        <v>53487.0</v>
      </c>
      <c r="D103" s="7">
        <v>79753.0</v>
      </c>
      <c r="E103" s="7">
        <v>710125.0</v>
      </c>
      <c r="F103" s="7">
        <v>693157.0</v>
      </c>
      <c r="G103" s="7">
        <v>2177247.0</v>
      </c>
      <c r="H103" s="7">
        <v>9.07359383E8</v>
      </c>
      <c r="I103" s="7">
        <v>29038.0</v>
      </c>
      <c r="J103" s="7">
        <v>24170.0</v>
      </c>
      <c r="K103" s="7">
        <v>4868.0</v>
      </c>
      <c r="L103" s="7">
        <v>59.17</v>
      </c>
      <c r="M103" s="7">
        <v>-0.07</v>
      </c>
      <c r="N103" s="7">
        <v>5882.0</v>
      </c>
      <c r="O103" s="7">
        <v>344195.0</v>
      </c>
      <c r="P103" s="7" t="s">
        <v>409</v>
      </c>
      <c r="Q103" s="7">
        <v>303.3</v>
      </c>
      <c r="R103" s="3">
        <f t="shared" si="1"/>
        <v>303.3</v>
      </c>
    </row>
    <row r="104" ht="22.5" customHeight="1">
      <c r="B104" s="7" t="s">
        <v>803</v>
      </c>
      <c r="C104" s="7">
        <v>551880.0</v>
      </c>
      <c r="D104" s="7">
        <v>7948745.0</v>
      </c>
      <c r="E104" s="7">
        <v>422530.0</v>
      </c>
      <c r="F104" s="7">
        <v>420832.0</v>
      </c>
      <c r="G104" s="7">
        <v>482629.0</v>
      </c>
      <c r="H104" s="7">
        <v>5.56416816E8</v>
      </c>
      <c r="I104" s="7">
        <v>18878.0</v>
      </c>
      <c r="J104" s="7">
        <v>15413.0</v>
      </c>
      <c r="K104" s="7">
        <v>3465.0</v>
      </c>
      <c r="L104" s="7">
        <v>36.8</v>
      </c>
      <c r="M104" s="7">
        <v>-0.02</v>
      </c>
      <c r="N104" s="7">
        <v>3878.0</v>
      </c>
      <c r="O104" s="7">
        <v>214296.0</v>
      </c>
      <c r="P104" s="7" t="s">
        <v>410</v>
      </c>
      <c r="Q104" s="7">
        <v>345.27</v>
      </c>
      <c r="R104" s="3">
        <f t="shared" si="1"/>
        <v>345.27</v>
      </c>
    </row>
    <row r="105" ht="22.5" customHeight="1">
      <c r="B105" s="7" t="s">
        <v>526</v>
      </c>
      <c r="C105" s="7">
        <v>549360.0</v>
      </c>
      <c r="D105" s="7">
        <v>7926624.0</v>
      </c>
      <c r="E105" s="7">
        <v>149164.0</v>
      </c>
      <c r="F105" s="7">
        <v>144561.0</v>
      </c>
      <c r="G105" s="7">
        <v>3807398.0</v>
      </c>
      <c r="H105" s="7">
        <v>8.14186213E8</v>
      </c>
      <c r="I105" s="7">
        <v>4066.0</v>
      </c>
      <c r="J105" s="7">
        <v>3733.0</v>
      </c>
      <c r="K105" s="7">
        <v>333.0</v>
      </c>
      <c r="L105" s="7">
        <v>114.16</v>
      </c>
      <c r="M105" s="7">
        <v>-0.1</v>
      </c>
      <c r="N105" s="7">
        <v>530.0</v>
      </c>
      <c r="O105" s="7">
        <v>333056.0</v>
      </c>
      <c r="P105" s="7" t="s">
        <v>409</v>
      </c>
      <c r="Q105" s="7">
        <v>346.61</v>
      </c>
      <c r="R105" s="3">
        <f t="shared" si="1"/>
        <v>346.61</v>
      </c>
    </row>
    <row r="106" ht="22.5" customHeight="1">
      <c r="B106" s="7" t="s">
        <v>524</v>
      </c>
      <c r="C106" s="7">
        <v>501283.0</v>
      </c>
      <c r="D106" s="7">
        <v>2445459.0</v>
      </c>
      <c r="E106" s="7">
        <v>1818905.0</v>
      </c>
      <c r="F106" s="7">
        <v>1810227.0</v>
      </c>
      <c r="G106" s="7">
        <v>1.2866599E7</v>
      </c>
      <c r="H106" s="7">
        <v>1.25882074E8</v>
      </c>
      <c r="I106" s="7">
        <v>92351.0</v>
      </c>
      <c r="J106" s="7">
        <v>84068.0</v>
      </c>
      <c r="K106" s="7">
        <v>8283.0</v>
      </c>
      <c r="L106" s="7">
        <v>12.75</v>
      </c>
      <c r="M106" s="7">
        <v>-0.08</v>
      </c>
      <c r="N106" s="7">
        <v>10192.0</v>
      </c>
      <c r="O106" s="7">
        <v>2046316.0</v>
      </c>
      <c r="P106" s="7" t="s">
        <v>410</v>
      </c>
      <c r="Q106" s="7">
        <v>348.61</v>
      </c>
      <c r="R106" s="3">
        <f t="shared" si="1"/>
        <v>348.61</v>
      </c>
    </row>
    <row r="107" ht="22.5" customHeight="1">
      <c r="B107" s="7" t="s">
        <v>536</v>
      </c>
      <c r="C107" s="7">
        <v>3148025.0</v>
      </c>
      <c r="D107" s="7">
        <v>1.0859973E7</v>
      </c>
      <c r="E107" s="7">
        <v>232462.0</v>
      </c>
      <c r="F107" s="7">
        <v>224947.0</v>
      </c>
      <c r="G107" s="7">
        <v>836234.0</v>
      </c>
      <c r="H107" s="7">
        <v>4.37837453E8</v>
      </c>
      <c r="I107" s="7">
        <v>5451.0</v>
      </c>
      <c r="J107" s="7">
        <v>4542.0</v>
      </c>
      <c r="K107" s="7">
        <v>909.0</v>
      </c>
      <c r="L107" s="7">
        <v>24.62</v>
      </c>
      <c r="M107" s="7">
        <v>-0.1</v>
      </c>
      <c r="N107" s="7">
        <v>1357.0</v>
      </c>
      <c r="O107" s="7">
        <v>151969.0</v>
      </c>
      <c r="P107" s="7" t="s">
        <v>410</v>
      </c>
      <c r="Q107" s="7">
        <v>384.33</v>
      </c>
      <c r="R107" s="3">
        <f t="shared" si="1"/>
        <v>384.33</v>
      </c>
    </row>
    <row r="108" ht="22.5" customHeight="1">
      <c r="B108" s="7" t="s">
        <v>545</v>
      </c>
      <c r="C108" s="7">
        <v>618715.0</v>
      </c>
      <c r="D108" s="7">
        <v>2602587.0</v>
      </c>
      <c r="E108" s="7">
        <v>818368.0</v>
      </c>
      <c r="F108" s="7">
        <v>791702.0</v>
      </c>
      <c r="G108" s="7">
        <v>3640570.0</v>
      </c>
      <c r="H108" s="7">
        <v>8.52592938E8</v>
      </c>
      <c r="I108" s="7">
        <v>35782.0</v>
      </c>
      <c r="J108" s="7">
        <v>32305.0</v>
      </c>
      <c r="K108" s="7">
        <v>3477.0</v>
      </c>
      <c r="L108" s="7">
        <v>70.02</v>
      </c>
      <c r="M108" s="7">
        <v>-0.12</v>
      </c>
      <c r="N108" s="7">
        <v>4907.0</v>
      </c>
      <c r="O108" s="7">
        <v>699191.0</v>
      </c>
      <c r="P108" s="7" t="s">
        <v>410</v>
      </c>
      <c r="Q108" s="7">
        <v>401.25</v>
      </c>
      <c r="R108" s="3">
        <f t="shared" si="1"/>
        <v>401.25</v>
      </c>
    </row>
    <row r="109" ht="22.5" customHeight="1">
      <c r="B109" s="7" t="s">
        <v>496</v>
      </c>
      <c r="C109" s="7">
        <v>74466.0</v>
      </c>
      <c r="D109" s="7">
        <v>111075.0</v>
      </c>
      <c r="E109" s="7">
        <v>677104.0</v>
      </c>
      <c r="F109" s="7">
        <v>660145.0</v>
      </c>
      <c r="G109" s="7">
        <v>2443391.0</v>
      </c>
      <c r="H109" s="7">
        <v>1.044891046E9</v>
      </c>
      <c r="I109" s="7">
        <v>31817.0</v>
      </c>
      <c r="J109" s="7">
        <v>27183.0</v>
      </c>
      <c r="K109" s="7">
        <v>4634.0</v>
      </c>
      <c r="L109" s="7">
        <v>65.58</v>
      </c>
      <c r="M109" s="7">
        <v>-0.09</v>
      </c>
      <c r="N109" s="7">
        <v>5548.0</v>
      </c>
      <c r="O109" s="7">
        <v>358112.0</v>
      </c>
      <c r="P109" s="7" t="s">
        <v>409</v>
      </c>
      <c r="Q109" s="7">
        <v>433.74</v>
      </c>
      <c r="R109" s="3">
        <f t="shared" si="1"/>
        <v>433.74</v>
      </c>
    </row>
    <row r="110" ht="22.5" customHeight="1">
      <c r="B110" s="7" t="s">
        <v>529</v>
      </c>
      <c r="C110" s="7">
        <v>527.0</v>
      </c>
      <c r="D110" s="7">
        <v>12692.0</v>
      </c>
      <c r="E110" s="7">
        <v>3328493.0</v>
      </c>
      <c r="F110" s="7">
        <v>3278630.0</v>
      </c>
      <c r="G110" s="7">
        <v>4158095.0</v>
      </c>
      <c r="H110" s="7">
        <v>1.1150377E8</v>
      </c>
      <c r="I110" s="7">
        <v>108524.0</v>
      </c>
      <c r="J110" s="7">
        <v>85743.0</v>
      </c>
      <c r="K110" s="7">
        <v>22781.0</v>
      </c>
      <c r="L110" s="7">
        <v>16.2</v>
      </c>
      <c r="M110" s="7">
        <v>-0.04</v>
      </c>
      <c r="N110" s="7">
        <v>28296.0</v>
      </c>
      <c r="O110" s="7">
        <v>1174418.0</v>
      </c>
      <c r="P110" s="7" t="s">
        <v>410</v>
      </c>
      <c r="Q110" s="7">
        <v>440.8</v>
      </c>
      <c r="R110" s="3">
        <f t="shared" si="1"/>
        <v>440.8</v>
      </c>
    </row>
    <row r="111" ht="22.5" customHeight="1">
      <c r="B111" s="7" t="s">
        <v>527</v>
      </c>
      <c r="C111" s="7">
        <v>2100.0</v>
      </c>
      <c r="D111" s="7">
        <v>17509.0</v>
      </c>
      <c r="E111" s="7">
        <v>8917403.0</v>
      </c>
      <c r="F111" s="7">
        <v>8857883.0</v>
      </c>
      <c r="G111" s="7">
        <v>9745782.0</v>
      </c>
      <c r="H111" s="7">
        <v>3.55915644E8</v>
      </c>
      <c r="I111" s="7">
        <v>365272.0</v>
      </c>
      <c r="J111" s="7">
        <v>314640.0</v>
      </c>
      <c r="K111" s="7">
        <v>50632.0</v>
      </c>
      <c r="L111" s="7">
        <v>18.15</v>
      </c>
      <c r="M111" s="7">
        <v>-0.02</v>
      </c>
      <c r="N111" s="7">
        <v>59887.0</v>
      </c>
      <c r="O111" s="7">
        <v>4655414.0</v>
      </c>
      <c r="P111" s="7" t="s">
        <v>410</v>
      </c>
      <c r="Q111" s="7">
        <v>474.14</v>
      </c>
      <c r="R111" s="3">
        <f t="shared" si="1"/>
        <v>474.14</v>
      </c>
    </row>
    <row r="112" ht="22.5" customHeight="1">
      <c r="B112" s="7" t="s">
        <v>554</v>
      </c>
      <c r="C112" s="7">
        <v>72868.0</v>
      </c>
      <c r="D112" s="7">
        <v>2934162.0</v>
      </c>
      <c r="E112" s="7">
        <v>153552.0</v>
      </c>
      <c r="F112" s="7">
        <v>143508.0</v>
      </c>
      <c r="G112" s="7">
        <v>559420.0</v>
      </c>
      <c r="H112" s="7">
        <v>7.49681405E8</v>
      </c>
      <c r="I112" s="7">
        <v>9237.0</v>
      </c>
      <c r="J112" s="7">
        <v>8642.0</v>
      </c>
      <c r="K112" s="7">
        <v>595.0</v>
      </c>
      <c r="L112" s="7">
        <v>25.85</v>
      </c>
      <c r="M112" s="7">
        <v>-0.15</v>
      </c>
      <c r="N112" s="7">
        <v>797.0</v>
      </c>
      <c r="O112" s="7">
        <v>117653.0</v>
      </c>
      <c r="P112" s="7" t="s">
        <v>409</v>
      </c>
      <c r="Q112" s="7">
        <v>479.03</v>
      </c>
      <c r="R112" s="3">
        <f t="shared" si="1"/>
        <v>479.03</v>
      </c>
    </row>
    <row r="113" ht="22.5" customHeight="1">
      <c r="B113" s="7" t="s">
        <v>637</v>
      </c>
      <c r="C113" s="7">
        <v>450.0</v>
      </c>
      <c r="D113" s="7">
        <v>20035.0</v>
      </c>
      <c r="E113" s="7">
        <v>4893606.0</v>
      </c>
      <c r="F113" s="7">
        <v>4838868.0</v>
      </c>
      <c r="G113" s="7">
        <v>9068998.0</v>
      </c>
      <c r="H113" s="7">
        <v>1.11558082E8</v>
      </c>
      <c r="I113" s="7">
        <v>228964.0</v>
      </c>
      <c r="J113" s="7">
        <v>177911.0</v>
      </c>
      <c r="K113" s="7">
        <v>51053.0</v>
      </c>
      <c r="L113" s="7">
        <v>92.34</v>
      </c>
      <c r="M113" s="7">
        <v>-0.03</v>
      </c>
      <c r="N113" s="7">
        <v>57670.0</v>
      </c>
      <c r="O113" s="7">
        <v>2097949.0</v>
      </c>
      <c r="P113" s="7" t="s">
        <v>410</v>
      </c>
      <c r="Q113" s="7">
        <v>504.72</v>
      </c>
      <c r="R113" s="3">
        <f t="shared" si="1"/>
        <v>504.72</v>
      </c>
    </row>
    <row r="114" ht="22.5" customHeight="1">
      <c r="B114" s="7" t="s">
        <v>540</v>
      </c>
      <c r="C114" s="7">
        <v>306.0</v>
      </c>
      <c r="D114" s="7">
        <v>264104.0</v>
      </c>
      <c r="E114" s="7">
        <v>5819288.0</v>
      </c>
      <c r="F114" s="7">
        <v>5700283.0</v>
      </c>
      <c r="G114" s="7">
        <v>7409015.0</v>
      </c>
      <c r="H114" s="7">
        <v>1.69365927E8</v>
      </c>
      <c r="I114" s="7">
        <v>176061.0</v>
      </c>
      <c r="J114" s="7">
        <v>138903.0</v>
      </c>
      <c r="K114" s="7">
        <v>37158.0</v>
      </c>
      <c r="L114" s="7">
        <v>27.29</v>
      </c>
      <c r="M114" s="7">
        <v>-0.04</v>
      </c>
      <c r="N114" s="7">
        <v>44531.0</v>
      </c>
      <c r="O114" s="7">
        <v>3150458.0</v>
      </c>
      <c r="P114" s="7" t="s">
        <v>409</v>
      </c>
      <c r="Q114" s="7">
        <v>507.61</v>
      </c>
      <c r="R114" s="3">
        <f t="shared" si="1"/>
        <v>507.61</v>
      </c>
    </row>
    <row r="115" ht="22.5" customHeight="1">
      <c r="B115" s="7" t="s">
        <v>749</v>
      </c>
      <c r="C115" s="7">
        <v>1150.0</v>
      </c>
      <c r="D115" s="7">
        <v>10770.0</v>
      </c>
      <c r="E115" s="7">
        <v>4464982.0</v>
      </c>
      <c r="F115" s="7">
        <v>4445481.0</v>
      </c>
      <c r="G115" s="7">
        <v>4980123.0</v>
      </c>
      <c r="H115" s="7">
        <v>1.85030915E8</v>
      </c>
      <c r="I115" s="7">
        <v>163322.0</v>
      </c>
      <c r="J115" s="7">
        <v>106459.0</v>
      </c>
      <c r="K115" s="7">
        <v>56863.0</v>
      </c>
      <c r="L115" s="7">
        <v>36.11</v>
      </c>
      <c r="M115" s="7">
        <v>-0.02</v>
      </c>
      <c r="N115" s="7">
        <v>63407.0</v>
      </c>
      <c r="O115" s="7">
        <v>1456074.0</v>
      </c>
      <c r="P115" s="7" t="s">
        <v>410</v>
      </c>
      <c r="Q115" s="7">
        <v>508.76</v>
      </c>
      <c r="R115" s="3">
        <f t="shared" si="1"/>
        <v>508.76</v>
      </c>
    </row>
    <row r="116" ht="22.5" customHeight="1">
      <c r="B116" s="7" t="s">
        <v>513</v>
      </c>
      <c r="C116" s="7">
        <v>500.0</v>
      </c>
      <c r="D116" s="7">
        <v>4498.0</v>
      </c>
      <c r="E116" s="7">
        <v>2478387.0</v>
      </c>
      <c r="F116" s="7">
        <v>2434965.0</v>
      </c>
      <c r="G116" s="7">
        <v>4088364.0</v>
      </c>
      <c r="H116" s="7">
        <v>1.68678329E8</v>
      </c>
      <c r="I116" s="7">
        <v>111330.0</v>
      </c>
      <c r="J116" s="7">
        <v>98437.0</v>
      </c>
      <c r="K116" s="7">
        <v>12893.0</v>
      </c>
      <c r="L116" s="7">
        <v>23.24</v>
      </c>
      <c r="M116" s="7">
        <v>-0.06</v>
      </c>
      <c r="N116" s="7">
        <v>16021.0</v>
      </c>
      <c r="O116" s="7">
        <v>1110406.0</v>
      </c>
      <c r="P116" s="7" t="s">
        <v>409</v>
      </c>
      <c r="Q116" s="7">
        <v>509.72</v>
      </c>
      <c r="R116" s="3">
        <f t="shared" si="1"/>
        <v>509.72</v>
      </c>
    </row>
    <row r="117" ht="22.5" customHeight="1">
      <c r="B117" s="7" t="s">
        <v>539</v>
      </c>
      <c r="C117" s="7">
        <v>218.0</v>
      </c>
      <c r="D117" s="7">
        <v>3080.0</v>
      </c>
      <c r="E117" s="7">
        <v>5639753.0</v>
      </c>
      <c r="F117" s="7">
        <v>5565478.0</v>
      </c>
      <c r="G117" s="7">
        <v>6275455.0</v>
      </c>
      <c r="H117" s="7">
        <v>9.001035E7</v>
      </c>
      <c r="I117" s="7">
        <v>181971.0</v>
      </c>
      <c r="J117" s="7">
        <v>148228.0</v>
      </c>
      <c r="K117" s="7">
        <v>33743.0</v>
      </c>
      <c r="L117" s="7">
        <v>16.78</v>
      </c>
      <c r="M117" s="7">
        <v>-0.03</v>
      </c>
      <c r="N117" s="7">
        <v>41330.0</v>
      </c>
      <c r="O117" s="7">
        <v>2561360.0</v>
      </c>
      <c r="P117" s="7" t="s">
        <v>410</v>
      </c>
      <c r="Q117" s="7">
        <v>516.01</v>
      </c>
      <c r="R117" s="3">
        <f t="shared" si="1"/>
        <v>516.01</v>
      </c>
    </row>
    <row r="118" ht="22.5" customHeight="1">
      <c r="B118" s="7" t="s">
        <v>537</v>
      </c>
      <c r="C118" s="7">
        <v>220.0</v>
      </c>
      <c r="D118" s="7">
        <v>3136.0</v>
      </c>
      <c r="E118" s="7">
        <v>5617810.0</v>
      </c>
      <c r="F118" s="7">
        <v>5543630.0</v>
      </c>
      <c r="G118" s="7">
        <v>6258282.0</v>
      </c>
      <c r="H118" s="7">
        <v>8.9881919E7</v>
      </c>
      <c r="I118" s="7">
        <v>180860.0</v>
      </c>
      <c r="J118" s="7">
        <v>146674.0</v>
      </c>
      <c r="K118" s="7">
        <v>34186.0</v>
      </c>
      <c r="L118" s="7">
        <v>16.82</v>
      </c>
      <c r="M118" s="7">
        <v>-0.03</v>
      </c>
      <c r="N118" s="7">
        <v>41752.0</v>
      </c>
      <c r="O118" s="7">
        <v>2543413.0</v>
      </c>
      <c r="P118" s="7" t="s">
        <v>410</v>
      </c>
      <c r="Q118" s="7">
        <v>528.43</v>
      </c>
      <c r="R118" s="3">
        <f t="shared" si="1"/>
        <v>528.43</v>
      </c>
    </row>
    <row r="119" ht="22.5" customHeight="1">
      <c r="B119" s="7" t="s">
        <v>517</v>
      </c>
      <c r="C119" s="7">
        <v>11680.0</v>
      </c>
      <c r="D119" s="7">
        <v>74577.0</v>
      </c>
      <c r="E119" s="7">
        <v>1645830.0</v>
      </c>
      <c r="F119" s="7">
        <v>1605920.0</v>
      </c>
      <c r="G119" s="7">
        <v>4551568.0</v>
      </c>
      <c r="H119" s="7">
        <v>1.219562768E9</v>
      </c>
      <c r="I119" s="7">
        <v>80489.0</v>
      </c>
      <c r="J119" s="7">
        <v>74198.0</v>
      </c>
      <c r="K119" s="7">
        <v>6291.0</v>
      </c>
      <c r="L119" s="7">
        <v>44.41</v>
      </c>
      <c r="M119" s="7">
        <v>-0.12</v>
      </c>
      <c r="N119" s="7">
        <v>8280.0</v>
      </c>
      <c r="O119" s="7">
        <v>1129781.0</v>
      </c>
      <c r="P119" s="7" t="s">
        <v>410</v>
      </c>
      <c r="Q119" s="7">
        <v>528.5</v>
      </c>
      <c r="R119" s="3">
        <f t="shared" si="1"/>
        <v>528.5</v>
      </c>
    </row>
    <row r="120" ht="22.5" customHeight="1">
      <c r="B120" s="7" t="s">
        <v>618</v>
      </c>
      <c r="C120" s="7">
        <v>2300.0</v>
      </c>
      <c r="D120" s="7">
        <v>21816.0</v>
      </c>
      <c r="E120" s="7">
        <v>4845084.0</v>
      </c>
      <c r="F120" s="7">
        <v>4822873.0</v>
      </c>
      <c r="G120" s="7">
        <v>5400297.0</v>
      </c>
      <c r="H120" s="7">
        <v>2.25602272E8</v>
      </c>
      <c r="I120" s="7">
        <v>192362.0</v>
      </c>
      <c r="J120" s="7">
        <v>138424.0</v>
      </c>
      <c r="K120" s="7">
        <v>53938.0</v>
      </c>
      <c r="L120" s="7">
        <v>37.06</v>
      </c>
      <c r="M120" s="7">
        <v>-0.02</v>
      </c>
      <c r="N120" s="7">
        <v>60610.0</v>
      </c>
      <c r="O120" s="7">
        <v>1748228.0</v>
      </c>
      <c r="P120" s="7" t="s">
        <v>410</v>
      </c>
      <c r="Q120" s="7">
        <v>545.24</v>
      </c>
      <c r="R120" s="3">
        <f t="shared" si="1"/>
        <v>545.24</v>
      </c>
    </row>
    <row r="121" ht="22.5" customHeight="1">
      <c r="B121" s="7" t="s">
        <v>546</v>
      </c>
      <c r="C121" s="7">
        <v>12159.0</v>
      </c>
      <c r="D121" s="7">
        <v>53210.0</v>
      </c>
      <c r="E121" s="7">
        <v>3249908.0</v>
      </c>
      <c r="F121" s="7">
        <v>3192612.0</v>
      </c>
      <c r="G121" s="7">
        <v>5593519.0</v>
      </c>
      <c r="H121" s="7">
        <v>9.9765126E8</v>
      </c>
      <c r="I121" s="7">
        <v>129124.0</v>
      </c>
      <c r="J121" s="7">
        <v>107808.0</v>
      </c>
      <c r="K121" s="7">
        <v>21316.0</v>
      </c>
      <c r="L121" s="7">
        <v>24.85</v>
      </c>
      <c r="M121" s="7">
        <v>-0.06</v>
      </c>
      <c r="N121" s="7">
        <v>26626.0</v>
      </c>
      <c r="O121" s="7">
        <v>1168900.0</v>
      </c>
      <c r="P121" s="7" t="s">
        <v>410</v>
      </c>
      <c r="Q121" s="7">
        <v>554.6</v>
      </c>
      <c r="R121" s="3">
        <f t="shared" si="1"/>
        <v>554.6</v>
      </c>
    </row>
    <row r="122" ht="22.5" customHeight="1">
      <c r="B122" s="7" t="s">
        <v>528</v>
      </c>
      <c r="C122" s="7">
        <v>3151111.0</v>
      </c>
      <c r="D122" s="7">
        <v>1.0869059E7</v>
      </c>
      <c r="E122" s="7">
        <v>335588.0</v>
      </c>
      <c r="F122" s="7">
        <v>319629.0</v>
      </c>
      <c r="G122" s="7">
        <v>1894078.0</v>
      </c>
      <c r="H122" s="7">
        <v>8.81857893E8</v>
      </c>
      <c r="I122" s="7">
        <v>14925.0</v>
      </c>
      <c r="J122" s="7">
        <v>13773.0</v>
      </c>
      <c r="K122" s="7">
        <v>1152.0</v>
      </c>
      <c r="L122" s="7">
        <v>45.44</v>
      </c>
      <c r="M122" s="7">
        <v>-0.13</v>
      </c>
      <c r="N122" s="7">
        <v>1665.0</v>
      </c>
      <c r="O122" s="7">
        <v>284529.0</v>
      </c>
      <c r="P122" s="7" t="s">
        <v>410</v>
      </c>
      <c r="Q122" s="7">
        <v>558.69</v>
      </c>
      <c r="R122" s="3">
        <f t="shared" si="1"/>
        <v>558.69</v>
      </c>
    </row>
    <row r="123" ht="22.5" customHeight="1">
      <c r="B123" s="7" t="s">
        <v>531</v>
      </c>
      <c r="C123" s="7">
        <v>1000.0</v>
      </c>
      <c r="D123" s="7">
        <v>13500.0</v>
      </c>
      <c r="E123" s="7">
        <v>3798508.0</v>
      </c>
      <c r="F123" s="7">
        <v>3723861.0</v>
      </c>
      <c r="G123" s="7">
        <v>5245758.0</v>
      </c>
      <c r="H123" s="7">
        <v>2.71163551E8</v>
      </c>
      <c r="I123" s="7">
        <v>116780.0</v>
      </c>
      <c r="J123" s="7">
        <v>89468.0</v>
      </c>
      <c r="K123" s="7">
        <v>27312.0</v>
      </c>
      <c r="L123" s="7">
        <v>33.4</v>
      </c>
      <c r="M123" s="7">
        <v>-0.05</v>
      </c>
      <c r="N123" s="7">
        <v>34163.0</v>
      </c>
      <c r="O123" s="7">
        <v>1165229.0</v>
      </c>
      <c r="P123" s="7" t="s">
        <v>409</v>
      </c>
      <c r="Q123" s="7">
        <v>566.26</v>
      </c>
      <c r="R123" s="3">
        <f t="shared" si="1"/>
        <v>566.26</v>
      </c>
    </row>
    <row r="124" ht="22.5" customHeight="1">
      <c r="B124" s="7" t="s">
        <v>521</v>
      </c>
      <c r="C124" s="7">
        <v>1854.0</v>
      </c>
      <c r="D124" s="7">
        <v>26809.0</v>
      </c>
      <c r="E124" s="7">
        <v>6615242.0</v>
      </c>
      <c r="F124" s="7">
        <v>6607488.0</v>
      </c>
      <c r="G124" s="7">
        <v>6997781.0</v>
      </c>
      <c r="H124" s="7">
        <v>4.58744247E8</v>
      </c>
      <c r="I124" s="7">
        <v>312241.0</v>
      </c>
      <c r="J124" s="7">
        <v>255842.0</v>
      </c>
      <c r="K124" s="7">
        <v>56399.0</v>
      </c>
      <c r="L124" s="7">
        <v>17.79</v>
      </c>
      <c r="M124" s="7">
        <v>-0.01</v>
      </c>
      <c r="N124" s="7">
        <v>63082.0</v>
      </c>
      <c r="O124" s="7">
        <v>3213524.0</v>
      </c>
      <c r="P124" s="7" t="s">
        <v>410</v>
      </c>
      <c r="Q124" s="7">
        <v>585.01</v>
      </c>
      <c r="R124" s="3">
        <f t="shared" si="1"/>
        <v>585.01</v>
      </c>
    </row>
    <row r="125" ht="22.5" customHeight="1">
      <c r="B125" s="7" t="s">
        <v>824</v>
      </c>
      <c r="C125" s="7">
        <v>441.0</v>
      </c>
      <c r="D125" s="7">
        <v>627443.0</v>
      </c>
      <c r="E125" s="7">
        <v>5284296.0</v>
      </c>
      <c r="F125" s="7">
        <v>5174718.0</v>
      </c>
      <c r="G125" s="7">
        <v>6694960.0</v>
      </c>
      <c r="H125" s="7">
        <v>1.76494055E8</v>
      </c>
      <c r="I125" s="7">
        <v>133268.0</v>
      </c>
      <c r="J125" s="7">
        <v>95539.0</v>
      </c>
      <c r="K125" s="7">
        <v>37729.0</v>
      </c>
      <c r="L125" s="7">
        <v>35.11</v>
      </c>
      <c r="M125" s="7">
        <v>-0.04</v>
      </c>
      <c r="N125" s="7">
        <v>45075.0</v>
      </c>
      <c r="O125" s="7">
        <v>2671835.0</v>
      </c>
      <c r="P125" s="7" t="s">
        <v>409</v>
      </c>
      <c r="Q125" s="7">
        <v>599.01</v>
      </c>
      <c r="R125" s="3">
        <f t="shared" si="1"/>
        <v>599.01</v>
      </c>
    </row>
    <row r="126" ht="22.5" customHeight="1">
      <c r="B126" s="7" t="s">
        <v>560</v>
      </c>
      <c r="C126" s="7">
        <v>158783.0</v>
      </c>
      <c r="D126" s="7">
        <v>373469.0</v>
      </c>
      <c r="E126" s="7">
        <v>156442.0</v>
      </c>
      <c r="F126" s="7">
        <v>153808.0</v>
      </c>
      <c r="G126" s="7">
        <v>3589242.0</v>
      </c>
      <c r="H126" s="7">
        <v>1.356223124E9</v>
      </c>
      <c r="I126" s="7">
        <v>13137.0</v>
      </c>
      <c r="J126" s="7">
        <v>12662.0</v>
      </c>
      <c r="K126" s="7">
        <v>475.0</v>
      </c>
      <c r="L126" s="7">
        <v>24.06</v>
      </c>
      <c r="M126" s="7">
        <v>-0.19</v>
      </c>
      <c r="N126" s="7">
        <v>695.0</v>
      </c>
      <c r="O126" s="7">
        <v>336568.0</v>
      </c>
      <c r="P126" s="7" t="s">
        <v>410</v>
      </c>
      <c r="Q126" s="7">
        <v>619.15</v>
      </c>
      <c r="R126" s="3">
        <f t="shared" si="1"/>
        <v>619.15</v>
      </c>
    </row>
    <row r="127" ht="22.5" customHeight="1">
      <c r="B127" s="7" t="s">
        <v>563</v>
      </c>
      <c r="C127" s="7">
        <v>400.0</v>
      </c>
      <c r="D127" s="7">
        <v>30926.0</v>
      </c>
      <c r="E127" s="7">
        <v>4212882.0</v>
      </c>
      <c r="F127" s="7">
        <v>4095845.0</v>
      </c>
      <c r="G127" s="7">
        <v>5445131.0</v>
      </c>
      <c r="H127" s="7">
        <v>1.14412595E8</v>
      </c>
      <c r="I127" s="7">
        <v>98748.0</v>
      </c>
      <c r="J127" s="7">
        <v>64885.0</v>
      </c>
      <c r="K127" s="7">
        <v>33863.0</v>
      </c>
      <c r="L127" s="7">
        <v>80.52</v>
      </c>
      <c r="M127" s="7">
        <v>-0.05</v>
      </c>
      <c r="N127" s="7">
        <v>41361.0</v>
      </c>
      <c r="O127" s="7">
        <v>1499440.0</v>
      </c>
      <c r="P127" s="7" t="s">
        <v>409</v>
      </c>
      <c r="Q127" s="7">
        <v>624.13</v>
      </c>
      <c r="R127" s="3">
        <f t="shared" si="1"/>
        <v>624.13</v>
      </c>
    </row>
    <row r="128" ht="22.5" customHeight="1">
      <c r="B128" s="7" t="s">
        <v>519</v>
      </c>
      <c r="C128" s="7">
        <v>240933.0</v>
      </c>
      <c r="D128" s="7">
        <v>3100411.0</v>
      </c>
      <c r="E128" s="7">
        <v>609544.0</v>
      </c>
      <c r="F128" s="7">
        <v>592429.0</v>
      </c>
      <c r="G128" s="7">
        <v>4187407.0</v>
      </c>
      <c r="H128" s="7">
        <v>1.037053931E9</v>
      </c>
      <c r="I128" s="7">
        <v>29736.0</v>
      </c>
      <c r="J128" s="7">
        <v>27910.0</v>
      </c>
      <c r="K128" s="7">
        <v>1826.0</v>
      </c>
      <c r="L128" s="7">
        <v>19.22</v>
      </c>
      <c r="M128" s="7">
        <v>-0.16</v>
      </c>
      <c r="N128" s="7">
        <v>2634.0</v>
      </c>
      <c r="O128" s="7">
        <v>1242413.0</v>
      </c>
      <c r="P128" s="7" t="s">
        <v>409</v>
      </c>
      <c r="Q128" s="7">
        <v>647.64</v>
      </c>
      <c r="R128" s="3">
        <f t="shared" si="1"/>
        <v>647.64</v>
      </c>
    </row>
    <row r="129" ht="22.5" customHeight="1">
      <c r="B129" s="7" t="s">
        <v>638</v>
      </c>
      <c r="C129" s="7">
        <v>4600.0</v>
      </c>
      <c r="D129" s="7">
        <v>43812.0</v>
      </c>
      <c r="E129" s="7">
        <v>4462541.0</v>
      </c>
      <c r="F129" s="7">
        <v>4443940.0</v>
      </c>
      <c r="G129" s="7">
        <v>4985064.0</v>
      </c>
      <c r="H129" s="7">
        <v>2.14178578E8</v>
      </c>
      <c r="I129" s="7">
        <v>165863.0</v>
      </c>
      <c r="J129" s="7">
        <v>110749.0</v>
      </c>
      <c r="K129" s="7">
        <v>55114.0</v>
      </c>
      <c r="L129" s="7">
        <v>36.07</v>
      </c>
      <c r="M129" s="7">
        <v>-0.02</v>
      </c>
      <c r="N129" s="7">
        <v>61731.0</v>
      </c>
      <c r="O129" s="7">
        <v>1445131.0</v>
      </c>
      <c r="P129" s="7" t="s">
        <v>410</v>
      </c>
      <c r="Q129" s="7">
        <v>649.39</v>
      </c>
      <c r="R129" s="3">
        <f t="shared" si="1"/>
        <v>649.39</v>
      </c>
    </row>
    <row r="130" ht="22.5" customHeight="1">
      <c r="B130" s="7" t="s">
        <v>538</v>
      </c>
      <c r="C130" s="7">
        <v>380100.0</v>
      </c>
      <c r="D130" s="7">
        <v>3747692.0</v>
      </c>
      <c r="E130" s="7">
        <v>600145.0</v>
      </c>
      <c r="F130" s="7">
        <v>577870.0</v>
      </c>
      <c r="G130" s="7">
        <v>6740353.0</v>
      </c>
      <c r="H130" s="7">
        <v>3.000232531E9</v>
      </c>
      <c r="I130" s="7">
        <v>23239.0</v>
      </c>
      <c r="J130" s="7">
        <v>21030.0</v>
      </c>
      <c r="K130" s="7">
        <v>2209.0</v>
      </c>
      <c r="L130" s="7">
        <v>694.46</v>
      </c>
      <c r="M130" s="7">
        <v>-0.12</v>
      </c>
      <c r="N130" s="7">
        <v>2971.0</v>
      </c>
      <c r="O130" s="7">
        <v>712404.0</v>
      </c>
      <c r="P130" s="7" t="s">
        <v>409</v>
      </c>
      <c r="Q130" s="7">
        <v>713.33</v>
      </c>
      <c r="R130" s="3">
        <f t="shared" si="1"/>
        <v>713.33</v>
      </c>
    </row>
    <row r="131" ht="22.5" customHeight="1">
      <c r="B131" s="7" t="s">
        <v>602</v>
      </c>
      <c r="C131" s="7">
        <v>24552.0</v>
      </c>
      <c r="D131" s="7">
        <v>91999.0</v>
      </c>
      <c r="E131" s="7">
        <v>2113662.0</v>
      </c>
      <c r="F131" s="7">
        <v>2083524.0</v>
      </c>
      <c r="G131" s="7">
        <v>5084543.0</v>
      </c>
      <c r="H131" s="7">
        <v>3.63868643E8</v>
      </c>
      <c r="I131" s="7">
        <v>140470.0</v>
      </c>
      <c r="J131" s="7">
        <v>130836.0</v>
      </c>
      <c r="K131" s="7">
        <v>9634.0</v>
      </c>
      <c r="L131" s="7">
        <v>23.06</v>
      </c>
      <c r="M131" s="7">
        <v>-0.1</v>
      </c>
      <c r="N131" s="7">
        <v>11701.0</v>
      </c>
      <c r="O131" s="7">
        <v>1105498.0</v>
      </c>
      <c r="P131" s="7" t="s">
        <v>409</v>
      </c>
      <c r="Q131" s="7">
        <v>724.02</v>
      </c>
      <c r="R131" s="3">
        <f t="shared" si="1"/>
        <v>724.02</v>
      </c>
    </row>
    <row r="132" ht="22.5" customHeight="1">
      <c r="B132" s="7" t="s">
        <v>687</v>
      </c>
      <c r="C132" s="7">
        <v>141429.0</v>
      </c>
      <c r="D132" s="7">
        <v>646143.0</v>
      </c>
      <c r="E132" s="7">
        <v>35456.0</v>
      </c>
      <c r="F132" s="7">
        <v>34711.0</v>
      </c>
      <c r="G132" s="7">
        <v>207403.0</v>
      </c>
      <c r="H132" s="7">
        <v>1.397651537E9</v>
      </c>
      <c r="I132" s="7">
        <v>1538.0</v>
      </c>
      <c r="J132" s="7">
        <v>1056.0</v>
      </c>
      <c r="K132" s="7">
        <v>482.0</v>
      </c>
      <c r="L132" s="7">
        <v>94.82</v>
      </c>
      <c r="M132" s="7">
        <v>-0.06</v>
      </c>
      <c r="N132" s="7">
        <v>510.0</v>
      </c>
      <c r="O132" s="7">
        <v>27035.0</v>
      </c>
      <c r="P132" s="7" t="s">
        <v>410</v>
      </c>
      <c r="Q132" s="7">
        <v>829.34</v>
      </c>
      <c r="R132" s="3">
        <f t="shared" si="1"/>
        <v>829.34</v>
      </c>
    </row>
    <row r="133" ht="22.5" customHeight="1">
      <c r="B133" s="7" t="s">
        <v>555</v>
      </c>
      <c r="C133" s="7">
        <v>488843.0</v>
      </c>
      <c r="D133" s="7">
        <v>1553934.0</v>
      </c>
      <c r="E133" s="7">
        <v>1720321.0</v>
      </c>
      <c r="F133" s="7">
        <v>1664867.0</v>
      </c>
      <c r="G133" s="7">
        <v>2.03723992E8</v>
      </c>
      <c r="H133" s="7">
        <v>2.058405093E9</v>
      </c>
      <c r="I133" s="7">
        <v>51726.0</v>
      </c>
      <c r="J133" s="7">
        <v>47508.0</v>
      </c>
      <c r="K133" s="7">
        <v>4218.0</v>
      </c>
      <c r="L133" s="7">
        <v>29.06</v>
      </c>
      <c r="M133" s="7">
        <v>-0.13</v>
      </c>
      <c r="N133" s="7">
        <v>6287.0</v>
      </c>
      <c r="O133" s="7">
        <v>8.708451E7</v>
      </c>
      <c r="P133" s="7" t="s">
        <v>410</v>
      </c>
      <c r="Q133" s="7">
        <v>834.2</v>
      </c>
      <c r="R133" s="3">
        <f t="shared" si="1"/>
        <v>834.2</v>
      </c>
    </row>
    <row r="134" ht="22.5" customHeight="1">
      <c r="B134" s="7" t="s">
        <v>572</v>
      </c>
      <c r="C134" s="7">
        <v>320.0</v>
      </c>
      <c r="D134" s="7">
        <v>7628.0</v>
      </c>
      <c r="E134" s="7">
        <v>1.0066674E7</v>
      </c>
      <c r="F134" s="7">
        <v>9880906.0</v>
      </c>
      <c r="G134" s="7">
        <v>1.1487383E7</v>
      </c>
      <c r="H134" s="7">
        <v>2.42212918E8</v>
      </c>
      <c r="I134" s="7">
        <v>311161.0</v>
      </c>
      <c r="J134" s="7">
        <v>255640.0</v>
      </c>
      <c r="K134" s="7">
        <v>55521.0</v>
      </c>
      <c r="L134" s="7">
        <v>18.08</v>
      </c>
      <c r="M134" s="7">
        <v>-0.04</v>
      </c>
      <c r="N134" s="7">
        <v>68326.0</v>
      </c>
      <c r="O134" s="7">
        <v>5050154.0</v>
      </c>
      <c r="P134" s="7" t="s">
        <v>410</v>
      </c>
      <c r="Q134" s="7">
        <v>861.88</v>
      </c>
      <c r="R134" s="3">
        <f t="shared" si="1"/>
        <v>861.88</v>
      </c>
    </row>
    <row r="135" ht="22.5" customHeight="1">
      <c r="B135" s="7" t="s">
        <v>575</v>
      </c>
      <c r="C135" s="7">
        <v>322.0</v>
      </c>
      <c r="D135" s="7">
        <v>7723.0</v>
      </c>
      <c r="E135" s="7">
        <v>9943522.0</v>
      </c>
      <c r="F135" s="7">
        <v>9760418.0</v>
      </c>
      <c r="G135" s="7">
        <v>1.1349268E7</v>
      </c>
      <c r="H135" s="7">
        <v>2.39985344E8</v>
      </c>
      <c r="I135" s="7">
        <v>309726.0</v>
      </c>
      <c r="J135" s="7">
        <v>256279.0</v>
      </c>
      <c r="K135" s="7">
        <v>53447.0</v>
      </c>
      <c r="L135" s="7">
        <v>18.03</v>
      </c>
      <c r="M135" s="7">
        <v>-0.04</v>
      </c>
      <c r="N135" s="7">
        <v>65936.0</v>
      </c>
      <c r="O135" s="7">
        <v>5049516.0</v>
      </c>
      <c r="P135" s="7" t="s">
        <v>410</v>
      </c>
      <c r="Q135" s="7">
        <v>883.15</v>
      </c>
      <c r="R135" s="3">
        <f t="shared" si="1"/>
        <v>883.15</v>
      </c>
    </row>
    <row r="136" ht="22.5" customHeight="1">
      <c r="B136" s="7" t="s">
        <v>559</v>
      </c>
      <c r="C136" s="7">
        <v>4367.0</v>
      </c>
      <c r="D136" s="7">
        <v>15918.0</v>
      </c>
      <c r="E136" s="7">
        <v>6385823.0</v>
      </c>
      <c r="F136" s="7">
        <v>6296526.0</v>
      </c>
      <c r="G136" s="7">
        <v>1.2763846E7</v>
      </c>
      <c r="H136" s="7">
        <v>7.83206353E8</v>
      </c>
      <c r="I136" s="7">
        <v>337454.0</v>
      </c>
      <c r="J136" s="7">
        <v>303570.0</v>
      </c>
      <c r="K136" s="7">
        <v>33884.0</v>
      </c>
      <c r="L136" s="7">
        <v>25.07</v>
      </c>
      <c r="M136" s="7">
        <v>-0.08</v>
      </c>
      <c r="N136" s="7">
        <v>41480.0</v>
      </c>
      <c r="O136" s="7">
        <v>3174684.0</v>
      </c>
      <c r="P136" s="7" t="s">
        <v>410</v>
      </c>
      <c r="Q136" s="7">
        <v>891.08</v>
      </c>
      <c r="R136" s="3">
        <f t="shared" si="1"/>
        <v>891.08</v>
      </c>
    </row>
    <row r="137" ht="22.5" customHeight="1">
      <c r="B137" s="7" t="s">
        <v>549</v>
      </c>
      <c r="C137" s="7">
        <v>250.0</v>
      </c>
      <c r="D137" s="7">
        <v>1000.0</v>
      </c>
      <c r="E137" s="7">
        <v>8717591.0</v>
      </c>
      <c r="F137" s="7">
        <v>8709694.0</v>
      </c>
      <c r="G137" s="7">
        <v>9193891.0</v>
      </c>
      <c r="H137" s="7">
        <v>3.899147E8</v>
      </c>
      <c r="I137" s="7">
        <v>369054.0</v>
      </c>
      <c r="J137" s="7">
        <v>308749.0</v>
      </c>
      <c r="K137" s="7">
        <v>60305.0</v>
      </c>
      <c r="L137" s="7">
        <v>24.06</v>
      </c>
      <c r="M137" s="7">
        <v>-0.01</v>
      </c>
      <c r="N137" s="7">
        <v>68563.0</v>
      </c>
      <c r="O137" s="7">
        <v>4624538.0</v>
      </c>
      <c r="P137" s="7" t="s">
        <v>409</v>
      </c>
      <c r="Q137" s="7">
        <v>905.72</v>
      </c>
      <c r="R137" s="3">
        <f t="shared" si="1"/>
        <v>905.72</v>
      </c>
    </row>
    <row r="138" ht="22.5" customHeight="1">
      <c r="B138" s="7" t="s">
        <v>523</v>
      </c>
      <c r="C138" s="7">
        <v>249327.0</v>
      </c>
      <c r="D138" s="7">
        <v>746442.0</v>
      </c>
      <c r="E138" s="7">
        <v>2156232.0</v>
      </c>
      <c r="F138" s="7">
        <v>2073713.0</v>
      </c>
      <c r="G138" s="7">
        <v>1.7455552E7</v>
      </c>
      <c r="H138" s="7">
        <v>2.569779017E9</v>
      </c>
      <c r="I138" s="7">
        <v>94139.0</v>
      </c>
      <c r="J138" s="7">
        <v>89315.0</v>
      </c>
      <c r="K138" s="7">
        <v>4824.0</v>
      </c>
      <c r="L138" s="7">
        <v>75.11</v>
      </c>
      <c r="M138" s="7">
        <v>-0.13</v>
      </c>
      <c r="N138" s="7">
        <v>7210.0</v>
      </c>
      <c r="O138" s="7">
        <v>2549763.0</v>
      </c>
      <c r="P138" s="7" t="s">
        <v>410</v>
      </c>
      <c r="Q138" s="7">
        <v>940.08</v>
      </c>
      <c r="R138" s="3">
        <f t="shared" si="1"/>
        <v>940.08</v>
      </c>
    </row>
    <row r="139" ht="22.5" customHeight="1">
      <c r="B139" s="7" t="s">
        <v>586</v>
      </c>
      <c r="C139" s="7">
        <v>88944.0</v>
      </c>
      <c r="D139" s="7">
        <v>1.2614028E7</v>
      </c>
      <c r="E139" s="7">
        <v>616362.0</v>
      </c>
      <c r="F139" s="7">
        <v>570254.0</v>
      </c>
      <c r="G139" s="7">
        <v>6761491.0</v>
      </c>
      <c r="H139" s="7">
        <v>3.74781163E8</v>
      </c>
      <c r="I139" s="7">
        <v>11752.0</v>
      </c>
      <c r="J139" s="7">
        <v>8969.0</v>
      </c>
      <c r="K139" s="7">
        <v>2783.0</v>
      </c>
      <c r="L139" s="7">
        <v>1442.25</v>
      </c>
      <c r="M139" s="7">
        <v>-0.06</v>
      </c>
      <c r="N139" s="7">
        <v>3560.0</v>
      </c>
      <c r="O139" s="7">
        <v>1053933.0</v>
      </c>
      <c r="P139" s="7" t="s">
        <v>409</v>
      </c>
      <c r="Q139" s="7">
        <v>953.68</v>
      </c>
      <c r="R139" s="3">
        <f t="shared" si="1"/>
        <v>953.68</v>
      </c>
    </row>
    <row r="140" ht="22.5" customHeight="1">
      <c r="B140" s="7" t="s">
        <v>585</v>
      </c>
      <c r="C140" s="7">
        <v>11020.0</v>
      </c>
      <c r="D140" s="7">
        <v>241824.0</v>
      </c>
      <c r="E140" s="7">
        <v>2968561.0</v>
      </c>
      <c r="F140" s="7">
        <v>2896027.0</v>
      </c>
      <c r="G140" s="7">
        <v>8479548.0</v>
      </c>
      <c r="H140" s="7">
        <v>8.76989026E8</v>
      </c>
      <c r="I140" s="7">
        <v>125483.0</v>
      </c>
      <c r="J140" s="7">
        <v>112612.0</v>
      </c>
      <c r="K140" s="7">
        <v>12871.0</v>
      </c>
      <c r="L140" s="7">
        <v>48.52</v>
      </c>
      <c r="M140" s="7">
        <v>-0.1</v>
      </c>
      <c r="N140" s="7">
        <v>17610.0</v>
      </c>
      <c r="O140" s="7">
        <v>1552741.0</v>
      </c>
      <c r="P140" s="7" t="s">
        <v>409</v>
      </c>
      <c r="Q140" s="7">
        <v>958.19</v>
      </c>
      <c r="R140" s="3">
        <f t="shared" si="1"/>
        <v>958.19</v>
      </c>
    </row>
    <row r="141" ht="22.5" customHeight="1">
      <c r="B141" s="7" t="s">
        <v>547</v>
      </c>
      <c r="C141" s="7">
        <v>17543.0</v>
      </c>
      <c r="D141" s="7">
        <v>114047.0</v>
      </c>
      <c r="E141" s="7">
        <v>2077143.0</v>
      </c>
      <c r="F141" s="7">
        <v>1979705.0</v>
      </c>
      <c r="G141" s="7">
        <v>1.2540438E7</v>
      </c>
      <c r="H141" s="7">
        <v>1.098295983E9</v>
      </c>
      <c r="I141" s="7">
        <v>94916.0</v>
      </c>
      <c r="J141" s="7">
        <v>88804.0</v>
      </c>
      <c r="K141" s="7">
        <v>6112.0</v>
      </c>
      <c r="L141" s="7">
        <v>314.74</v>
      </c>
      <c r="M141" s="7">
        <v>-0.09</v>
      </c>
      <c r="N141" s="7">
        <v>8192.0</v>
      </c>
      <c r="O141" s="7">
        <v>1514048.0</v>
      </c>
      <c r="P141" s="7" t="s">
        <v>409</v>
      </c>
      <c r="Q141" s="7">
        <v>961.8</v>
      </c>
      <c r="R141" s="3">
        <f t="shared" si="1"/>
        <v>961.8</v>
      </c>
    </row>
    <row r="142" ht="22.5" customHeight="1">
      <c r="B142" s="7" t="s">
        <v>567</v>
      </c>
      <c r="C142" s="7">
        <v>13176.0</v>
      </c>
      <c r="D142" s="7">
        <v>103872.0</v>
      </c>
      <c r="E142" s="7">
        <v>3327424.0</v>
      </c>
      <c r="F142" s="7">
        <v>3262806.0</v>
      </c>
      <c r="G142" s="7">
        <v>5117660.0</v>
      </c>
      <c r="H142" s="7">
        <v>1.689641361E9</v>
      </c>
      <c r="I142" s="7">
        <v>100630.0</v>
      </c>
      <c r="J142" s="7">
        <v>79076.0</v>
      </c>
      <c r="K142" s="7">
        <v>21554.0</v>
      </c>
      <c r="L142" s="7">
        <v>31.28</v>
      </c>
      <c r="M142" s="7">
        <v>-0.04</v>
      </c>
      <c r="N142" s="7">
        <v>27068.0</v>
      </c>
      <c r="O142" s="7">
        <v>1390705.0</v>
      </c>
      <c r="P142" s="7" t="s">
        <v>410</v>
      </c>
      <c r="Q142" s="7">
        <v>1031.13</v>
      </c>
      <c r="R142" s="3">
        <f t="shared" si="1"/>
        <v>1031.13</v>
      </c>
    </row>
    <row r="143" ht="22.5" customHeight="1">
      <c r="B143" s="7" t="s">
        <v>596</v>
      </c>
      <c r="C143" s="7">
        <v>2777.0</v>
      </c>
      <c r="D143" s="7">
        <v>9203.0</v>
      </c>
      <c r="E143" s="7">
        <v>6118167.0</v>
      </c>
      <c r="F143" s="7">
        <v>6041828.0</v>
      </c>
      <c r="G143" s="7">
        <v>9550760.0</v>
      </c>
      <c r="H143" s="7">
        <v>7.77086043E8</v>
      </c>
      <c r="I143" s="7">
        <v>289932.0</v>
      </c>
      <c r="J143" s="7">
        <v>258702.0</v>
      </c>
      <c r="K143" s="7">
        <v>31230.0</v>
      </c>
      <c r="L143" s="7">
        <v>26.98</v>
      </c>
      <c r="M143" s="7">
        <v>-0.06</v>
      </c>
      <c r="N143" s="7">
        <v>38928.0</v>
      </c>
      <c r="O143" s="7">
        <v>2741099.0</v>
      </c>
      <c r="P143" s="7" t="s">
        <v>410</v>
      </c>
      <c r="Q143" s="7">
        <v>1041.08</v>
      </c>
      <c r="R143" s="3">
        <f t="shared" si="1"/>
        <v>1041.08</v>
      </c>
    </row>
    <row r="144" ht="22.5" customHeight="1">
      <c r="B144" s="7" t="s">
        <v>511</v>
      </c>
      <c r="C144" s="7">
        <v>501.0</v>
      </c>
      <c r="D144" s="7">
        <v>63088.0</v>
      </c>
      <c r="E144" s="7">
        <v>3919217.0</v>
      </c>
      <c r="F144" s="7">
        <v>3795282.0</v>
      </c>
      <c r="G144" s="7">
        <v>7409498.0</v>
      </c>
      <c r="H144" s="7">
        <v>9.1560169E7</v>
      </c>
      <c r="I144" s="7">
        <v>130734.0</v>
      </c>
      <c r="J144" s="7">
        <v>89404.0</v>
      </c>
      <c r="K144" s="7">
        <v>41330.0</v>
      </c>
      <c r="L144" s="7">
        <v>129.48</v>
      </c>
      <c r="M144" s="7">
        <v>-0.05</v>
      </c>
      <c r="N144" s="7">
        <v>47791.0</v>
      </c>
      <c r="O144" s="7">
        <v>1527028.0</v>
      </c>
      <c r="P144" s="7" t="s">
        <v>410</v>
      </c>
      <c r="Q144" s="7">
        <v>1048.95</v>
      </c>
      <c r="R144" s="3">
        <f t="shared" si="1"/>
        <v>1048.95</v>
      </c>
    </row>
    <row r="145" ht="22.5" customHeight="1">
      <c r="B145" s="7" t="s">
        <v>605</v>
      </c>
      <c r="C145" s="7">
        <v>72456.0</v>
      </c>
      <c r="D145" s="7">
        <v>108086.0</v>
      </c>
      <c r="E145" s="7">
        <v>2480014.0</v>
      </c>
      <c r="F145" s="7">
        <v>2418229.0</v>
      </c>
      <c r="G145" s="7">
        <v>8414588.0</v>
      </c>
      <c r="H145" s="7">
        <v>3.609417461E9</v>
      </c>
      <c r="I145" s="7">
        <v>108360.0</v>
      </c>
      <c r="J145" s="7">
        <v>92760.0</v>
      </c>
      <c r="K145" s="7">
        <v>15600.0</v>
      </c>
      <c r="L145" s="7">
        <v>69.09</v>
      </c>
      <c r="M145" s="7">
        <v>-0.08</v>
      </c>
      <c r="N145" s="7">
        <v>18619.0</v>
      </c>
      <c r="O145" s="7">
        <v>1374175.0</v>
      </c>
      <c r="P145" s="7" t="s">
        <v>409</v>
      </c>
      <c r="Q145" s="7">
        <v>1138.02</v>
      </c>
      <c r="R145" s="3">
        <f t="shared" si="1"/>
        <v>1138.02</v>
      </c>
    </row>
    <row r="146" ht="22.5" customHeight="1">
      <c r="B146" s="7" t="s">
        <v>571</v>
      </c>
      <c r="C146" s="7">
        <v>1206085.0</v>
      </c>
      <c r="D146" s="7">
        <v>3942659.0</v>
      </c>
      <c r="E146" s="7">
        <v>1042069.0</v>
      </c>
      <c r="F146" s="7">
        <v>1032451.0</v>
      </c>
      <c r="G146" s="7">
        <v>4825825.0</v>
      </c>
      <c r="H146" s="7">
        <v>1.403812477E9</v>
      </c>
      <c r="I146" s="7">
        <v>44343.0</v>
      </c>
      <c r="J146" s="7">
        <v>34960.0</v>
      </c>
      <c r="K146" s="7">
        <v>9383.0</v>
      </c>
      <c r="L146" s="7">
        <v>18.25</v>
      </c>
      <c r="M146" s="7">
        <v>-0.06</v>
      </c>
      <c r="N146" s="7">
        <v>11241.0</v>
      </c>
      <c r="O146" s="7">
        <v>279359.0</v>
      </c>
      <c r="P146" s="7" t="s">
        <v>410</v>
      </c>
      <c r="Q146" s="7">
        <v>1156.58</v>
      </c>
      <c r="R146" s="3">
        <f t="shared" si="1"/>
        <v>1156.58</v>
      </c>
    </row>
    <row r="147" ht="22.5" customHeight="1">
      <c r="B147" s="7" t="s">
        <v>548</v>
      </c>
      <c r="C147" s="7">
        <v>23931.0</v>
      </c>
      <c r="D147" s="7">
        <v>298759.0</v>
      </c>
      <c r="E147" s="7">
        <v>3128296.0</v>
      </c>
      <c r="F147" s="7">
        <v>3083455.0</v>
      </c>
      <c r="G147" s="7">
        <v>4695680.0</v>
      </c>
      <c r="H147" s="7">
        <v>2.664508168E9</v>
      </c>
      <c r="I147" s="7">
        <v>128875.0</v>
      </c>
      <c r="J147" s="7">
        <v>106552.0</v>
      </c>
      <c r="K147" s="7">
        <v>22323.0</v>
      </c>
      <c r="L147" s="7">
        <v>29.17</v>
      </c>
      <c r="M147" s="7">
        <v>-0.05</v>
      </c>
      <c r="N147" s="7">
        <v>27199.0</v>
      </c>
      <c r="O147" s="7">
        <v>1142747.0</v>
      </c>
      <c r="P147" s="7" t="s">
        <v>410</v>
      </c>
      <c r="Q147" s="7">
        <v>1172.13</v>
      </c>
      <c r="R147" s="3">
        <f t="shared" si="1"/>
        <v>1172.13</v>
      </c>
    </row>
    <row r="148" ht="22.5" customHeight="1">
      <c r="B148" s="7" t="s">
        <v>734</v>
      </c>
      <c r="C148" s="7">
        <v>11020.0</v>
      </c>
      <c r="D148" s="7">
        <v>241816.0</v>
      </c>
      <c r="E148" s="7">
        <v>3759721.0</v>
      </c>
      <c r="F148" s="7">
        <v>3673799.0</v>
      </c>
      <c r="G148" s="7">
        <v>9928796.0</v>
      </c>
      <c r="H148" s="7">
        <v>1.107972851E9</v>
      </c>
      <c r="I148" s="7">
        <v>134767.0</v>
      </c>
      <c r="J148" s="7">
        <v>115363.0</v>
      </c>
      <c r="K148" s="7">
        <v>19404.0</v>
      </c>
      <c r="L148" s="7">
        <v>52.39</v>
      </c>
      <c r="M148" s="7">
        <v>-0.09</v>
      </c>
      <c r="N148" s="7">
        <v>26470.0</v>
      </c>
      <c r="O148" s="7">
        <v>1560274.0</v>
      </c>
      <c r="P148" s="7" t="s">
        <v>409</v>
      </c>
      <c r="Q148" s="7">
        <v>1172.47</v>
      </c>
      <c r="R148" s="3">
        <f t="shared" si="1"/>
        <v>1172.47</v>
      </c>
    </row>
    <row r="149" ht="22.5" customHeight="1">
      <c r="B149" s="7" t="s">
        <v>550</v>
      </c>
      <c r="C149" s="7">
        <v>2731.0</v>
      </c>
      <c r="D149" s="7">
        <v>17637.0</v>
      </c>
      <c r="E149" s="7">
        <v>3431044.0</v>
      </c>
      <c r="F149" s="7">
        <v>3395807.0</v>
      </c>
      <c r="G149" s="7">
        <v>4748647.0</v>
      </c>
      <c r="H149" s="7">
        <v>2.44672946E8</v>
      </c>
      <c r="I149" s="7">
        <v>108154.0</v>
      </c>
      <c r="J149" s="7">
        <v>83270.0</v>
      </c>
      <c r="K149" s="7">
        <v>24884.0</v>
      </c>
      <c r="L149" s="7">
        <v>33.04</v>
      </c>
      <c r="M149" s="7">
        <v>-0.04</v>
      </c>
      <c r="N149" s="7">
        <v>30645.0</v>
      </c>
      <c r="O149" s="7">
        <v>1219516.0</v>
      </c>
      <c r="P149" s="7" t="s">
        <v>410</v>
      </c>
      <c r="Q149" s="7">
        <v>1182.14</v>
      </c>
      <c r="R149" s="3">
        <f t="shared" si="1"/>
        <v>1182.14</v>
      </c>
    </row>
    <row r="150" ht="22.5" customHeight="1">
      <c r="B150" s="7" t="s">
        <v>582</v>
      </c>
      <c r="C150" s="7">
        <v>851.0</v>
      </c>
      <c r="D150" s="7">
        <v>2731.0</v>
      </c>
      <c r="E150" s="7">
        <v>6938510.0</v>
      </c>
      <c r="F150" s="7">
        <v>6848952.0</v>
      </c>
      <c r="G150" s="7">
        <v>9835676.0</v>
      </c>
      <c r="H150" s="7">
        <v>2.41567225E8</v>
      </c>
      <c r="I150" s="7">
        <v>345775.0</v>
      </c>
      <c r="J150" s="7">
        <v>310839.0</v>
      </c>
      <c r="K150" s="7">
        <v>34936.0</v>
      </c>
      <c r="L150" s="7">
        <v>17.1</v>
      </c>
      <c r="M150" s="7">
        <v>-0.06</v>
      </c>
      <c r="N150" s="7">
        <v>42472.0</v>
      </c>
      <c r="O150" s="7">
        <v>3412555.0</v>
      </c>
      <c r="P150" s="7" t="s">
        <v>410</v>
      </c>
      <c r="Q150" s="7">
        <v>1220.53</v>
      </c>
      <c r="R150" s="3">
        <f t="shared" si="1"/>
        <v>1220.53</v>
      </c>
    </row>
    <row r="151" ht="22.5" customHeight="1">
      <c r="B151" s="7" t="s">
        <v>551</v>
      </c>
      <c r="C151" s="7">
        <v>381708.0</v>
      </c>
      <c r="D151" s="7">
        <v>1618887.0</v>
      </c>
      <c r="E151" s="7">
        <v>528051.0</v>
      </c>
      <c r="F151" s="7">
        <v>416692.0</v>
      </c>
      <c r="G151" s="7">
        <v>4249312.0</v>
      </c>
      <c r="H151" s="7">
        <v>4.362701893E9</v>
      </c>
      <c r="I151" s="7">
        <v>15993.0</v>
      </c>
      <c r="J151" s="7">
        <v>14600.0</v>
      </c>
      <c r="K151" s="7">
        <v>1393.0</v>
      </c>
      <c r="L151" s="7">
        <v>229.6</v>
      </c>
      <c r="M151" s="7">
        <v>-0.11</v>
      </c>
      <c r="N151" s="7">
        <v>1925.0</v>
      </c>
      <c r="O151" s="7">
        <v>684017.0</v>
      </c>
      <c r="P151" s="7" t="s">
        <v>409</v>
      </c>
      <c r="Q151" s="7">
        <v>1350.48</v>
      </c>
      <c r="R151" s="3">
        <f t="shared" si="1"/>
        <v>1350.48</v>
      </c>
    </row>
    <row r="152" ht="22.5" customHeight="1">
      <c r="B152" s="7" t="s">
        <v>612</v>
      </c>
      <c r="C152" s="7">
        <v>52675.0</v>
      </c>
      <c r="D152" s="7">
        <v>78530.0</v>
      </c>
      <c r="E152" s="7">
        <v>3253672.0</v>
      </c>
      <c r="F152" s="7">
        <v>3193547.0</v>
      </c>
      <c r="G152" s="7">
        <v>8013217.0</v>
      </c>
      <c r="H152" s="7">
        <v>3.443705475E9</v>
      </c>
      <c r="I152" s="7">
        <v>112970.0</v>
      </c>
      <c r="J152" s="7">
        <v>86808.0</v>
      </c>
      <c r="K152" s="7">
        <v>26162.0</v>
      </c>
      <c r="L152" s="7">
        <v>62.27</v>
      </c>
      <c r="M152" s="7">
        <v>-0.05</v>
      </c>
      <c r="N152" s="7">
        <v>31289.0</v>
      </c>
      <c r="O152" s="7">
        <v>1298193.0</v>
      </c>
      <c r="P152" s="7" t="s">
        <v>409</v>
      </c>
      <c r="Q152" s="7">
        <v>1424.63</v>
      </c>
      <c r="R152" s="3">
        <f t="shared" si="1"/>
        <v>1424.63</v>
      </c>
    </row>
    <row r="153" ht="22.5" customHeight="1">
      <c r="B153" s="7" t="s">
        <v>574</v>
      </c>
      <c r="C153" s="7">
        <v>1527525.0</v>
      </c>
      <c r="D153" s="7">
        <v>8590893.0</v>
      </c>
      <c r="E153" s="7">
        <v>225902.0</v>
      </c>
      <c r="F153" s="7">
        <v>196958.0</v>
      </c>
      <c r="G153" s="7">
        <v>2.262113E7</v>
      </c>
      <c r="H153" s="7">
        <v>4.826478579E9</v>
      </c>
      <c r="I153" s="7">
        <v>7182.0</v>
      </c>
      <c r="J153" s="7">
        <v>6799.0</v>
      </c>
      <c r="K153" s="7">
        <v>383.0</v>
      </c>
      <c r="L153" s="7">
        <v>389.2</v>
      </c>
      <c r="M153" s="7">
        <v>-0.21</v>
      </c>
      <c r="N153" s="7">
        <v>824.0</v>
      </c>
      <c r="O153" s="7">
        <v>2207845.0</v>
      </c>
      <c r="P153" s="7" t="s">
        <v>409</v>
      </c>
      <c r="Q153" s="7">
        <v>1430.91</v>
      </c>
      <c r="R153" s="3">
        <f t="shared" si="1"/>
        <v>1430.91</v>
      </c>
    </row>
    <row r="154" ht="22.5" customHeight="1">
      <c r="B154" s="7" t="s">
        <v>570</v>
      </c>
      <c r="C154" s="7">
        <v>201.0</v>
      </c>
      <c r="D154" s="7">
        <v>707.0</v>
      </c>
      <c r="E154" s="7">
        <v>4925611.0</v>
      </c>
      <c r="F154" s="7">
        <v>4836291.0</v>
      </c>
      <c r="G154" s="7">
        <v>7409189.0</v>
      </c>
      <c r="H154" s="7">
        <v>1.44639265E8</v>
      </c>
      <c r="I154" s="7">
        <v>194504.0</v>
      </c>
      <c r="J154" s="7">
        <v>161512.0</v>
      </c>
      <c r="K154" s="7">
        <v>32992.0</v>
      </c>
      <c r="L154" s="7">
        <v>16.74</v>
      </c>
      <c r="M154" s="7">
        <v>-0.06</v>
      </c>
      <c r="N154" s="7">
        <v>40607.0</v>
      </c>
      <c r="O154" s="7">
        <v>1774031.0</v>
      </c>
      <c r="P154" s="7" t="s">
        <v>410</v>
      </c>
      <c r="Q154" s="7">
        <v>1506.65</v>
      </c>
      <c r="R154" s="3">
        <f t="shared" si="1"/>
        <v>1506.65</v>
      </c>
    </row>
    <row r="155" ht="22.5" customHeight="1">
      <c r="B155" s="7" t="s">
        <v>505</v>
      </c>
      <c r="C155" s="7">
        <v>25162.0</v>
      </c>
      <c r="D155" s="7">
        <v>542447.0</v>
      </c>
      <c r="E155" s="7">
        <v>2420038.0</v>
      </c>
      <c r="F155" s="7">
        <v>2314162.0</v>
      </c>
      <c r="G155" s="7">
        <v>1.06957547E8</v>
      </c>
      <c r="H155" s="7">
        <v>2.396892047E9</v>
      </c>
      <c r="I155" s="7">
        <v>83032.0</v>
      </c>
      <c r="J155" s="7">
        <v>79063.0</v>
      </c>
      <c r="K155" s="7">
        <v>3969.0</v>
      </c>
      <c r="L155" s="7">
        <v>337.16</v>
      </c>
      <c r="M155" s="7">
        <v>-0.18</v>
      </c>
      <c r="N155" s="7">
        <v>7288.0</v>
      </c>
      <c r="O155" s="7">
        <v>6337432.0</v>
      </c>
      <c r="P155" s="7" t="s">
        <v>409</v>
      </c>
      <c r="Q155" s="7">
        <v>1511.25</v>
      </c>
      <c r="R155" s="3">
        <f t="shared" si="1"/>
        <v>1511.25</v>
      </c>
    </row>
    <row r="156" ht="22.5" customHeight="1">
      <c r="B156" s="7" t="s">
        <v>532</v>
      </c>
      <c r="C156" s="7">
        <v>29863.0</v>
      </c>
      <c r="D156" s="7">
        <v>739433.0</v>
      </c>
      <c r="E156" s="7">
        <v>6903784.0</v>
      </c>
      <c r="F156" s="7">
        <v>6807047.0</v>
      </c>
      <c r="G156" s="7">
        <v>8928070.0</v>
      </c>
      <c r="H156" s="7">
        <v>3.68521131E8</v>
      </c>
      <c r="I156" s="7">
        <v>358226.0</v>
      </c>
      <c r="J156" s="7">
        <v>314308.0</v>
      </c>
      <c r="K156" s="7">
        <v>43918.0</v>
      </c>
      <c r="L156" s="7">
        <v>87.39</v>
      </c>
      <c r="M156" s="7">
        <v>-0.03</v>
      </c>
      <c r="N156" s="7">
        <v>50975.0</v>
      </c>
      <c r="O156" s="7">
        <v>3469751.0</v>
      </c>
      <c r="P156" s="7" t="s">
        <v>409</v>
      </c>
      <c r="Q156" s="7">
        <v>1589.36</v>
      </c>
      <c r="R156" s="3">
        <f t="shared" si="1"/>
        <v>1589.36</v>
      </c>
    </row>
    <row r="157" ht="22.5" customHeight="1">
      <c r="B157" s="7" t="s">
        <v>488</v>
      </c>
      <c r="C157" s="7">
        <v>361.0</v>
      </c>
      <c r="D157" s="7">
        <v>401368.0</v>
      </c>
      <c r="E157" s="7">
        <v>1.3832734E7</v>
      </c>
      <c r="F157" s="7">
        <v>1.3551408E7</v>
      </c>
      <c r="G157" s="7">
        <v>1.7503037E7</v>
      </c>
      <c r="H157" s="7">
        <v>4.36131443E8</v>
      </c>
      <c r="I157" s="7">
        <v>346991.0</v>
      </c>
      <c r="J157" s="7">
        <v>228971.0</v>
      </c>
      <c r="K157" s="7">
        <v>118020.0</v>
      </c>
      <c r="L157" s="7">
        <v>31.66</v>
      </c>
      <c r="M157" s="7">
        <v>-0.04</v>
      </c>
      <c r="N157" s="7">
        <v>140417.0</v>
      </c>
      <c r="O157" s="7">
        <v>5619270.0</v>
      </c>
      <c r="P157" s="7" t="s">
        <v>409</v>
      </c>
      <c r="Q157" s="7">
        <v>1758.74</v>
      </c>
      <c r="R157" s="3">
        <f t="shared" si="1"/>
        <v>1758.74</v>
      </c>
    </row>
    <row r="158" ht="22.5" customHeight="1">
      <c r="B158" s="7" t="s">
        <v>579</v>
      </c>
      <c r="C158" s="7">
        <v>339136.0</v>
      </c>
      <c r="D158" s="7">
        <v>4421843.0</v>
      </c>
      <c r="E158" s="7">
        <v>2009664.0</v>
      </c>
      <c r="F158" s="7">
        <v>1940687.0</v>
      </c>
      <c r="G158" s="7">
        <v>1.4681762E7</v>
      </c>
      <c r="H158" s="7">
        <v>2.753623095E9</v>
      </c>
      <c r="I158" s="7">
        <v>132332.0</v>
      </c>
      <c r="J158" s="7">
        <v>128163.0</v>
      </c>
      <c r="K158" s="7">
        <v>4169.0</v>
      </c>
      <c r="L158" s="7">
        <v>22.64</v>
      </c>
      <c r="M158" s="7">
        <v>-0.19</v>
      </c>
      <c r="N158" s="7">
        <v>6239.0</v>
      </c>
      <c r="O158" s="7">
        <v>3925710.0</v>
      </c>
      <c r="P158" s="7" t="s">
        <v>409</v>
      </c>
      <c r="Q158" s="7">
        <v>1999.15</v>
      </c>
      <c r="R158" s="3">
        <f t="shared" si="1"/>
        <v>1999.15</v>
      </c>
    </row>
    <row r="159" ht="22.5" customHeight="1">
      <c r="B159" s="7" t="s">
        <v>577</v>
      </c>
      <c r="C159" s="7">
        <v>342.0</v>
      </c>
      <c r="D159" s="7">
        <v>339679.0</v>
      </c>
      <c r="E159" s="7">
        <v>1.3160538E7</v>
      </c>
      <c r="F159" s="7">
        <v>1.2896354E7</v>
      </c>
      <c r="G159" s="7">
        <v>1.662592E7</v>
      </c>
      <c r="H159" s="7">
        <v>4.06098324E8</v>
      </c>
      <c r="I159" s="7">
        <v>341644.0</v>
      </c>
      <c r="J159" s="7">
        <v>237189.0</v>
      </c>
      <c r="K159" s="7">
        <v>104455.0</v>
      </c>
      <c r="L159" s="7">
        <v>29.86</v>
      </c>
      <c r="M159" s="7">
        <v>-0.04</v>
      </c>
      <c r="N159" s="7">
        <v>125251.0</v>
      </c>
      <c r="O159" s="7">
        <v>5580924.0</v>
      </c>
      <c r="P159" s="7" t="s">
        <v>409</v>
      </c>
      <c r="Q159" s="7">
        <v>2004.87</v>
      </c>
      <c r="R159" s="3">
        <f t="shared" si="1"/>
        <v>2004.87</v>
      </c>
    </row>
    <row r="160" ht="22.5" customHeight="1">
      <c r="B160" s="7" t="s">
        <v>564</v>
      </c>
      <c r="C160" s="7">
        <v>171148.0</v>
      </c>
      <c r="D160" s="7">
        <v>6573168.0</v>
      </c>
      <c r="E160" s="7">
        <v>3150088.0</v>
      </c>
      <c r="F160" s="7">
        <v>3117030.0</v>
      </c>
      <c r="G160" s="7">
        <v>5263566.0</v>
      </c>
      <c r="H160" s="7">
        <v>1.821174796E9</v>
      </c>
      <c r="I160" s="7">
        <v>127074.0</v>
      </c>
      <c r="J160" s="7">
        <v>109517.0</v>
      </c>
      <c r="K160" s="7">
        <v>17557.0</v>
      </c>
      <c r="L160" s="7">
        <v>25.64</v>
      </c>
      <c r="M160" s="7">
        <v>-0.06</v>
      </c>
      <c r="N160" s="7">
        <v>22710.0</v>
      </c>
      <c r="O160" s="7">
        <v>1099835.0</v>
      </c>
      <c r="P160" s="7" t="s">
        <v>410</v>
      </c>
      <c r="Q160" s="7">
        <v>2097.19</v>
      </c>
      <c r="R160" s="3">
        <f t="shared" si="1"/>
        <v>2097.19</v>
      </c>
    </row>
    <row r="161" ht="22.5" customHeight="1">
      <c r="B161" s="7" t="s">
        <v>558</v>
      </c>
      <c r="C161" s="7">
        <v>4322.0</v>
      </c>
      <c r="D161" s="7">
        <v>18947.0</v>
      </c>
      <c r="E161" s="7">
        <v>9598401.0</v>
      </c>
      <c r="F161" s="7">
        <v>9462331.0</v>
      </c>
      <c r="G161" s="7">
        <v>1.5855541E7</v>
      </c>
      <c r="H161" s="7">
        <v>2.363701121E9</v>
      </c>
      <c r="I161" s="7">
        <v>486101.0</v>
      </c>
      <c r="J161" s="7">
        <v>438247.0</v>
      </c>
      <c r="K161" s="7">
        <v>47854.0</v>
      </c>
      <c r="L161" s="7">
        <v>23.44</v>
      </c>
      <c r="M161" s="7">
        <v>-0.07</v>
      </c>
      <c r="N161" s="7">
        <v>59486.0</v>
      </c>
      <c r="O161" s="7">
        <v>4387345.0</v>
      </c>
      <c r="P161" s="7" t="s">
        <v>410</v>
      </c>
      <c r="Q161" s="7">
        <v>2101.13</v>
      </c>
      <c r="R161" s="3">
        <f t="shared" si="1"/>
        <v>2101.13</v>
      </c>
    </row>
    <row r="162" ht="22.5" customHeight="1">
      <c r="B162" s="7" t="s">
        <v>589</v>
      </c>
      <c r="C162" s="7">
        <v>891394.0</v>
      </c>
      <c r="D162" s="7">
        <v>3518573.0</v>
      </c>
      <c r="E162" s="7">
        <v>2143269.0</v>
      </c>
      <c r="F162" s="7">
        <v>2119312.0</v>
      </c>
      <c r="G162" s="7">
        <v>3825566.0</v>
      </c>
      <c r="H162" s="7">
        <v>5.864572185E9</v>
      </c>
      <c r="I162" s="7">
        <v>116427.0</v>
      </c>
      <c r="J162" s="7">
        <v>103089.0</v>
      </c>
      <c r="K162" s="7">
        <v>13338.0</v>
      </c>
      <c r="L162" s="7">
        <v>26.59</v>
      </c>
      <c r="M162" s="7">
        <v>-0.07</v>
      </c>
      <c r="N162" s="7">
        <v>15356.0</v>
      </c>
      <c r="O162" s="7">
        <v>1131730.0</v>
      </c>
      <c r="P162" s="7" t="s">
        <v>409</v>
      </c>
      <c r="Q162" s="7">
        <v>2124.35</v>
      </c>
      <c r="R162" s="3">
        <f t="shared" si="1"/>
        <v>2124.35</v>
      </c>
    </row>
    <row r="163" ht="22.5" customHeight="1">
      <c r="B163" s="7" t="s">
        <v>649</v>
      </c>
      <c r="C163" s="7">
        <v>3120.0</v>
      </c>
      <c r="D163" s="7">
        <v>477680.0</v>
      </c>
      <c r="E163" s="7">
        <v>3.1675202E7</v>
      </c>
      <c r="F163" s="7">
        <v>3.1367246E7</v>
      </c>
      <c r="G163" s="7">
        <v>1.3186657E8</v>
      </c>
      <c r="H163" s="7">
        <v>2.69032378E8</v>
      </c>
      <c r="I163" s="7">
        <v>1539958.0</v>
      </c>
      <c r="J163" s="7">
        <v>1443255.0</v>
      </c>
      <c r="K163" s="7">
        <v>96703.0</v>
      </c>
      <c r="L163" s="7">
        <v>18.24</v>
      </c>
      <c r="M163" s="7">
        <v>-0.1</v>
      </c>
      <c r="N163" s="7">
        <v>128737.0</v>
      </c>
      <c r="O163" s="7">
        <v>4.3381695E7</v>
      </c>
      <c r="P163" s="7" t="s">
        <v>410</v>
      </c>
      <c r="Q163" s="7">
        <v>2222.24</v>
      </c>
      <c r="R163" s="3">
        <f t="shared" si="1"/>
        <v>2222.24</v>
      </c>
    </row>
    <row r="164" ht="22.5" customHeight="1">
      <c r="B164" s="7" t="s">
        <v>603</v>
      </c>
      <c r="C164" s="7">
        <v>445862.0</v>
      </c>
      <c r="D164" s="7">
        <v>6243399.0</v>
      </c>
      <c r="E164" s="7">
        <v>2242868.0</v>
      </c>
      <c r="F164" s="7">
        <v>2170409.0</v>
      </c>
      <c r="G164" s="7">
        <v>1.7125446E7</v>
      </c>
      <c r="H164" s="7">
        <v>3.505390713E9</v>
      </c>
      <c r="I164" s="7">
        <v>136658.0</v>
      </c>
      <c r="J164" s="7">
        <v>131075.0</v>
      </c>
      <c r="K164" s="7">
        <v>5583.0</v>
      </c>
      <c r="L164" s="7">
        <v>22.36</v>
      </c>
      <c r="M164" s="7">
        <v>-0.18</v>
      </c>
      <c r="N164" s="7">
        <v>8232.0</v>
      </c>
      <c r="O164" s="7">
        <v>4675129.0</v>
      </c>
      <c r="P164" s="7" t="s">
        <v>409</v>
      </c>
      <c r="Q164" s="7">
        <v>2343.43</v>
      </c>
      <c r="R164" s="3">
        <f t="shared" si="1"/>
        <v>2343.43</v>
      </c>
    </row>
    <row r="165" ht="22.5" customHeight="1">
      <c r="B165" s="7" t="s">
        <v>565</v>
      </c>
      <c r="C165" s="7">
        <v>2702.0</v>
      </c>
      <c r="D165" s="7">
        <v>8308.0</v>
      </c>
      <c r="E165" s="7">
        <v>4498644.0</v>
      </c>
      <c r="F165" s="7">
        <v>4485642.0</v>
      </c>
      <c r="G165" s="7">
        <v>4917279.0</v>
      </c>
      <c r="H165" s="7">
        <v>7.68720027E8</v>
      </c>
      <c r="I165" s="7">
        <v>209401.0</v>
      </c>
      <c r="J165" s="7">
        <v>160466.0</v>
      </c>
      <c r="K165" s="7">
        <v>48935.0</v>
      </c>
      <c r="L165" s="7">
        <v>31.56</v>
      </c>
      <c r="M165" s="7">
        <v>-0.01</v>
      </c>
      <c r="N165" s="7">
        <v>55940.0</v>
      </c>
      <c r="O165" s="7">
        <v>1332165.0</v>
      </c>
      <c r="P165" s="7" t="s">
        <v>409</v>
      </c>
      <c r="Q165" s="7">
        <v>2572.53</v>
      </c>
      <c r="R165" s="3">
        <f t="shared" si="1"/>
        <v>2572.53</v>
      </c>
    </row>
    <row r="166" ht="22.5" customHeight="1">
      <c r="B166" s="7" t="s">
        <v>580</v>
      </c>
      <c r="C166" s="7">
        <v>1529550.0</v>
      </c>
      <c r="D166" s="7">
        <v>8597643.0</v>
      </c>
      <c r="E166" s="7">
        <v>856205.0</v>
      </c>
      <c r="F166" s="7">
        <v>782687.0</v>
      </c>
      <c r="G166" s="7">
        <v>6.5700104E7</v>
      </c>
      <c r="H166" s="7">
        <v>1.4226536456E10</v>
      </c>
      <c r="I166" s="7">
        <v>24083.0</v>
      </c>
      <c r="J166" s="7">
        <v>22401.0</v>
      </c>
      <c r="K166" s="7">
        <v>1682.0</v>
      </c>
      <c r="L166" s="7">
        <v>755.02</v>
      </c>
      <c r="M166" s="7">
        <v>-0.2</v>
      </c>
      <c r="N166" s="7">
        <v>3297.0</v>
      </c>
      <c r="O166" s="7">
        <v>8184593.0</v>
      </c>
      <c r="P166" s="7" t="s">
        <v>409</v>
      </c>
      <c r="Q166" s="7">
        <v>2705.52</v>
      </c>
      <c r="R166" s="3">
        <f t="shared" si="1"/>
        <v>2705.52</v>
      </c>
    </row>
    <row r="167" ht="22.5" customHeight="1">
      <c r="B167" s="7" t="s">
        <v>771</v>
      </c>
      <c r="C167" s="7">
        <v>1200.0</v>
      </c>
      <c r="D167" s="7">
        <v>21040.0</v>
      </c>
      <c r="E167" s="7">
        <v>1.5802079E7</v>
      </c>
      <c r="F167" s="7">
        <v>1.5715116E7</v>
      </c>
      <c r="G167" s="7">
        <v>3.2624501E7</v>
      </c>
      <c r="H167" s="7">
        <v>1.737459437E9</v>
      </c>
      <c r="I167" s="7">
        <v>419784.0</v>
      </c>
      <c r="J167" s="7">
        <v>272582.0</v>
      </c>
      <c r="K167" s="7">
        <v>147202.0</v>
      </c>
      <c r="L167" s="7">
        <v>64.69</v>
      </c>
      <c r="M167" s="7">
        <v>-0.04</v>
      </c>
      <c r="N167" s="7">
        <v>175141.0</v>
      </c>
      <c r="O167" s="7">
        <v>4913243.0</v>
      </c>
      <c r="P167" s="7" t="s">
        <v>409</v>
      </c>
      <c r="Q167" s="7">
        <v>2779.32</v>
      </c>
      <c r="R167" s="3">
        <f t="shared" si="1"/>
        <v>2779.32</v>
      </c>
    </row>
    <row r="168" ht="22.5" customHeight="1">
      <c r="B168" s="7" t="s">
        <v>590</v>
      </c>
      <c r="C168" s="7">
        <v>4038010.0</v>
      </c>
      <c r="D168" s="7">
        <v>1.4110352E7</v>
      </c>
      <c r="E168" s="7">
        <v>945735.0</v>
      </c>
      <c r="F168" s="7">
        <v>904915.0</v>
      </c>
      <c r="G168" s="7">
        <v>1.0546273E7</v>
      </c>
      <c r="H168" s="7">
        <v>6.142544497E9</v>
      </c>
      <c r="I168" s="7">
        <v>28122.0</v>
      </c>
      <c r="J168" s="7">
        <v>24228.0</v>
      </c>
      <c r="K168" s="7">
        <v>3894.0</v>
      </c>
      <c r="L168" s="7">
        <v>42.56</v>
      </c>
      <c r="M168" s="7">
        <v>-0.12</v>
      </c>
      <c r="N168" s="7">
        <v>5722.0</v>
      </c>
      <c r="O168" s="7">
        <v>2172295.0</v>
      </c>
      <c r="P168" s="7" t="s">
        <v>410</v>
      </c>
      <c r="Q168" s="7">
        <v>2785.93</v>
      </c>
      <c r="R168" s="3">
        <f t="shared" si="1"/>
        <v>2785.93</v>
      </c>
    </row>
    <row r="169" ht="22.5" customHeight="1">
      <c r="B169" s="7" t="s">
        <v>604</v>
      </c>
      <c r="C169" s="7">
        <v>842026.0</v>
      </c>
      <c r="D169" s="7">
        <v>2261966.0</v>
      </c>
      <c r="E169" s="7">
        <v>1487991.0</v>
      </c>
      <c r="F169" s="7">
        <v>1273663.0</v>
      </c>
      <c r="G169" s="7">
        <v>9008998.0</v>
      </c>
      <c r="H169" s="7">
        <v>1.1223808692E10</v>
      </c>
      <c r="I169" s="7">
        <v>41208.0</v>
      </c>
      <c r="J169" s="7">
        <v>36032.0</v>
      </c>
      <c r="K169" s="7">
        <v>5176.0</v>
      </c>
      <c r="L169" s="7">
        <v>151.84</v>
      </c>
      <c r="M169" s="7">
        <v>-0.1</v>
      </c>
      <c r="N169" s="7">
        <v>7044.0</v>
      </c>
      <c r="O169" s="7">
        <v>1298592.0</v>
      </c>
      <c r="P169" s="7" t="s">
        <v>410</v>
      </c>
      <c r="Q169" s="7">
        <v>2854.67</v>
      </c>
      <c r="R169" s="3">
        <f t="shared" si="1"/>
        <v>2854.67</v>
      </c>
    </row>
    <row r="170" ht="22.5" customHeight="1">
      <c r="B170" s="7" t="s">
        <v>591</v>
      </c>
      <c r="C170" s="7">
        <v>9612.0</v>
      </c>
      <c r="D170" s="7">
        <v>210000.0</v>
      </c>
      <c r="E170" s="7">
        <v>6370136.0</v>
      </c>
      <c r="F170" s="7">
        <v>6215468.0</v>
      </c>
      <c r="G170" s="7">
        <v>1.8872416E7</v>
      </c>
      <c r="H170" s="7">
        <v>1.74918006E9</v>
      </c>
      <c r="I170" s="7">
        <v>311829.0</v>
      </c>
      <c r="J170" s="7">
        <v>289876.0</v>
      </c>
      <c r="K170" s="7">
        <v>21953.0</v>
      </c>
      <c r="L170" s="7">
        <v>52.2</v>
      </c>
      <c r="M170" s="7">
        <v>-0.1</v>
      </c>
      <c r="N170" s="7">
        <v>30015.0</v>
      </c>
      <c r="O170" s="7">
        <v>3596067.0</v>
      </c>
      <c r="P170" s="7" t="s">
        <v>409</v>
      </c>
      <c r="Q170" s="7">
        <v>2867.3</v>
      </c>
      <c r="R170" s="3">
        <f t="shared" si="1"/>
        <v>2867.3</v>
      </c>
    </row>
    <row r="171" ht="22.5" customHeight="1">
      <c r="B171" s="7" t="s">
        <v>670</v>
      </c>
      <c r="C171" s="7">
        <v>308.0</v>
      </c>
      <c r="D171" s="7">
        <v>2030.0</v>
      </c>
      <c r="E171" s="7">
        <v>2.4171411E7</v>
      </c>
      <c r="F171" s="7">
        <v>2.39766E7</v>
      </c>
      <c r="G171" s="7">
        <v>2.7682318E7</v>
      </c>
      <c r="H171" s="7">
        <v>3.74085981E8</v>
      </c>
      <c r="I171" s="7">
        <v>1040614.0</v>
      </c>
      <c r="J171" s="7">
        <v>863327.0</v>
      </c>
      <c r="K171" s="7">
        <v>177287.0</v>
      </c>
      <c r="L171" s="7">
        <v>36.77</v>
      </c>
      <c r="M171" s="7">
        <v>-0.03</v>
      </c>
      <c r="N171" s="7">
        <v>205544.0</v>
      </c>
      <c r="O171" s="7">
        <v>1.1114048E7</v>
      </c>
      <c r="P171" s="7" t="s">
        <v>410</v>
      </c>
      <c r="Q171" s="7">
        <v>2888.27</v>
      </c>
      <c r="R171" s="3">
        <f t="shared" si="1"/>
        <v>2888.27</v>
      </c>
    </row>
    <row r="172" ht="22.5" customHeight="1">
      <c r="B172" s="7" t="s">
        <v>727</v>
      </c>
      <c r="C172" s="7">
        <v>440.0</v>
      </c>
      <c r="D172" s="7">
        <v>4220.0</v>
      </c>
      <c r="E172" s="7">
        <v>2.159991E7</v>
      </c>
      <c r="F172" s="7">
        <v>2.1380538E7</v>
      </c>
      <c r="G172" s="7">
        <v>2.4966233E7</v>
      </c>
      <c r="H172" s="7">
        <v>4.66411545E8</v>
      </c>
      <c r="I172" s="7">
        <v>878046.0</v>
      </c>
      <c r="J172" s="7">
        <v>701754.0</v>
      </c>
      <c r="K172" s="7">
        <v>176292.0</v>
      </c>
      <c r="L172" s="7">
        <v>43.94</v>
      </c>
      <c r="M172" s="7">
        <v>-0.03</v>
      </c>
      <c r="N172" s="7">
        <v>204575.0</v>
      </c>
      <c r="O172" s="7">
        <v>8781062.0</v>
      </c>
      <c r="P172" s="7" t="s">
        <v>410</v>
      </c>
      <c r="Q172" s="7">
        <v>2897.58</v>
      </c>
      <c r="R172" s="3">
        <f t="shared" si="1"/>
        <v>2897.58</v>
      </c>
    </row>
    <row r="173" ht="22.5" customHeight="1">
      <c r="B173" s="7" t="s">
        <v>592</v>
      </c>
      <c r="C173" s="7">
        <v>3306.0</v>
      </c>
      <c r="D173" s="7">
        <v>22933.0</v>
      </c>
      <c r="E173" s="7">
        <v>2.9461128E7</v>
      </c>
      <c r="F173" s="7">
        <v>2.9106273E7</v>
      </c>
      <c r="G173" s="7">
        <v>2.21484914E8</v>
      </c>
      <c r="H173" s="7">
        <v>1.350728416E9</v>
      </c>
      <c r="I173" s="7">
        <v>1933499.0</v>
      </c>
      <c r="J173" s="7">
        <v>1859454.0</v>
      </c>
      <c r="K173" s="7">
        <v>74045.0</v>
      </c>
      <c r="L173" s="7">
        <v>20.58</v>
      </c>
      <c r="M173" s="7">
        <v>-0.13</v>
      </c>
      <c r="N173" s="7">
        <v>107014.0</v>
      </c>
      <c r="O173" s="7">
        <v>3.1871843E7</v>
      </c>
      <c r="P173" s="7" t="s">
        <v>410</v>
      </c>
      <c r="Q173" s="7">
        <v>2989.48</v>
      </c>
      <c r="R173" s="3">
        <f t="shared" si="1"/>
        <v>2989.48</v>
      </c>
    </row>
    <row r="174" ht="22.5" customHeight="1">
      <c r="B174" s="7" t="s">
        <v>802</v>
      </c>
      <c r="C174" s="7">
        <v>1038.0</v>
      </c>
      <c r="D174" s="7">
        <v>5841.0</v>
      </c>
      <c r="E174" s="7">
        <v>1.8383057E7</v>
      </c>
      <c r="F174" s="7">
        <v>1.8341254E7</v>
      </c>
      <c r="G174" s="7">
        <v>2.3276204E7</v>
      </c>
      <c r="H174" s="7">
        <v>3.201606196E9</v>
      </c>
      <c r="I174" s="7">
        <v>733641.0</v>
      </c>
      <c r="J174" s="7">
        <v>503992.0</v>
      </c>
      <c r="K174" s="7">
        <v>229649.0</v>
      </c>
      <c r="L174" s="7">
        <v>29.01</v>
      </c>
      <c r="M174" s="7">
        <v>-0.02</v>
      </c>
      <c r="N174" s="7">
        <v>256176.0</v>
      </c>
      <c r="O174" s="7">
        <v>6105583.0</v>
      </c>
      <c r="P174" s="7" t="s">
        <v>409</v>
      </c>
      <c r="Q174" s="7">
        <v>3109.25</v>
      </c>
      <c r="R174" s="3">
        <f t="shared" si="1"/>
        <v>3109.25</v>
      </c>
    </row>
    <row r="175" ht="22.5" customHeight="1">
      <c r="B175" s="7" t="s">
        <v>535</v>
      </c>
      <c r="C175" s="7">
        <v>3142183.0</v>
      </c>
      <c r="D175" s="7">
        <v>1.0275923E7</v>
      </c>
      <c r="E175" s="7">
        <v>922205.0</v>
      </c>
      <c r="F175" s="7">
        <v>913821.0</v>
      </c>
      <c r="G175" s="7">
        <v>1358206.0</v>
      </c>
      <c r="H175" s="7">
        <v>4.55063233E9</v>
      </c>
      <c r="I175" s="7">
        <v>36228.0</v>
      </c>
      <c r="J175" s="7">
        <v>28145.0</v>
      </c>
      <c r="K175" s="7">
        <v>8083.0</v>
      </c>
      <c r="L175" s="7">
        <v>17.93</v>
      </c>
      <c r="M175" s="7">
        <v>-0.05</v>
      </c>
      <c r="N175" s="7">
        <v>9664.0</v>
      </c>
      <c r="O175" s="7">
        <v>274752.0</v>
      </c>
      <c r="P175" s="7" t="s">
        <v>410</v>
      </c>
      <c r="Q175" s="7">
        <v>3125.54</v>
      </c>
      <c r="R175" s="3">
        <f t="shared" si="1"/>
        <v>3125.54</v>
      </c>
    </row>
    <row r="176" ht="22.5" customHeight="1">
      <c r="B176" s="7" t="s">
        <v>587</v>
      </c>
      <c r="C176" s="7">
        <v>2295.0</v>
      </c>
      <c r="D176" s="7">
        <v>30422.0</v>
      </c>
      <c r="E176" s="7">
        <v>1.0921409E7</v>
      </c>
      <c r="F176" s="7">
        <v>1.0855198E7</v>
      </c>
      <c r="G176" s="7">
        <v>1.4841582E7</v>
      </c>
      <c r="H176" s="7">
        <v>6.15921162E8</v>
      </c>
      <c r="I176" s="7">
        <v>496705.0</v>
      </c>
      <c r="J176" s="7">
        <v>424018.0</v>
      </c>
      <c r="K176" s="7">
        <v>72687.0</v>
      </c>
      <c r="L176" s="7">
        <v>20.91</v>
      </c>
      <c r="M176" s="7">
        <v>-0.04</v>
      </c>
      <c r="N176" s="7">
        <v>87660.0</v>
      </c>
      <c r="O176" s="7">
        <v>4281755.0</v>
      </c>
      <c r="P176" s="7" t="s">
        <v>410</v>
      </c>
      <c r="Q176" s="7">
        <v>3147.09</v>
      </c>
      <c r="R176" s="3">
        <f t="shared" si="1"/>
        <v>3147.09</v>
      </c>
    </row>
    <row r="177" ht="22.5" customHeight="1">
      <c r="B177" s="7" t="s">
        <v>600</v>
      </c>
      <c r="C177" s="7">
        <v>28362.0</v>
      </c>
      <c r="D177" s="7">
        <v>251281.0</v>
      </c>
      <c r="E177" s="7">
        <v>1.1302944E7</v>
      </c>
      <c r="F177" s="7">
        <v>1.103815E7</v>
      </c>
      <c r="G177" s="7">
        <v>3.1483413E7</v>
      </c>
      <c r="H177" s="7">
        <v>4.223889555E9</v>
      </c>
      <c r="I177" s="7">
        <v>462011.0</v>
      </c>
      <c r="J177" s="7">
        <v>417883.0</v>
      </c>
      <c r="K177" s="7">
        <v>44128.0</v>
      </c>
      <c r="L177" s="7">
        <v>27.26</v>
      </c>
      <c r="M177" s="7">
        <v>-0.12</v>
      </c>
      <c r="N177" s="7">
        <v>61537.0</v>
      </c>
      <c r="O177" s="7">
        <v>6945520.0</v>
      </c>
      <c r="P177" s="7" t="s">
        <v>409</v>
      </c>
      <c r="Q177" s="7">
        <v>3372.89</v>
      </c>
      <c r="R177" s="3">
        <f t="shared" si="1"/>
        <v>3372.89</v>
      </c>
    </row>
    <row r="178" ht="22.5" customHeight="1">
      <c r="B178" s="7" t="s">
        <v>799</v>
      </c>
      <c r="C178" s="7">
        <v>48400.0</v>
      </c>
      <c r="D178" s="7">
        <v>375793.0</v>
      </c>
      <c r="E178" s="7">
        <v>9736348.0</v>
      </c>
      <c r="F178" s="7">
        <v>9463415.0</v>
      </c>
      <c r="G178" s="7">
        <v>3.2280255E7</v>
      </c>
      <c r="H178" s="7">
        <v>5.105027044E9</v>
      </c>
      <c r="I178" s="7">
        <v>448198.0</v>
      </c>
      <c r="J178" s="7">
        <v>417310.0</v>
      </c>
      <c r="K178" s="7">
        <v>30888.0</v>
      </c>
      <c r="L178" s="7">
        <v>47.86</v>
      </c>
      <c r="M178" s="7">
        <v>-0.13</v>
      </c>
      <c r="N178" s="7">
        <v>43654.0</v>
      </c>
      <c r="O178" s="7">
        <v>6471036.0</v>
      </c>
      <c r="P178" s="7" t="s">
        <v>409</v>
      </c>
      <c r="Q178" s="7">
        <v>3607.86</v>
      </c>
      <c r="R178" s="3">
        <f t="shared" si="1"/>
        <v>3607.86</v>
      </c>
    </row>
    <row r="179" ht="22.5" customHeight="1">
      <c r="B179" s="7" t="s">
        <v>610</v>
      </c>
      <c r="C179" s="7">
        <v>537752.0</v>
      </c>
      <c r="D179" s="7">
        <v>1.2951595E7</v>
      </c>
      <c r="E179" s="7">
        <v>6024218.0</v>
      </c>
      <c r="F179" s="7">
        <v>5835190.0</v>
      </c>
      <c r="G179" s="7">
        <v>1.6699868E7</v>
      </c>
      <c r="H179" s="7">
        <v>3.639932915E9</v>
      </c>
      <c r="I179" s="7">
        <v>260093.0</v>
      </c>
      <c r="J179" s="7">
        <v>237363.0</v>
      </c>
      <c r="K179" s="7">
        <v>22730.0</v>
      </c>
      <c r="L179" s="7">
        <v>26.75</v>
      </c>
      <c r="M179" s="7">
        <v>-0.11</v>
      </c>
      <c r="N179" s="7">
        <v>30762.0</v>
      </c>
      <c r="O179" s="7">
        <v>4260430.0</v>
      </c>
      <c r="P179" s="7" t="s">
        <v>410</v>
      </c>
      <c r="Q179" s="7">
        <v>3668.93</v>
      </c>
      <c r="R179" s="3">
        <f t="shared" si="1"/>
        <v>3668.93</v>
      </c>
    </row>
    <row r="180" ht="22.5" customHeight="1">
      <c r="B180" s="7" t="s">
        <v>588</v>
      </c>
      <c r="C180" s="7">
        <v>538014.0</v>
      </c>
      <c r="D180" s="7">
        <v>7629684.0</v>
      </c>
      <c r="E180" s="7">
        <v>2115291.0</v>
      </c>
      <c r="F180" s="7">
        <v>2050127.0</v>
      </c>
      <c r="G180" s="7">
        <v>1.8882858E7</v>
      </c>
      <c r="H180" s="7">
        <v>4.725758455E9</v>
      </c>
      <c r="I180" s="7">
        <v>109545.0</v>
      </c>
      <c r="J180" s="7">
        <v>105189.0</v>
      </c>
      <c r="K180" s="7">
        <v>4356.0</v>
      </c>
      <c r="L180" s="7">
        <v>16.68</v>
      </c>
      <c r="M180" s="7">
        <v>-0.18</v>
      </c>
      <c r="N180" s="7">
        <v>6634.0</v>
      </c>
      <c r="O180" s="7">
        <v>6407673.0</v>
      </c>
      <c r="P180" s="7" t="s">
        <v>409</v>
      </c>
      <c r="Q180" s="7">
        <v>3842.59</v>
      </c>
      <c r="R180" s="3">
        <f t="shared" si="1"/>
        <v>3842.59</v>
      </c>
    </row>
    <row r="181" ht="22.5" customHeight="1">
      <c r="B181" s="7" t="s">
        <v>599</v>
      </c>
      <c r="C181" s="7">
        <v>436022.0</v>
      </c>
      <c r="D181" s="7">
        <v>6000959.0</v>
      </c>
      <c r="E181" s="7">
        <v>3164651.0</v>
      </c>
      <c r="F181" s="7">
        <v>3067494.0</v>
      </c>
      <c r="G181" s="7">
        <v>2.0150941E7</v>
      </c>
      <c r="H181" s="7">
        <v>5.320307814E9</v>
      </c>
      <c r="I181" s="7">
        <v>142045.0</v>
      </c>
      <c r="J181" s="7">
        <v>129723.0</v>
      </c>
      <c r="K181" s="7">
        <v>12322.0</v>
      </c>
      <c r="L181" s="7">
        <v>31.78</v>
      </c>
      <c r="M181" s="7">
        <v>-0.14</v>
      </c>
      <c r="N181" s="7">
        <v>17719.0</v>
      </c>
      <c r="O181" s="7">
        <v>4277871.0</v>
      </c>
      <c r="P181" s="7" t="s">
        <v>409</v>
      </c>
      <c r="Q181" s="7">
        <v>3930.05</v>
      </c>
      <c r="R181" s="3">
        <f t="shared" si="1"/>
        <v>3930.05</v>
      </c>
    </row>
    <row r="182" ht="22.5" customHeight="1">
      <c r="B182" s="7" t="s">
        <v>655</v>
      </c>
      <c r="C182" s="7">
        <v>13409.0</v>
      </c>
      <c r="D182" s="7">
        <v>307102.0</v>
      </c>
      <c r="E182" s="7">
        <v>1515050.0</v>
      </c>
      <c r="F182" s="7">
        <v>1483587.0</v>
      </c>
      <c r="G182" s="7">
        <v>8352621.0</v>
      </c>
      <c r="H182" s="7">
        <v>3.961754712E9</v>
      </c>
      <c r="I182" s="7">
        <v>100172.0</v>
      </c>
      <c r="J182" s="7">
        <v>96685.0</v>
      </c>
      <c r="K182" s="7">
        <v>3487.0</v>
      </c>
      <c r="L182" s="7">
        <v>33.51</v>
      </c>
      <c r="M182" s="7">
        <v>-0.11</v>
      </c>
      <c r="N182" s="7">
        <v>5593.0</v>
      </c>
      <c r="O182" s="7">
        <v>1483707.0</v>
      </c>
      <c r="P182" s="7" t="s">
        <v>409</v>
      </c>
      <c r="Q182" s="7">
        <v>4466.75</v>
      </c>
      <c r="R182" s="3">
        <f t="shared" si="1"/>
        <v>4466.75</v>
      </c>
    </row>
    <row r="183" ht="22.5" customHeight="1">
      <c r="B183" s="7" t="s">
        <v>673</v>
      </c>
      <c r="C183" s="7">
        <v>688704.0</v>
      </c>
      <c r="D183" s="7">
        <v>1986848.0</v>
      </c>
      <c r="E183" s="7">
        <v>4144859.0</v>
      </c>
      <c r="F183" s="7">
        <v>4036712.0</v>
      </c>
      <c r="G183" s="7">
        <v>2.0382029E7</v>
      </c>
      <c r="H183" s="7">
        <v>1.0766770183E10</v>
      </c>
      <c r="I183" s="7">
        <v>83450.0</v>
      </c>
      <c r="J183" s="7">
        <v>62372.0</v>
      </c>
      <c r="K183" s="7">
        <v>21078.0</v>
      </c>
      <c r="L183" s="7">
        <v>101.53</v>
      </c>
      <c r="M183" s="7">
        <v>-0.09</v>
      </c>
      <c r="N183" s="7">
        <v>29161.0</v>
      </c>
      <c r="O183" s="7">
        <v>4417778.0</v>
      </c>
      <c r="P183" s="7" t="s">
        <v>410</v>
      </c>
      <c r="Q183" s="7">
        <v>4473.21</v>
      </c>
      <c r="R183" s="3">
        <f t="shared" si="1"/>
        <v>4473.21</v>
      </c>
    </row>
    <row r="184" ht="22.5" customHeight="1">
      <c r="B184" s="7" t="s">
        <v>470</v>
      </c>
      <c r="C184" s="7">
        <v>2420.0</v>
      </c>
      <c r="D184" s="7">
        <v>33572.0</v>
      </c>
      <c r="E184" s="7">
        <v>1.1214829E7</v>
      </c>
      <c r="F184" s="7">
        <v>1.0911018E7</v>
      </c>
      <c r="G184" s="7">
        <v>5.436576E7</v>
      </c>
      <c r="H184" s="7">
        <v>2.006285226E9</v>
      </c>
      <c r="I184" s="7">
        <v>515310.0</v>
      </c>
      <c r="J184" s="7">
        <v>458208.0</v>
      </c>
      <c r="K184" s="7">
        <v>57102.0</v>
      </c>
      <c r="L184" s="7">
        <v>132.08</v>
      </c>
      <c r="M184" s="7">
        <v>-0.1</v>
      </c>
      <c r="N184" s="7">
        <v>73601.0</v>
      </c>
      <c r="O184" s="7">
        <v>5276116.0</v>
      </c>
      <c r="P184" s="7" t="s">
        <v>409</v>
      </c>
      <c r="Q184" s="7">
        <v>4505.11</v>
      </c>
      <c r="R184" s="3">
        <f t="shared" si="1"/>
        <v>4505.11</v>
      </c>
    </row>
    <row r="185" ht="22.5" customHeight="1">
      <c r="B185" s="7" t="s">
        <v>608</v>
      </c>
      <c r="C185" s="7">
        <v>2948.0</v>
      </c>
      <c r="D185" s="7">
        <v>9572.0</v>
      </c>
      <c r="E185" s="7">
        <v>1.1747959E7</v>
      </c>
      <c r="F185" s="7">
        <v>1.1623509E7</v>
      </c>
      <c r="G185" s="7">
        <v>1.8772414E7</v>
      </c>
      <c r="H185" s="7">
        <v>1.328830386E9</v>
      </c>
      <c r="I185" s="7">
        <v>512787.0</v>
      </c>
      <c r="J185" s="7">
        <v>442761.0</v>
      </c>
      <c r="K185" s="7">
        <v>70026.0</v>
      </c>
      <c r="L185" s="7">
        <v>34.38</v>
      </c>
      <c r="M185" s="7">
        <v>-0.06</v>
      </c>
      <c r="N185" s="7">
        <v>87826.0</v>
      </c>
      <c r="O185" s="7">
        <v>4292059.0</v>
      </c>
      <c r="P185" s="7" t="s">
        <v>410</v>
      </c>
      <c r="Q185" s="7">
        <v>4524.71</v>
      </c>
      <c r="R185" s="3">
        <f t="shared" si="1"/>
        <v>4524.71</v>
      </c>
    </row>
    <row r="186" ht="22.5" customHeight="1">
      <c r="B186" s="7" t="s">
        <v>544</v>
      </c>
      <c r="C186" s="7">
        <v>484.0</v>
      </c>
      <c r="D186" s="7">
        <v>7056.0</v>
      </c>
      <c r="E186" s="7">
        <v>5992763.0</v>
      </c>
      <c r="F186" s="7">
        <v>5950475.0</v>
      </c>
      <c r="G186" s="7">
        <v>8622751.0</v>
      </c>
      <c r="H186" s="7">
        <v>6.41823274E8</v>
      </c>
      <c r="I186" s="7">
        <v>327828.0</v>
      </c>
      <c r="J186" s="7">
        <v>281319.0</v>
      </c>
      <c r="K186" s="7">
        <v>46509.0</v>
      </c>
      <c r="L186" s="7">
        <v>26.17</v>
      </c>
      <c r="M186" s="7">
        <v>-0.04</v>
      </c>
      <c r="N186" s="7">
        <v>53596.0</v>
      </c>
      <c r="O186" s="7">
        <v>2562855.0</v>
      </c>
      <c r="P186" s="7" t="s">
        <v>409</v>
      </c>
      <c r="Q186" s="7">
        <v>4566.63</v>
      </c>
      <c r="R186" s="3">
        <f t="shared" si="1"/>
        <v>4566.63</v>
      </c>
    </row>
    <row r="187" ht="22.5" customHeight="1">
      <c r="B187" s="7" t="s">
        <v>556</v>
      </c>
      <c r="C187" s="7">
        <v>4288.0</v>
      </c>
      <c r="D187" s="7">
        <v>76353.0</v>
      </c>
      <c r="E187" s="7">
        <v>1.5532062E7</v>
      </c>
      <c r="F187" s="7">
        <v>1.5133373E7</v>
      </c>
      <c r="G187" s="7">
        <v>1.92487094E8</v>
      </c>
      <c r="H187" s="7">
        <v>2.159457297E9</v>
      </c>
      <c r="I187" s="7">
        <v>484680.0</v>
      </c>
      <c r="J187" s="7">
        <v>417662.0</v>
      </c>
      <c r="K187" s="7">
        <v>67018.0</v>
      </c>
      <c r="L187" s="7">
        <v>110.37</v>
      </c>
      <c r="M187" s="7">
        <v>-0.15</v>
      </c>
      <c r="N187" s="7">
        <v>97443.0</v>
      </c>
      <c r="O187" s="7">
        <v>2.2547157E7</v>
      </c>
      <c r="P187" s="7" t="s">
        <v>409</v>
      </c>
      <c r="Q187" s="7">
        <v>4595.67</v>
      </c>
      <c r="R187" s="3">
        <f t="shared" si="1"/>
        <v>4595.67</v>
      </c>
    </row>
    <row r="188" ht="22.5" customHeight="1">
      <c r="B188" s="7" t="s">
        <v>617</v>
      </c>
      <c r="C188" s="7">
        <v>7502.0</v>
      </c>
      <c r="D188" s="7">
        <v>23237.0</v>
      </c>
      <c r="E188" s="7">
        <v>1.1122154E7</v>
      </c>
      <c r="F188" s="7">
        <v>1.0986283E7</v>
      </c>
      <c r="G188" s="7">
        <v>1.7746649E7</v>
      </c>
      <c r="H188" s="7">
        <v>2.578464914E9</v>
      </c>
      <c r="I188" s="7">
        <v>482708.0</v>
      </c>
      <c r="J188" s="7">
        <v>418054.0</v>
      </c>
      <c r="K188" s="7">
        <v>64654.0</v>
      </c>
      <c r="L188" s="7">
        <v>53.77</v>
      </c>
      <c r="M188" s="7">
        <v>-0.05</v>
      </c>
      <c r="N188" s="7">
        <v>80568.0</v>
      </c>
      <c r="O188" s="7">
        <v>4550717.0</v>
      </c>
      <c r="P188" s="7" t="s">
        <v>410</v>
      </c>
      <c r="Q188" s="7">
        <v>4672.61</v>
      </c>
      <c r="R188" s="3">
        <f t="shared" si="1"/>
        <v>4672.61</v>
      </c>
    </row>
    <row r="189" ht="22.5" customHeight="1">
      <c r="B189" s="7" t="s">
        <v>584</v>
      </c>
      <c r="C189" s="7">
        <v>3176.0</v>
      </c>
      <c r="D189" s="7">
        <v>9950.0</v>
      </c>
      <c r="E189" s="7">
        <v>1.8466305E7</v>
      </c>
      <c r="F189" s="7">
        <v>1.8277231E7</v>
      </c>
      <c r="G189" s="7">
        <v>2.8974998E7</v>
      </c>
      <c r="H189" s="7">
        <v>1.322041147E9</v>
      </c>
      <c r="I189" s="7">
        <v>831475.0</v>
      </c>
      <c r="J189" s="7">
        <v>682085.0</v>
      </c>
      <c r="K189" s="7">
        <v>149390.0</v>
      </c>
      <c r="L189" s="7">
        <v>23.66</v>
      </c>
      <c r="M189" s="7">
        <v>-0.05</v>
      </c>
      <c r="N189" s="7">
        <v>179135.0</v>
      </c>
      <c r="O189" s="7">
        <v>5674607.0</v>
      </c>
      <c r="P189" s="7" t="s">
        <v>409</v>
      </c>
      <c r="Q189" s="7">
        <v>4838.71</v>
      </c>
      <c r="R189" s="3">
        <f t="shared" si="1"/>
        <v>4838.71</v>
      </c>
    </row>
    <row r="190" ht="22.5" customHeight="1">
      <c r="B190" s="7" t="s">
        <v>601</v>
      </c>
      <c r="C190" s="7">
        <v>3972.0</v>
      </c>
      <c r="D190" s="7">
        <v>14170.0</v>
      </c>
      <c r="E190" s="7">
        <v>2.5153168E7</v>
      </c>
      <c r="F190" s="7">
        <v>2.477736E7</v>
      </c>
      <c r="G190" s="7">
        <v>4.4689049E7</v>
      </c>
      <c r="H190" s="7">
        <v>2.554108293E9</v>
      </c>
      <c r="I190" s="7">
        <v>1207859.0</v>
      </c>
      <c r="J190" s="7">
        <v>1075439.0</v>
      </c>
      <c r="K190" s="7">
        <v>132420.0</v>
      </c>
      <c r="L190" s="7">
        <v>27.67</v>
      </c>
      <c r="M190" s="7">
        <v>-0.08</v>
      </c>
      <c r="N190" s="7">
        <v>162910.0</v>
      </c>
      <c r="O190" s="7">
        <v>1.2228696E7</v>
      </c>
      <c r="P190" s="7" t="s">
        <v>410</v>
      </c>
      <c r="Q190" s="7">
        <v>4987.47</v>
      </c>
      <c r="R190" s="3">
        <f t="shared" si="1"/>
        <v>4987.47</v>
      </c>
    </row>
    <row r="191" ht="22.5" customHeight="1">
      <c r="B191" s="7" t="s">
        <v>569</v>
      </c>
      <c r="C191" s="7">
        <v>625.0</v>
      </c>
      <c r="D191" s="7">
        <v>9216.0</v>
      </c>
      <c r="E191" s="7">
        <v>5287999.0</v>
      </c>
      <c r="F191" s="7">
        <v>5279308.0</v>
      </c>
      <c r="G191" s="7">
        <v>5536394.0</v>
      </c>
      <c r="H191" s="7">
        <v>1.151829654E9</v>
      </c>
      <c r="I191" s="7">
        <v>246982.0</v>
      </c>
      <c r="J191" s="7">
        <v>194535.0</v>
      </c>
      <c r="K191" s="7">
        <v>52447.0</v>
      </c>
      <c r="L191" s="7">
        <v>31.97</v>
      </c>
      <c r="M191" s="7">
        <v>-0.01</v>
      </c>
      <c r="N191" s="7">
        <v>59330.0</v>
      </c>
      <c r="O191" s="7">
        <v>2018995.0</v>
      </c>
      <c r="P191" s="7" t="s">
        <v>411</v>
      </c>
      <c r="Q191" s="7">
        <v>5003.89</v>
      </c>
      <c r="R191" s="3">
        <f t="shared" si="1"/>
        <v>10000</v>
      </c>
    </row>
    <row r="192" ht="22.5" customHeight="1">
      <c r="B192" s="7" t="s">
        <v>619</v>
      </c>
      <c r="C192" s="7">
        <v>9612.0</v>
      </c>
      <c r="D192" s="7">
        <v>210000.0</v>
      </c>
      <c r="E192" s="7">
        <v>7228815.0</v>
      </c>
      <c r="F192" s="7">
        <v>7050374.0</v>
      </c>
      <c r="G192" s="7">
        <v>2.1929833E7</v>
      </c>
      <c r="H192" s="7">
        <v>2.017167036E9</v>
      </c>
      <c r="I192" s="7">
        <v>373188.0</v>
      </c>
      <c r="J192" s="7">
        <v>350516.0</v>
      </c>
      <c r="K192" s="7">
        <v>22672.0</v>
      </c>
      <c r="L192" s="7">
        <v>52.27</v>
      </c>
      <c r="M192" s="7">
        <v>-0.1</v>
      </c>
      <c r="N192" s="7">
        <v>30703.0</v>
      </c>
      <c r="O192" s="7">
        <v>4394758.0</v>
      </c>
      <c r="P192" s="7" t="s">
        <v>411</v>
      </c>
      <c r="Q192" s="7">
        <v>5003.79</v>
      </c>
      <c r="R192" s="3">
        <f t="shared" si="1"/>
        <v>10000</v>
      </c>
    </row>
    <row r="193" ht="22.5" customHeight="1">
      <c r="B193" s="7" t="s">
        <v>620</v>
      </c>
      <c r="C193" s="7">
        <v>18420.0</v>
      </c>
      <c r="D193" s="7">
        <v>83157.0</v>
      </c>
      <c r="E193" s="7">
        <v>1.4492755E7</v>
      </c>
      <c r="F193" s="7">
        <v>1.4239844E7</v>
      </c>
      <c r="G193" s="7">
        <v>2.4699478E7</v>
      </c>
      <c r="H193" s="7">
        <v>6.398111309E9</v>
      </c>
      <c r="I193" s="7">
        <v>513877.0</v>
      </c>
      <c r="J193" s="7">
        <v>416223.0</v>
      </c>
      <c r="K193" s="7">
        <v>97654.0</v>
      </c>
      <c r="L193" s="7">
        <v>30.72</v>
      </c>
      <c r="M193" s="7">
        <v>-0.06</v>
      </c>
      <c r="N193" s="7">
        <v>123277.0</v>
      </c>
      <c r="O193" s="7">
        <v>4632877.0</v>
      </c>
      <c r="P193" s="7" t="s">
        <v>411</v>
      </c>
      <c r="Q193" s="7">
        <v>5003.54</v>
      </c>
      <c r="R193" s="3">
        <f t="shared" si="1"/>
        <v>10000</v>
      </c>
    </row>
    <row r="194" ht="22.5" customHeight="1">
      <c r="B194" s="7" t="s">
        <v>621</v>
      </c>
      <c r="C194" s="7">
        <v>25095.0</v>
      </c>
      <c r="D194" s="7">
        <v>315410.0</v>
      </c>
      <c r="E194" s="7">
        <v>2.2919676E7</v>
      </c>
      <c r="F194" s="7">
        <v>2.2348555E7</v>
      </c>
      <c r="G194" s="7">
        <v>3.9883005E7</v>
      </c>
      <c r="H194" s="7">
        <v>2.852491955E9</v>
      </c>
      <c r="I194" s="7">
        <v>549256.0</v>
      </c>
      <c r="J194" s="7">
        <v>393121.0</v>
      </c>
      <c r="K194" s="7">
        <v>156135.0</v>
      </c>
      <c r="L194" s="7">
        <v>261.21</v>
      </c>
      <c r="M194" s="7">
        <v>-0.05</v>
      </c>
      <c r="N194" s="7">
        <v>185102.0</v>
      </c>
      <c r="O194" s="7">
        <v>1.5020912E7</v>
      </c>
      <c r="P194" s="7" t="s">
        <v>411</v>
      </c>
      <c r="Q194" s="7">
        <v>5003.67</v>
      </c>
      <c r="R194" s="3">
        <f t="shared" si="1"/>
        <v>10000</v>
      </c>
    </row>
    <row r="195" ht="22.5" customHeight="1">
      <c r="B195" s="7" t="s">
        <v>622</v>
      </c>
      <c r="C195" s="7">
        <v>139160.0</v>
      </c>
      <c r="D195" s="7">
        <v>547615.0</v>
      </c>
      <c r="E195" s="7">
        <v>1.096507E7</v>
      </c>
      <c r="F195" s="7">
        <v>1.0476816E7</v>
      </c>
      <c r="G195" s="7">
        <v>9.371554E7</v>
      </c>
      <c r="H195" s="7">
        <v>1.5191137061E10</v>
      </c>
      <c r="I195" s="7">
        <v>295279.0</v>
      </c>
      <c r="J195" s="7">
        <v>253984.0</v>
      </c>
      <c r="K195" s="7">
        <v>41295.0</v>
      </c>
      <c r="L195" s="7">
        <v>98.53</v>
      </c>
      <c r="M195" s="7">
        <v>-0.07</v>
      </c>
      <c r="N195" s="7">
        <v>57500.0</v>
      </c>
      <c r="O195" s="7">
        <v>5466702.0</v>
      </c>
      <c r="P195" s="7" t="s">
        <v>411</v>
      </c>
      <c r="Q195" s="7">
        <v>5004.29</v>
      </c>
      <c r="R195" s="3">
        <f t="shared" si="1"/>
        <v>10000</v>
      </c>
    </row>
    <row r="196" ht="22.5" customHeight="1">
      <c r="B196" s="7" t="s">
        <v>623</v>
      </c>
      <c r="C196" s="7">
        <v>9216.0</v>
      </c>
      <c r="D196" s="7">
        <v>748640.0</v>
      </c>
      <c r="E196" s="7">
        <v>1.172671E7</v>
      </c>
      <c r="F196" s="7">
        <v>1.1592378E7</v>
      </c>
      <c r="G196" s="7">
        <v>1.4060694E7</v>
      </c>
      <c r="H196" s="7">
        <v>1.346038794E9</v>
      </c>
      <c r="I196" s="7">
        <v>135730.0</v>
      </c>
      <c r="J196" s="7">
        <v>30231.0</v>
      </c>
      <c r="K196" s="7">
        <v>105499.0</v>
      </c>
      <c r="L196" s="7">
        <v>685.42</v>
      </c>
      <c r="M196" s="7">
        <v>-0.03</v>
      </c>
      <c r="N196" s="7">
        <v>121544.0</v>
      </c>
      <c r="O196" s="7">
        <v>5713159.0</v>
      </c>
      <c r="P196" s="7" t="s">
        <v>411</v>
      </c>
      <c r="Q196" s="7">
        <v>5003.71</v>
      </c>
      <c r="R196" s="3">
        <f t="shared" si="1"/>
        <v>10000</v>
      </c>
    </row>
    <row r="197" ht="22.5" customHeight="1">
      <c r="B197" s="7" t="s">
        <v>624</v>
      </c>
      <c r="C197" s="7">
        <v>988187.0</v>
      </c>
      <c r="D197" s="7">
        <v>3111929.0</v>
      </c>
      <c r="E197" s="7">
        <v>1.0508758E7</v>
      </c>
      <c r="F197" s="7">
        <v>1.01275E7</v>
      </c>
      <c r="G197" s="7">
        <v>2.2889901E7</v>
      </c>
      <c r="H197" s="7">
        <v>4.616043368E9</v>
      </c>
      <c r="I197" s="7">
        <v>330077.0</v>
      </c>
      <c r="J197" s="7">
        <v>284404.0</v>
      </c>
      <c r="K197" s="7">
        <v>45673.0</v>
      </c>
      <c r="L197" s="7">
        <v>107.31</v>
      </c>
      <c r="M197" s="7">
        <v>-0.07</v>
      </c>
      <c r="N197" s="7">
        <v>60287.0</v>
      </c>
      <c r="O197" s="7">
        <v>5110308.0</v>
      </c>
      <c r="P197" s="7" t="s">
        <v>411</v>
      </c>
      <c r="Q197" s="7">
        <v>5002.61</v>
      </c>
      <c r="R197" s="3">
        <f t="shared" si="1"/>
        <v>10000</v>
      </c>
    </row>
    <row r="198" ht="22.5" customHeight="1">
      <c r="B198" s="7" t="s">
        <v>625</v>
      </c>
      <c r="C198" s="7">
        <v>400.0</v>
      </c>
      <c r="D198" s="7">
        <v>31600.0</v>
      </c>
      <c r="E198" s="7">
        <v>2.6295559E7</v>
      </c>
      <c r="F198" s="7">
        <v>2.5758908E7</v>
      </c>
      <c r="G198" s="7">
        <v>5.6867833E7</v>
      </c>
      <c r="H198" s="7">
        <v>7.00281629E8</v>
      </c>
      <c r="I198" s="7">
        <v>786588.0</v>
      </c>
      <c r="J198" s="7">
        <v>659997.0</v>
      </c>
      <c r="K198" s="7">
        <v>126591.0</v>
      </c>
      <c r="L198" s="7">
        <v>41.66</v>
      </c>
      <c r="M198" s="7">
        <v>-0.05</v>
      </c>
      <c r="N198" s="7">
        <v>157259.0</v>
      </c>
      <c r="O198" s="7">
        <v>1.385736E7</v>
      </c>
      <c r="P198" s="7" t="s">
        <v>411</v>
      </c>
      <c r="Q198" s="7">
        <v>5003.66</v>
      </c>
      <c r="R198" s="3">
        <f t="shared" si="1"/>
        <v>10000</v>
      </c>
    </row>
    <row r="199" ht="22.5" customHeight="1">
      <c r="B199" s="7" t="s">
        <v>626</v>
      </c>
      <c r="C199" s="7">
        <v>1642950.0</v>
      </c>
      <c r="D199" s="7">
        <v>8975643.0</v>
      </c>
      <c r="E199" s="7">
        <v>2643243.0</v>
      </c>
      <c r="F199" s="7">
        <v>2532865.0</v>
      </c>
      <c r="G199" s="7">
        <v>2.0672822E7</v>
      </c>
      <c r="H199" s="7">
        <v>2.4733931937E10</v>
      </c>
      <c r="I199" s="7">
        <v>121300.0</v>
      </c>
      <c r="J199" s="7">
        <v>107454.0</v>
      </c>
      <c r="K199" s="7">
        <v>13846.0</v>
      </c>
      <c r="L199" s="7">
        <v>136.92</v>
      </c>
      <c r="M199" s="7">
        <v>-0.11</v>
      </c>
      <c r="N199" s="7">
        <v>17430.0</v>
      </c>
      <c r="O199" s="7">
        <v>2113293.0</v>
      </c>
      <c r="P199" s="7" t="s">
        <v>411</v>
      </c>
      <c r="Q199" s="7">
        <v>5003.67</v>
      </c>
      <c r="R199" s="3">
        <f t="shared" si="1"/>
        <v>10000</v>
      </c>
    </row>
    <row r="200" ht="22.5" customHeight="1">
      <c r="B200" s="7" t="s">
        <v>627</v>
      </c>
      <c r="C200" s="7">
        <v>1200.0</v>
      </c>
      <c r="D200" s="7">
        <v>8093.0</v>
      </c>
      <c r="E200" s="7">
        <v>2.0845719E7</v>
      </c>
      <c r="F200" s="7">
        <v>2.0631785E7</v>
      </c>
      <c r="G200" s="7">
        <v>4.5418308E7</v>
      </c>
      <c r="H200" s="7">
        <v>9.34436794E8</v>
      </c>
      <c r="I200" s="7">
        <v>697923.0</v>
      </c>
      <c r="J200" s="7">
        <v>577085.0</v>
      </c>
      <c r="K200" s="7">
        <v>120838.0</v>
      </c>
      <c r="L200" s="7">
        <v>35.8</v>
      </c>
      <c r="M200" s="7">
        <v>-0.08</v>
      </c>
      <c r="N200" s="7">
        <v>151751.0</v>
      </c>
      <c r="O200" s="7">
        <v>1.1122405E7</v>
      </c>
      <c r="P200" s="7" t="s">
        <v>411</v>
      </c>
      <c r="Q200" s="7">
        <v>5003.82</v>
      </c>
      <c r="R200" s="3">
        <f t="shared" si="1"/>
        <v>10000</v>
      </c>
    </row>
    <row r="201" ht="22.5" customHeight="1">
      <c r="B201" s="7" t="s">
        <v>628</v>
      </c>
      <c r="C201" s="7">
        <v>920.0</v>
      </c>
      <c r="D201" s="7">
        <v>48323.0</v>
      </c>
      <c r="E201" s="7">
        <v>1.7496727E7</v>
      </c>
      <c r="F201" s="7">
        <v>1.7330096E7</v>
      </c>
      <c r="G201" s="7">
        <v>2.2187374E7</v>
      </c>
      <c r="H201" s="7">
        <v>2.72741715E8</v>
      </c>
      <c r="I201" s="7">
        <v>576738.0</v>
      </c>
      <c r="J201" s="7">
        <v>355728.0</v>
      </c>
      <c r="K201" s="7">
        <v>221010.0</v>
      </c>
      <c r="L201" s="7">
        <v>276.3</v>
      </c>
      <c r="M201" s="7">
        <v>-0.02</v>
      </c>
      <c r="N201" s="7">
        <v>247024.0</v>
      </c>
      <c r="O201" s="7">
        <v>5657390.0</v>
      </c>
      <c r="P201" s="7" t="s">
        <v>411</v>
      </c>
      <c r="Q201" s="7">
        <v>5003.11</v>
      </c>
      <c r="R201" s="3">
        <f t="shared" si="1"/>
        <v>10000</v>
      </c>
    </row>
    <row r="202" ht="22.5" customHeight="1">
      <c r="B202" s="7" t="s">
        <v>629</v>
      </c>
      <c r="C202" s="7">
        <v>728645.0</v>
      </c>
      <c r="D202" s="7">
        <v>1.0408627E7</v>
      </c>
      <c r="E202" s="7">
        <v>1879430.0</v>
      </c>
      <c r="F202" s="7">
        <v>1824303.0</v>
      </c>
      <c r="G202" s="7">
        <v>1.4966456E7</v>
      </c>
      <c r="H202" s="7">
        <v>5.156257162E9</v>
      </c>
      <c r="I202" s="7">
        <v>86548.0</v>
      </c>
      <c r="J202" s="7">
        <v>82300.0</v>
      </c>
      <c r="K202" s="7">
        <v>4248.0</v>
      </c>
      <c r="L202" s="7">
        <v>16.56</v>
      </c>
      <c r="M202" s="7">
        <v>-0.18</v>
      </c>
      <c r="N202" s="7">
        <v>6308.0</v>
      </c>
      <c r="O202" s="7">
        <v>5174167.0</v>
      </c>
      <c r="P202" s="7" t="s">
        <v>411</v>
      </c>
      <c r="Q202" s="7">
        <v>5004.41</v>
      </c>
      <c r="R202" s="3">
        <f t="shared" si="1"/>
        <v>10000</v>
      </c>
    </row>
    <row r="203" ht="22.5" customHeight="1">
      <c r="B203" s="7" t="s">
        <v>530</v>
      </c>
      <c r="C203" s="7">
        <v>380.0</v>
      </c>
      <c r="D203" s="7">
        <v>432291.0</v>
      </c>
      <c r="E203" s="7">
        <v>2.4939569E7</v>
      </c>
      <c r="F203" s="7">
        <v>2.4424462E7</v>
      </c>
      <c r="G203" s="7">
        <v>3.1591348E7</v>
      </c>
      <c r="H203" s="7">
        <v>7.8000109E8</v>
      </c>
      <c r="I203" s="7">
        <v>724791.0</v>
      </c>
      <c r="J203" s="7">
        <v>575143.0</v>
      </c>
      <c r="K203" s="7">
        <v>149648.0</v>
      </c>
      <c r="L203" s="7">
        <v>30.69</v>
      </c>
      <c r="M203" s="7">
        <v>-0.04</v>
      </c>
      <c r="N203" s="7">
        <v>179079.0</v>
      </c>
      <c r="O203" s="7">
        <v>1.43738E7</v>
      </c>
      <c r="P203" s="7" t="s">
        <v>411</v>
      </c>
      <c r="Q203" s="7">
        <v>5003.87</v>
      </c>
      <c r="R203" s="3">
        <f t="shared" si="1"/>
        <v>10000</v>
      </c>
    </row>
    <row r="204" ht="22.5" customHeight="1">
      <c r="B204" s="7" t="s">
        <v>630</v>
      </c>
      <c r="C204" s="7">
        <v>969.0</v>
      </c>
      <c r="D204" s="7">
        <v>220951.0</v>
      </c>
      <c r="E204" s="7">
        <v>1.1269685E7</v>
      </c>
      <c r="F204" s="7">
        <v>1.1156927E7</v>
      </c>
      <c r="G204" s="7">
        <v>2.0261439E7</v>
      </c>
      <c r="H204" s="7">
        <v>2.50172346E8</v>
      </c>
      <c r="I204" s="7">
        <v>540418.0</v>
      </c>
      <c r="J204" s="7">
        <v>402704.0</v>
      </c>
      <c r="K204" s="7">
        <v>137714.0</v>
      </c>
      <c r="L204" s="7">
        <v>224.6</v>
      </c>
      <c r="M204" s="7">
        <v>-0.03</v>
      </c>
      <c r="N204" s="7">
        <v>150118.0</v>
      </c>
      <c r="O204" s="7">
        <v>4489508.0</v>
      </c>
      <c r="P204" s="7" t="s">
        <v>411</v>
      </c>
      <c r="Q204" s="7">
        <v>5003.78</v>
      </c>
      <c r="R204" s="3">
        <f t="shared" si="1"/>
        <v>10000</v>
      </c>
    </row>
    <row r="205" ht="22.5" customHeight="1">
      <c r="B205" s="7" t="s">
        <v>598</v>
      </c>
      <c r="C205" s="7">
        <v>529.0</v>
      </c>
      <c r="D205" s="7">
        <v>7744.0</v>
      </c>
      <c r="E205" s="7">
        <v>4615079.0</v>
      </c>
      <c r="F205" s="7">
        <v>4592313.0</v>
      </c>
      <c r="G205" s="7">
        <v>5691181.0</v>
      </c>
      <c r="H205" s="7">
        <v>5.61176287E8</v>
      </c>
      <c r="I205" s="7">
        <v>194898.0</v>
      </c>
      <c r="J205" s="7">
        <v>155065.0</v>
      </c>
      <c r="K205" s="7">
        <v>39833.0</v>
      </c>
      <c r="L205" s="7">
        <v>33.0</v>
      </c>
      <c r="M205" s="7">
        <v>-0.03</v>
      </c>
      <c r="N205" s="7">
        <v>47210.0</v>
      </c>
      <c r="O205" s="7">
        <v>1461408.0</v>
      </c>
      <c r="P205" s="7" t="s">
        <v>411</v>
      </c>
      <c r="Q205" s="7">
        <v>5001.07</v>
      </c>
      <c r="R205" s="3">
        <f t="shared" si="1"/>
        <v>10000</v>
      </c>
    </row>
    <row r="206" ht="22.5" customHeight="1">
      <c r="B206" s="7" t="s">
        <v>631</v>
      </c>
      <c r="C206" s="7">
        <v>5640.0</v>
      </c>
      <c r="D206" s="7">
        <v>116738.0</v>
      </c>
      <c r="E206" s="7">
        <v>1.5372739E7</v>
      </c>
      <c r="F206" s="7">
        <v>1.5220859E7</v>
      </c>
      <c r="G206" s="7">
        <v>1.8231569E7</v>
      </c>
      <c r="H206" s="7">
        <v>1.473086056E9</v>
      </c>
      <c r="I206" s="7">
        <v>427489.0</v>
      </c>
      <c r="J206" s="7">
        <v>254807.0</v>
      </c>
      <c r="K206" s="7">
        <v>172682.0</v>
      </c>
      <c r="L206" s="7">
        <v>263.26</v>
      </c>
      <c r="M206" s="7">
        <v>-0.03</v>
      </c>
      <c r="N206" s="7">
        <v>197805.0</v>
      </c>
      <c r="O206" s="7">
        <v>4913391.0</v>
      </c>
      <c r="P206" s="7" t="s">
        <v>411</v>
      </c>
      <c r="Q206" s="7">
        <v>5003.52</v>
      </c>
      <c r="R206" s="3">
        <f t="shared" si="1"/>
        <v>10000</v>
      </c>
    </row>
    <row r="207" ht="22.5" customHeight="1">
      <c r="B207" s="7" t="s">
        <v>632</v>
      </c>
      <c r="C207" s="7">
        <v>1350.0</v>
      </c>
      <c r="D207" s="7">
        <v>15166.0</v>
      </c>
      <c r="E207" s="7">
        <v>4.8729958E7</v>
      </c>
      <c r="F207" s="7">
        <v>4.8461395E7</v>
      </c>
      <c r="G207" s="7">
        <v>5.3785079E7</v>
      </c>
      <c r="H207" s="7">
        <v>2.445316381E9</v>
      </c>
      <c r="I207" s="7">
        <v>1695316.0</v>
      </c>
      <c r="J207" s="7">
        <v>1247087.0</v>
      </c>
      <c r="K207" s="7">
        <v>448229.0</v>
      </c>
      <c r="L207" s="7">
        <v>40.43</v>
      </c>
      <c r="M207" s="7">
        <v>-0.02</v>
      </c>
      <c r="N207" s="7">
        <v>517599.0</v>
      </c>
      <c r="O207" s="7">
        <v>1.8660454E7</v>
      </c>
      <c r="P207" s="7" t="s">
        <v>411</v>
      </c>
      <c r="Q207" s="7">
        <v>5003.84</v>
      </c>
      <c r="R207" s="3">
        <f t="shared" si="1"/>
        <v>10000</v>
      </c>
    </row>
    <row r="208" ht="22.5" customHeight="1">
      <c r="B208" s="7" t="s">
        <v>633</v>
      </c>
      <c r="C208" s="7">
        <v>1430.0</v>
      </c>
      <c r="D208" s="7">
        <v>87044.0</v>
      </c>
      <c r="E208" s="7">
        <v>2.2416636E7</v>
      </c>
      <c r="F208" s="7">
        <v>2.2114354E7</v>
      </c>
      <c r="G208" s="7">
        <v>2.9727913E7</v>
      </c>
      <c r="H208" s="7">
        <v>1.337436101E9</v>
      </c>
      <c r="I208" s="7">
        <v>839112.0</v>
      </c>
      <c r="J208" s="7">
        <v>699338.0</v>
      </c>
      <c r="K208" s="7">
        <v>139774.0</v>
      </c>
      <c r="L208" s="7">
        <v>25.89</v>
      </c>
      <c r="M208" s="7">
        <v>-0.04</v>
      </c>
      <c r="N208" s="7">
        <v>169824.0</v>
      </c>
      <c r="O208" s="7">
        <v>1.0084314E7</v>
      </c>
      <c r="P208" s="7" t="s">
        <v>411</v>
      </c>
      <c r="Q208" s="7">
        <v>5003.89</v>
      </c>
      <c r="R208" s="3">
        <f t="shared" si="1"/>
        <v>10000</v>
      </c>
    </row>
    <row r="209" ht="22.5" customHeight="1">
      <c r="B209" s="7" t="s">
        <v>634</v>
      </c>
      <c r="C209" s="7">
        <v>2726.0</v>
      </c>
      <c r="D209" s="7">
        <v>8974.0</v>
      </c>
      <c r="E209" s="7">
        <v>1.0873048E7</v>
      </c>
      <c r="F209" s="7">
        <v>1.0756367E7</v>
      </c>
      <c r="G209" s="7">
        <v>1.8774748E7</v>
      </c>
      <c r="H209" s="7">
        <v>1.210467997E9</v>
      </c>
      <c r="I209" s="7">
        <v>522860.0</v>
      </c>
      <c r="J209" s="7">
        <v>463479.0</v>
      </c>
      <c r="K209" s="7">
        <v>59381.0</v>
      </c>
      <c r="L209" s="7">
        <v>36.83</v>
      </c>
      <c r="M209" s="7">
        <v>-0.06</v>
      </c>
      <c r="N209" s="7">
        <v>74727.0</v>
      </c>
      <c r="O209" s="7">
        <v>4214041.0</v>
      </c>
      <c r="P209" s="7" t="s">
        <v>411</v>
      </c>
      <c r="Q209" s="7">
        <v>5003.84</v>
      </c>
      <c r="R209" s="3">
        <f t="shared" si="1"/>
        <v>10000</v>
      </c>
    </row>
    <row r="210" ht="22.5" customHeight="1">
      <c r="B210" s="7" t="s">
        <v>635</v>
      </c>
      <c r="C210" s="7">
        <v>4875.0</v>
      </c>
      <c r="D210" s="7">
        <v>336450.0</v>
      </c>
      <c r="E210" s="7">
        <v>9345905.0</v>
      </c>
      <c r="F210" s="7">
        <v>9269408.0</v>
      </c>
      <c r="G210" s="7">
        <v>1.0571307E7</v>
      </c>
      <c r="H210" s="7">
        <v>2.00096412E8</v>
      </c>
      <c r="I210" s="7">
        <v>297007.0</v>
      </c>
      <c r="J210" s="7">
        <v>215002.0</v>
      </c>
      <c r="K210" s="7">
        <v>82005.0</v>
      </c>
      <c r="L210" s="7">
        <v>734.29</v>
      </c>
      <c r="M210" s="7">
        <v>-0.02</v>
      </c>
      <c r="N210" s="7">
        <v>91233.0</v>
      </c>
      <c r="O210" s="7">
        <v>4877768.0</v>
      </c>
      <c r="P210" s="7" t="s">
        <v>411</v>
      </c>
      <c r="Q210" s="7">
        <v>5002.99</v>
      </c>
      <c r="R210" s="3">
        <f t="shared" si="1"/>
        <v>10000</v>
      </c>
    </row>
    <row r="211" ht="22.5" customHeight="1">
      <c r="B211" s="7" t="s">
        <v>636</v>
      </c>
      <c r="C211" s="7">
        <v>9612.0</v>
      </c>
      <c r="D211" s="7">
        <v>210016.0</v>
      </c>
      <c r="E211" s="7">
        <v>6728942.0</v>
      </c>
      <c r="F211" s="7">
        <v>6566558.0</v>
      </c>
      <c r="G211" s="7">
        <v>2.0104851E7</v>
      </c>
      <c r="H211" s="7">
        <v>1.837084743E9</v>
      </c>
      <c r="I211" s="7">
        <v>339326.0</v>
      </c>
      <c r="J211" s="7">
        <v>317564.0</v>
      </c>
      <c r="K211" s="7">
        <v>21762.0</v>
      </c>
      <c r="L211" s="7">
        <v>49.25</v>
      </c>
      <c r="M211" s="7">
        <v>-0.1</v>
      </c>
      <c r="N211" s="7">
        <v>29838.0</v>
      </c>
      <c r="O211" s="7">
        <v>3942440.0</v>
      </c>
      <c r="P211" s="7" t="s">
        <v>411</v>
      </c>
      <c r="Q211" s="7">
        <v>5003.69</v>
      </c>
      <c r="R211" s="3">
        <f t="shared" si="1"/>
        <v>10000</v>
      </c>
    </row>
    <row r="212" ht="22.5" customHeight="1">
      <c r="B212" s="7" t="s">
        <v>639</v>
      </c>
      <c r="C212" s="7">
        <v>29489.0</v>
      </c>
      <c r="D212" s="7">
        <v>380642.0</v>
      </c>
      <c r="E212" s="7">
        <v>1.6303106E7</v>
      </c>
      <c r="F212" s="7">
        <v>1.543017E7</v>
      </c>
      <c r="G212" s="7">
        <v>3.3637759E7</v>
      </c>
      <c r="H212" s="7">
        <v>4.116509608E9</v>
      </c>
      <c r="I212" s="7">
        <v>329875.0</v>
      </c>
      <c r="J212" s="7">
        <v>192815.0</v>
      </c>
      <c r="K212" s="7">
        <v>137060.0</v>
      </c>
      <c r="L212" s="7">
        <v>297.84</v>
      </c>
      <c r="M212" s="7">
        <v>-0.06</v>
      </c>
      <c r="N212" s="7">
        <v>166817.0</v>
      </c>
      <c r="O212" s="7">
        <v>6371650.0</v>
      </c>
      <c r="P212" s="7" t="s">
        <v>411</v>
      </c>
      <c r="Q212" s="7">
        <v>5003.8</v>
      </c>
      <c r="R212" s="3">
        <f t="shared" si="1"/>
        <v>10000</v>
      </c>
    </row>
    <row r="213" ht="22.5" customHeight="1">
      <c r="B213" s="7" t="s">
        <v>640</v>
      </c>
      <c r="C213" s="7">
        <v>1250.0</v>
      </c>
      <c r="D213" s="7">
        <v>7189.0</v>
      </c>
      <c r="E213" s="7">
        <v>2.1853833E7</v>
      </c>
      <c r="F213" s="7">
        <v>2.1820213E7</v>
      </c>
      <c r="G213" s="7">
        <v>2.7355541E7</v>
      </c>
      <c r="H213" s="7">
        <v>4.756658814E9</v>
      </c>
      <c r="I213" s="7">
        <v>776848.0</v>
      </c>
      <c r="J213" s="7">
        <v>547147.0</v>
      </c>
      <c r="K213" s="7">
        <v>229701.0</v>
      </c>
      <c r="L213" s="7">
        <v>31.59</v>
      </c>
      <c r="M213" s="7">
        <v>-0.02</v>
      </c>
      <c r="N213" s="7">
        <v>256261.0</v>
      </c>
      <c r="O213" s="7">
        <v>9452827.0</v>
      </c>
      <c r="P213" s="7" t="s">
        <v>411</v>
      </c>
      <c r="Q213" s="7">
        <v>5003.84</v>
      </c>
      <c r="R213" s="3">
        <f t="shared" si="1"/>
        <v>10000</v>
      </c>
    </row>
    <row r="214" ht="22.5" customHeight="1">
      <c r="B214" s="7" t="s">
        <v>641</v>
      </c>
      <c r="C214" s="7">
        <v>5974.0</v>
      </c>
      <c r="D214" s="7">
        <v>102866.0</v>
      </c>
      <c r="E214" s="7">
        <v>1.5861223E7</v>
      </c>
      <c r="F214" s="7">
        <v>1.5709705E7</v>
      </c>
      <c r="G214" s="7">
        <v>1.8728033E7</v>
      </c>
      <c r="H214" s="7">
        <v>1.874209886E9</v>
      </c>
      <c r="I214" s="7">
        <v>443734.0</v>
      </c>
      <c r="J214" s="7">
        <v>263046.0</v>
      </c>
      <c r="K214" s="7">
        <v>180688.0</v>
      </c>
      <c r="L214" s="7">
        <v>252.2</v>
      </c>
      <c r="M214" s="7">
        <v>-0.03</v>
      </c>
      <c r="N214" s="7">
        <v>207095.0</v>
      </c>
      <c r="O214" s="7">
        <v>4870009.0</v>
      </c>
      <c r="P214" s="7" t="s">
        <v>411</v>
      </c>
      <c r="Q214" s="7">
        <v>5003.17</v>
      </c>
      <c r="R214" s="3">
        <f t="shared" si="1"/>
        <v>10000</v>
      </c>
    </row>
    <row r="215" ht="22.5" customHeight="1">
      <c r="B215" s="7" t="s">
        <v>642</v>
      </c>
      <c r="C215" s="7">
        <v>2273.0</v>
      </c>
      <c r="D215" s="7">
        <v>8334.0</v>
      </c>
      <c r="E215" s="7">
        <v>1.1718124E7</v>
      </c>
      <c r="F215" s="7">
        <v>1.1717364E7</v>
      </c>
      <c r="G215" s="7">
        <v>1.1870903E7</v>
      </c>
      <c r="H215" s="7">
        <v>7.933376444E9</v>
      </c>
      <c r="I215" s="7">
        <v>281405.0</v>
      </c>
      <c r="J215" s="7">
        <v>166533.0</v>
      </c>
      <c r="K215" s="7">
        <v>114872.0</v>
      </c>
      <c r="L215" s="7">
        <v>57.05</v>
      </c>
      <c r="M215" s="7">
        <v>0.0</v>
      </c>
      <c r="N215" s="7">
        <v>130958.0</v>
      </c>
      <c r="O215" s="7">
        <v>4979762.0</v>
      </c>
      <c r="P215" s="7" t="s">
        <v>411</v>
      </c>
      <c r="Q215" s="7">
        <v>5002.99</v>
      </c>
      <c r="R215" s="3">
        <f t="shared" si="1"/>
        <v>10000</v>
      </c>
    </row>
    <row r="216" ht="22.5" customHeight="1">
      <c r="B216" s="7" t="s">
        <v>643</v>
      </c>
      <c r="C216" s="7">
        <v>10800.0</v>
      </c>
      <c r="D216" s="7">
        <v>198762.0</v>
      </c>
      <c r="E216" s="7">
        <v>1.6337875E7</v>
      </c>
      <c r="F216" s="7">
        <v>1.6187666E7</v>
      </c>
      <c r="G216" s="7">
        <v>1.9404986E7</v>
      </c>
      <c r="H216" s="7">
        <v>1.329825648E9</v>
      </c>
      <c r="I216" s="7">
        <v>495609.0</v>
      </c>
      <c r="J216" s="7">
        <v>303966.0</v>
      </c>
      <c r="K216" s="7">
        <v>191643.0</v>
      </c>
      <c r="L216" s="7">
        <v>185.34</v>
      </c>
      <c r="M216" s="7">
        <v>-0.03</v>
      </c>
      <c r="N216" s="7">
        <v>219144.0</v>
      </c>
      <c r="O216" s="7">
        <v>4736022.0</v>
      </c>
      <c r="P216" s="7" t="s">
        <v>411</v>
      </c>
      <c r="Q216" s="7">
        <v>5003.72</v>
      </c>
      <c r="R216" s="3">
        <f t="shared" si="1"/>
        <v>10000</v>
      </c>
    </row>
    <row r="217" ht="22.5" customHeight="1">
      <c r="B217" s="7" t="s">
        <v>644</v>
      </c>
      <c r="C217" s="7">
        <v>3280.0</v>
      </c>
      <c r="D217" s="7">
        <v>65682.0</v>
      </c>
      <c r="E217" s="7">
        <v>1.4132032E7</v>
      </c>
      <c r="F217" s="7">
        <v>1.3996555E7</v>
      </c>
      <c r="G217" s="7">
        <v>1.6598799E7</v>
      </c>
      <c r="H217" s="7">
        <v>7.24801886E8</v>
      </c>
      <c r="I217" s="7">
        <v>347581.0</v>
      </c>
      <c r="J217" s="7">
        <v>198322.0</v>
      </c>
      <c r="K217" s="7">
        <v>149259.0</v>
      </c>
      <c r="L217" s="7">
        <v>380.98</v>
      </c>
      <c r="M217" s="7">
        <v>-0.03</v>
      </c>
      <c r="N217" s="7">
        <v>171341.0</v>
      </c>
      <c r="O217" s="7">
        <v>5122677.0</v>
      </c>
      <c r="P217" s="7" t="s">
        <v>411</v>
      </c>
      <c r="Q217" s="7">
        <v>5003.82</v>
      </c>
      <c r="R217" s="3">
        <f t="shared" si="1"/>
        <v>10000</v>
      </c>
    </row>
    <row r="218" ht="22.5" customHeight="1">
      <c r="B218" s="7" t="s">
        <v>645</v>
      </c>
      <c r="C218" s="7">
        <v>5100.0</v>
      </c>
      <c r="D218" s="7">
        <v>127602.0</v>
      </c>
      <c r="E218" s="7">
        <v>1.1759692E7</v>
      </c>
      <c r="F218" s="7">
        <v>1.1648084E7</v>
      </c>
      <c r="G218" s="7">
        <v>1.3748899E7</v>
      </c>
      <c r="H218" s="7">
        <v>7.51383179E8</v>
      </c>
      <c r="I218" s="7">
        <v>297152.0</v>
      </c>
      <c r="J218" s="7">
        <v>188630.0</v>
      </c>
      <c r="K218" s="7">
        <v>108522.0</v>
      </c>
      <c r="L218" s="7">
        <v>514.09</v>
      </c>
      <c r="M218" s="7">
        <v>-0.03</v>
      </c>
      <c r="N218" s="7">
        <v>124550.0</v>
      </c>
      <c r="O218" s="7">
        <v>5178757.0</v>
      </c>
      <c r="P218" s="7" t="s">
        <v>411</v>
      </c>
      <c r="Q218" s="7">
        <v>5003.73</v>
      </c>
      <c r="R218" s="3">
        <f t="shared" si="1"/>
        <v>10000</v>
      </c>
    </row>
    <row r="219" ht="22.5" customHeight="1">
      <c r="B219" s="7" t="s">
        <v>646</v>
      </c>
      <c r="C219" s="7">
        <v>2914.0</v>
      </c>
      <c r="D219" s="7">
        <v>9436.0</v>
      </c>
      <c r="E219" s="7">
        <v>1.0712458E7</v>
      </c>
      <c r="F219" s="7">
        <v>1.0590953E7</v>
      </c>
      <c r="G219" s="7">
        <v>1.8528334E7</v>
      </c>
      <c r="H219" s="7">
        <v>1.119950252E9</v>
      </c>
      <c r="I219" s="7">
        <v>526559.0</v>
      </c>
      <c r="J219" s="7">
        <v>469632.0</v>
      </c>
      <c r="K219" s="7">
        <v>56927.0</v>
      </c>
      <c r="L219" s="7">
        <v>36.83</v>
      </c>
      <c r="M219" s="7">
        <v>-0.07</v>
      </c>
      <c r="N219" s="7">
        <v>71854.0</v>
      </c>
      <c r="O219" s="7">
        <v>4208749.0</v>
      </c>
      <c r="P219" s="7" t="s">
        <v>411</v>
      </c>
      <c r="Q219" s="7">
        <v>5003.8</v>
      </c>
      <c r="R219" s="3">
        <f t="shared" si="1"/>
        <v>10000</v>
      </c>
    </row>
    <row r="220" ht="22.5" customHeight="1">
      <c r="B220" s="7" t="s">
        <v>647</v>
      </c>
      <c r="C220" s="7">
        <v>979.0</v>
      </c>
      <c r="D220" s="7">
        <v>3168.0</v>
      </c>
      <c r="E220" s="7">
        <v>1.9006659E7</v>
      </c>
      <c r="F220" s="7">
        <v>1.8839124E7</v>
      </c>
      <c r="G220" s="7">
        <v>2.6334717E7</v>
      </c>
      <c r="H220" s="7">
        <v>9.47320696E8</v>
      </c>
      <c r="I220" s="7">
        <v>792669.0</v>
      </c>
      <c r="J220" s="7">
        <v>622293.0</v>
      </c>
      <c r="K220" s="7">
        <v>170376.0</v>
      </c>
      <c r="L220" s="7">
        <v>24.45</v>
      </c>
      <c r="M220" s="7">
        <v>-0.05</v>
      </c>
      <c r="N220" s="7">
        <v>199333.0</v>
      </c>
      <c r="O220" s="7">
        <v>6644750.0</v>
      </c>
      <c r="P220" s="7" t="s">
        <v>411</v>
      </c>
      <c r="Q220" s="7">
        <v>5003.78</v>
      </c>
      <c r="R220" s="3">
        <f t="shared" si="1"/>
        <v>10000</v>
      </c>
    </row>
    <row r="221" ht="22.5" customHeight="1">
      <c r="B221" s="7" t="s">
        <v>648</v>
      </c>
      <c r="C221" s="7">
        <v>141968.0</v>
      </c>
      <c r="D221" s="7">
        <v>1742897.0</v>
      </c>
      <c r="E221" s="7">
        <v>7103398.0</v>
      </c>
      <c r="F221" s="7">
        <v>6893682.0</v>
      </c>
      <c r="G221" s="7">
        <v>3.6635932E7</v>
      </c>
      <c r="H221" s="7">
        <v>8.881895974E9</v>
      </c>
      <c r="I221" s="7">
        <v>391073.0</v>
      </c>
      <c r="J221" s="7">
        <v>373885.0</v>
      </c>
      <c r="K221" s="7">
        <v>17188.0</v>
      </c>
      <c r="L221" s="7">
        <v>24.94</v>
      </c>
      <c r="M221" s="7">
        <v>-0.16</v>
      </c>
      <c r="N221" s="7">
        <v>25465.0</v>
      </c>
      <c r="O221" s="7">
        <v>9022238.0</v>
      </c>
      <c r="P221" s="7" t="s">
        <v>411</v>
      </c>
      <c r="Q221" s="7">
        <v>5003.33</v>
      </c>
      <c r="R221" s="3">
        <f t="shared" si="1"/>
        <v>10000</v>
      </c>
    </row>
    <row r="222" ht="22.5" customHeight="1">
      <c r="B222" s="7" t="s">
        <v>650</v>
      </c>
      <c r="C222" s="7">
        <v>1773.0</v>
      </c>
      <c r="D222" s="7">
        <v>6586.0</v>
      </c>
      <c r="E222" s="7">
        <v>1.2817974E7</v>
      </c>
      <c r="F222" s="7">
        <v>1.2816725E7</v>
      </c>
      <c r="G222" s="7">
        <v>1.3011784E7</v>
      </c>
      <c r="H222" s="7">
        <v>5.167445795E9</v>
      </c>
      <c r="I222" s="7">
        <v>317850.0</v>
      </c>
      <c r="J222" s="7">
        <v>185202.0</v>
      </c>
      <c r="K222" s="7">
        <v>132648.0</v>
      </c>
      <c r="L222" s="7">
        <v>54.28</v>
      </c>
      <c r="M222" s="7">
        <v>0.0</v>
      </c>
      <c r="N222" s="7">
        <v>151645.0</v>
      </c>
      <c r="O222" s="7">
        <v>4924993.0</v>
      </c>
      <c r="P222" s="7" t="s">
        <v>411</v>
      </c>
      <c r="Q222" s="7">
        <v>5003.81</v>
      </c>
      <c r="R222" s="3">
        <f t="shared" si="1"/>
        <v>10000</v>
      </c>
    </row>
    <row r="223" ht="22.5" customHeight="1">
      <c r="B223" s="7" t="s">
        <v>651</v>
      </c>
      <c r="C223" s="7">
        <v>979.0</v>
      </c>
      <c r="D223" s="7">
        <v>5556.0</v>
      </c>
      <c r="E223" s="7">
        <v>2.0125023E7</v>
      </c>
      <c r="F223" s="7">
        <v>2.0078822E7</v>
      </c>
      <c r="G223" s="7">
        <v>2.7662151E7</v>
      </c>
      <c r="H223" s="7">
        <v>3.091436861E9</v>
      </c>
      <c r="I223" s="7">
        <v>781935.0</v>
      </c>
      <c r="J223" s="7">
        <v>577342.0</v>
      </c>
      <c r="K223" s="7">
        <v>204593.0</v>
      </c>
      <c r="L223" s="7">
        <v>27.0</v>
      </c>
      <c r="M223" s="7">
        <v>-0.02</v>
      </c>
      <c r="N223" s="7">
        <v>232128.0</v>
      </c>
      <c r="O223" s="7">
        <v>7645847.0</v>
      </c>
      <c r="P223" s="7" t="s">
        <v>411</v>
      </c>
      <c r="Q223" s="7">
        <v>5003.8</v>
      </c>
      <c r="R223" s="3">
        <f t="shared" si="1"/>
        <v>10000</v>
      </c>
    </row>
    <row r="224" ht="22.5" customHeight="1">
      <c r="B224" s="7" t="s">
        <v>652</v>
      </c>
      <c r="C224" s="7">
        <v>1200.0</v>
      </c>
      <c r="D224" s="7">
        <v>21040.0</v>
      </c>
      <c r="E224" s="7">
        <v>1.7561323E7</v>
      </c>
      <c r="F224" s="7">
        <v>1.7475E7</v>
      </c>
      <c r="G224" s="7">
        <v>4.0178023E7</v>
      </c>
      <c r="H224" s="7">
        <v>1.758900571E9</v>
      </c>
      <c r="I224" s="7">
        <v>572266.0</v>
      </c>
      <c r="J224" s="7">
        <v>405233.0</v>
      </c>
      <c r="K224" s="7">
        <v>167033.0</v>
      </c>
      <c r="L224" s="7">
        <v>61.41</v>
      </c>
      <c r="M224" s="7">
        <v>-0.04</v>
      </c>
      <c r="N224" s="7">
        <v>196109.0</v>
      </c>
      <c r="O224" s="7">
        <v>5818216.0</v>
      </c>
      <c r="P224" s="7" t="s">
        <v>411</v>
      </c>
      <c r="Q224" s="7">
        <v>5003.88</v>
      </c>
      <c r="R224" s="3">
        <f t="shared" si="1"/>
        <v>10000</v>
      </c>
    </row>
    <row r="225" ht="22.5" customHeight="1">
      <c r="B225" s="7" t="s">
        <v>553</v>
      </c>
      <c r="C225" s="7">
        <v>9612.0</v>
      </c>
      <c r="D225" s="7">
        <v>210000.0</v>
      </c>
      <c r="E225" s="7">
        <v>7663098.0</v>
      </c>
      <c r="F225" s="7">
        <v>7463380.0</v>
      </c>
      <c r="G225" s="7">
        <v>2.3827565E7</v>
      </c>
      <c r="H225" s="7">
        <v>2.145722238E9</v>
      </c>
      <c r="I225" s="7">
        <v>400128.0</v>
      </c>
      <c r="J225" s="7">
        <v>378325.0</v>
      </c>
      <c r="K225" s="7">
        <v>21803.0</v>
      </c>
      <c r="L225" s="7">
        <v>54.23</v>
      </c>
      <c r="M225" s="7">
        <v>-0.11</v>
      </c>
      <c r="N225" s="7">
        <v>29871.0</v>
      </c>
      <c r="O225" s="7">
        <v>4871632.0</v>
      </c>
      <c r="P225" s="7" t="s">
        <v>411</v>
      </c>
      <c r="Q225" s="7">
        <v>5003.8</v>
      </c>
      <c r="R225" s="3">
        <f t="shared" si="1"/>
        <v>10000</v>
      </c>
    </row>
    <row r="226" ht="22.5" customHeight="1">
      <c r="B226" s="7" t="s">
        <v>653</v>
      </c>
      <c r="C226" s="7">
        <v>360.0</v>
      </c>
      <c r="D226" s="7">
        <v>11715.0</v>
      </c>
      <c r="E226" s="7">
        <v>2.7631873E7</v>
      </c>
      <c r="F226" s="7">
        <v>2.7380174E7</v>
      </c>
      <c r="G226" s="7">
        <v>3.5502819E7</v>
      </c>
      <c r="H226" s="7">
        <v>4.07946516E8</v>
      </c>
      <c r="I226" s="7">
        <v>1280772.0</v>
      </c>
      <c r="J226" s="7">
        <v>1053766.0</v>
      </c>
      <c r="K226" s="7">
        <v>227006.0</v>
      </c>
      <c r="L226" s="7">
        <v>90.3</v>
      </c>
      <c r="M226" s="7">
        <v>-0.03</v>
      </c>
      <c r="N226" s="7">
        <v>252733.0</v>
      </c>
      <c r="O226" s="7">
        <v>1.3541093E7</v>
      </c>
      <c r="P226" s="7" t="s">
        <v>411</v>
      </c>
      <c r="Q226" s="7">
        <v>5003.85</v>
      </c>
      <c r="R226" s="3">
        <f t="shared" si="1"/>
        <v>10000</v>
      </c>
    </row>
    <row r="227" ht="22.5" customHeight="1">
      <c r="B227" s="7" t="s">
        <v>654</v>
      </c>
      <c r="C227" s="7">
        <v>644.0</v>
      </c>
      <c r="D227" s="7">
        <v>2617.0</v>
      </c>
      <c r="E227" s="7">
        <v>1.9708352E7</v>
      </c>
      <c r="F227" s="7">
        <v>1.9547473E7</v>
      </c>
      <c r="G227" s="7">
        <v>2.712922E7</v>
      </c>
      <c r="H227" s="7">
        <v>9.46942218E8</v>
      </c>
      <c r="I227" s="7">
        <v>819316.0</v>
      </c>
      <c r="J227" s="7">
        <v>661149.0</v>
      </c>
      <c r="K227" s="7">
        <v>158167.0</v>
      </c>
      <c r="L227" s="7">
        <v>24.95</v>
      </c>
      <c r="M227" s="7">
        <v>-0.05</v>
      </c>
      <c r="N227" s="7">
        <v>187631.0</v>
      </c>
      <c r="O227" s="7">
        <v>7279759.0</v>
      </c>
      <c r="P227" s="7" t="s">
        <v>411</v>
      </c>
      <c r="Q227" s="7">
        <v>5003.9</v>
      </c>
      <c r="R227" s="3">
        <f t="shared" si="1"/>
        <v>10000</v>
      </c>
    </row>
    <row r="228" ht="22.5" customHeight="1">
      <c r="B228" s="7" t="s">
        <v>616</v>
      </c>
      <c r="C228" s="7">
        <v>450.0</v>
      </c>
      <c r="D228" s="7">
        <v>1426.0</v>
      </c>
      <c r="E228" s="7">
        <v>1.3774088E7</v>
      </c>
      <c r="F228" s="7">
        <v>1.372631E7</v>
      </c>
      <c r="G228" s="7">
        <v>1.5635356E7</v>
      </c>
      <c r="H228" s="7">
        <v>4.01513563E8</v>
      </c>
      <c r="I228" s="7">
        <v>585409.0</v>
      </c>
      <c r="J228" s="7">
        <v>452138.0</v>
      </c>
      <c r="K228" s="7">
        <v>133271.0</v>
      </c>
      <c r="L228" s="7">
        <v>27.57</v>
      </c>
      <c r="M228" s="7">
        <v>-0.02</v>
      </c>
      <c r="N228" s="7">
        <v>155197.0</v>
      </c>
      <c r="O228" s="7">
        <v>4317248.0</v>
      </c>
      <c r="P228" s="7" t="s">
        <v>411</v>
      </c>
      <c r="Q228" s="7">
        <v>5003.69</v>
      </c>
      <c r="R228" s="3">
        <f t="shared" si="1"/>
        <v>10000</v>
      </c>
    </row>
    <row r="229" ht="22.5" customHeight="1">
      <c r="B229" s="7" t="s">
        <v>656</v>
      </c>
      <c r="C229" s="7">
        <v>1757.0</v>
      </c>
      <c r="D229" s="7">
        <v>7467.0</v>
      </c>
      <c r="E229" s="7">
        <v>9874684.0</v>
      </c>
      <c r="F229" s="7">
        <v>9762807.0</v>
      </c>
      <c r="G229" s="7">
        <v>1.7684989E7</v>
      </c>
      <c r="H229" s="7">
        <v>1.117243791E9</v>
      </c>
      <c r="I229" s="7">
        <v>502347.0</v>
      </c>
      <c r="J229" s="7">
        <v>454478.0</v>
      </c>
      <c r="K229" s="7">
        <v>47869.0</v>
      </c>
      <c r="L229" s="7">
        <v>36.14</v>
      </c>
      <c r="M229" s="7">
        <v>-0.07</v>
      </c>
      <c r="N229" s="7">
        <v>60411.0</v>
      </c>
      <c r="O229" s="7">
        <v>4253847.0</v>
      </c>
      <c r="P229" s="7" t="s">
        <v>411</v>
      </c>
      <c r="Q229" s="7">
        <v>5003.84</v>
      </c>
      <c r="R229" s="3">
        <f t="shared" si="1"/>
        <v>10000</v>
      </c>
    </row>
    <row r="230" ht="22.5" customHeight="1">
      <c r="B230" s="7" t="s">
        <v>657</v>
      </c>
      <c r="C230" s="7">
        <v>11020.0</v>
      </c>
      <c r="D230" s="7">
        <v>241816.0</v>
      </c>
      <c r="E230" s="7">
        <v>7423923.0</v>
      </c>
      <c r="F230" s="7">
        <v>7236959.0</v>
      </c>
      <c r="G230" s="7">
        <v>2.2774565E7</v>
      </c>
      <c r="H230" s="7">
        <v>2.210614974E9</v>
      </c>
      <c r="I230" s="7">
        <v>387939.0</v>
      </c>
      <c r="J230" s="7">
        <v>365444.0</v>
      </c>
      <c r="K230" s="7">
        <v>22495.0</v>
      </c>
      <c r="L230" s="7">
        <v>52.89</v>
      </c>
      <c r="M230" s="7">
        <v>-0.11</v>
      </c>
      <c r="N230" s="7">
        <v>30533.0</v>
      </c>
      <c r="O230" s="7">
        <v>4720111.0</v>
      </c>
      <c r="P230" s="7" t="s">
        <v>411</v>
      </c>
      <c r="Q230" s="7">
        <v>5003.66</v>
      </c>
      <c r="R230" s="3">
        <f t="shared" si="1"/>
        <v>10000</v>
      </c>
    </row>
    <row r="231" ht="22.5" customHeight="1">
      <c r="B231" s="7" t="s">
        <v>658</v>
      </c>
      <c r="C231" s="7">
        <v>540.0</v>
      </c>
      <c r="D231" s="7">
        <v>6657.0</v>
      </c>
      <c r="E231" s="7">
        <v>1.6051443E7</v>
      </c>
      <c r="F231" s="7">
        <v>1.5727667E7</v>
      </c>
      <c r="G231" s="7">
        <v>2.0984621E7</v>
      </c>
      <c r="H231" s="7">
        <v>8.71332034E8</v>
      </c>
      <c r="I231" s="7">
        <v>420979.0</v>
      </c>
      <c r="J231" s="7">
        <v>297774.0</v>
      </c>
      <c r="K231" s="7">
        <v>123205.0</v>
      </c>
      <c r="L231" s="7">
        <v>44.1</v>
      </c>
      <c r="M231" s="7">
        <v>-0.05</v>
      </c>
      <c r="N231" s="7">
        <v>152855.0</v>
      </c>
      <c r="O231" s="7">
        <v>4893595.0</v>
      </c>
      <c r="P231" s="7" t="s">
        <v>411</v>
      </c>
      <c r="Q231" s="7">
        <v>5003.74</v>
      </c>
      <c r="R231" s="3">
        <f t="shared" si="1"/>
        <v>10000</v>
      </c>
    </row>
    <row r="232" ht="22.5" customHeight="1">
      <c r="B232" s="7" t="s">
        <v>595</v>
      </c>
      <c r="C232" s="7">
        <v>484.0</v>
      </c>
      <c r="D232" s="7">
        <v>772779.0</v>
      </c>
      <c r="E232" s="7">
        <v>2.5425526E7</v>
      </c>
      <c r="F232" s="7">
        <v>2.4886083E7</v>
      </c>
      <c r="G232" s="7">
        <v>3.2209627E7</v>
      </c>
      <c r="H232" s="7">
        <v>8.66647871E8</v>
      </c>
      <c r="I232" s="7">
        <v>675881.0</v>
      </c>
      <c r="J232" s="7">
        <v>522932.0</v>
      </c>
      <c r="K232" s="7">
        <v>152949.0</v>
      </c>
      <c r="L232" s="7">
        <v>35.72</v>
      </c>
      <c r="M232" s="7">
        <v>-0.04</v>
      </c>
      <c r="N232" s="7">
        <v>182229.0</v>
      </c>
      <c r="O232" s="7">
        <v>1.5177563E7</v>
      </c>
      <c r="P232" s="7" t="s">
        <v>411</v>
      </c>
      <c r="Q232" s="7">
        <v>5003.87</v>
      </c>
      <c r="R232" s="3">
        <f t="shared" si="1"/>
        <v>10000</v>
      </c>
    </row>
    <row r="233" ht="22.5" customHeight="1">
      <c r="B233" s="7" t="s">
        <v>659</v>
      </c>
      <c r="C233" s="7">
        <v>1200.0</v>
      </c>
      <c r="D233" s="7">
        <v>21040.0</v>
      </c>
      <c r="E233" s="7">
        <v>1.9926383E7</v>
      </c>
      <c r="F233" s="7">
        <v>1.9793616E7</v>
      </c>
      <c r="G233" s="7">
        <v>5.3321374E7</v>
      </c>
      <c r="H233" s="7">
        <v>1.904820182E9</v>
      </c>
      <c r="I233" s="7">
        <v>717700.0</v>
      </c>
      <c r="J233" s="7">
        <v>574217.0</v>
      </c>
      <c r="K233" s="7">
        <v>143483.0</v>
      </c>
      <c r="L233" s="7">
        <v>61.1</v>
      </c>
      <c r="M233" s="7">
        <v>-0.05</v>
      </c>
      <c r="N233" s="7">
        <v>173548.0</v>
      </c>
      <c r="O233" s="7">
        <v>7878780.0</v>
      </c>
      <c r="P233" s="7" t="s">
        <v>411</v>
      </c>
      <c r="Q233" s="7">
        <v>5003.62</v>
      </c>
      <c r="R233" s="3">
        <f t="shared" si="1"/>
        <v>10000</v>
      </c>
    </row>
    <row r="234" ht="22.5" customHeight="1">
      <c r="B234" s="7" t="s">
        <v>660</v>
      </c>
      <c r="C234" s="7">
        <v>19830.0</v>
      </c>
      <c r="D234" s="7">
        <v>118320.0</v>
      </c>
      <c r="E234" s="7">
        <v>8745967.0</v>
      </c>
      <c r="F234" s="7">
        <v>8565021.0</v>
      </c>
      <c r="G234" s="7">
        <v>1.6881595E7</v>
      </c>
      <c r="H234" s="7">
        <v>6.749409192E9</v>
      </c>
      <c r="I234" s="7">
        <v>433152.0</v>
      </c>
      <c r="J234" s="7">
        <v>397907.0</v>
      </c>
      <c r="K234" s="7">
        <v>35245.0</v>
      </c>
      <c r="L234" s="7">
        <v>26.06</v>
      </c>
      <c r="M234" s="7">
        <v>-0.08</v>
      </c>
      <c r="N234" s="7">
        <v>44587.0</v>
      </c>
      <c r="O234" s="7">
        <v>4803927.0</v>
      </c>
      <c r="P234" s="7" t="s">
        <v>411</v>
      </c>
      <c r="Q234" s="7">
        <v>5003.75</v>
      </c>
      <c r="R234" s="3">
        <f t="shared" si="1"/>
        <v>10000</v>
      </c>
    </row>
    <row r="235" ht="22.5" customHeight="1">
      <c r="B235" s="7" t="s">
        <v>661</v>
      </c>
      <c r="C235" s="7">
        <v>15000.0</v>
      </c>
      <c r="D235" s="7">
        <v>360625.0</v>
      </c>
      <c r="E235" s="7">
        <v>1.6095286E7</v>
      </c>
      <c r="F235" s="7">
        <v>1.5949143E7</v>
      </c>
      <c r="G235" s="7">
        <v>1.8925945E7</v>
      </c>
      <c r="H235" s="7">
        <v>1.139676672E9</v>
      </c>
      <c r="I235" s="7">
        <v>430660.0</v>
      </c>
      <c r="J235" s="7">
        <v>245833.0</v>
      </c>
      <c r="K235" s="7">
        <v>184827.0</v>
      </c>
      <c r="L235" s="7">
        <v>183.96</v>
      </c>
      <c r="M235" s="7">
        <v>-0.03</v>
      </c>
      <c r="N235" s="7">
        <v>211821.0</v>
      </c>
      <c r="O235" s="7">
        <v>4911107.0</v>
      </c>
      <c r="P235" s="7" t="s">
        <v>411</v>
      </c>
      <c r="Q235" s="7">
        <v>5003.76</v>
      </c>
      <c r="R235" s="3">
        <f t="shared" si="1"/>
        <v>10000</v>
      </c>
    </row>
    <row r="236" ht="22.5" customHeight="1">
      <c r="B236" s="7" t="s">
        <v>662</v>
      </c>
      <c r="C236" s="7">
        <v>1200.0</v>
      </c>
      <c r="D236" s="7">
        <v>21040.0</v>
      </c>
      <c r="E236" s="7">
        <v>1.9692077E7</v>
      </c>
      <c r="F236" s="7">
        <v>1.958622E7</v>
      </c>
      <c r="G236" s="7">
        <v>4.9210496E7</v>
      </c>
      <c r="H236" s="7">
        <v>2.034944148E9</v>
      </c>
      <c r="I236" s="7">
        <v>646510.0</v>
      </c>
      <c r="J236" s="7">
        <v>492271.0</v>
      </c>
      <c r="K236" s="7">
        <v>154239.0</v>
      </c>
      <c r="L236" s="7">
        <v>65.49</v>
      </c>
      <c r="M236" s="7">
        <v>-0.04</v>
      </c>
      <c r="N236" s="7">
        <v>183845.0</v>
      </c>
      <c r="O236" s="7">
        <v>7693507.0</v>
      </c>
      <c r="P236" s="7" t="s">
        <v>411</v>
      </c>
      <c r="Q236" s="7">
        <v>5001.17</v>
      </c>
      <c r="R236" s="3">
        <f t="shared" si="1"/>
        <v>10000</v>
      </c>
    </row>
    <row r="237" ht="22.5" customHeight="1">
      <c r="B237" s="7" t="s">
        <v>615</v>
      </c>
      <c r="C237" s="7">
        <v>639465.0</v>
      </c>
      <c r="D237" s="7">
        <v>5075383.0</v>
      </c>
      <c r="E237" s="7">
        <v>3794290.0</v>
      </c>
      <c r="F237" s="7">
        <v>3518916.0</v>
      </c>
      <c r="G237" s="7">
        <v>4.0673236E7</v>
      </c>
      <c r="H237" s="7">
        <v>1.7797424302E10</v>
      </c>
      <c r="I237" s="7">
        <v>86948.0</v>
      </c>
      <c r="J237" s="7">
        <v>77269.0</v>
      </c>
      <c r="K237" s="7">
        <v>9679.0</v>
      </c>
      <c r="L237" s="7">
        <v>157.55</v>
      </c>
      <c r="M237" s="7">
        <v>-0.14</v>
      </c>
      <c r="N237" s="7">
        <v>17237.0</v>
      </c>
      <c r="O237" s="7">
        <v>7085849.0</v>
      </c>
      <c r="P237" s="7" t="s">
        <v>411</v>
      </c>
      <c r="Q237" s="7">
        <v>5003.64</v>
      </c>
      <c r="R237" s="3">
        <f t="shared" si="1"/>
        <v>10000</v>
      </c>
    </row>
    <row r="238" ht="22.5" customHeight="1">
      <c r="B238" s="7" t="s">
        <v>663</v>
      </c>
      <c r="C238" s="7">
        <v>370686.0</v>
      </c>
      <c r="D238" s="7">
        <v>2575451.0</v>
      </c>
      <c r="E238" s="7">
        <v>6434521.0</v>
      </c>
      <c r="F238" s="7">
        <v>6184391.0</v>
      </c>
      <c r="G238" s="7">
        <v>1.32708197E8</v>
      </c>
      <c r="H238" s="7">
        <v>2.109800472E9</v>
      </c>
      <c r="I238" s="7">
        <v>251744.0</v>
      </c>
      <c r="J238" s="7">
        <v>233354.0</v>
      </c>
      <c r="K238" s="7">
        <v>18390.0</v>
      </c>
      <c r="L238" s="7">
        <v>231.5</v>
      </c>
      <c r="M238" s="7">
        <v>-0.13</v>
      </c>
      <c r="N238" s="7">
        <v>26591.0</v>
      </c>
      <c r="O238" s="7">
        <v>1.1310028E7</v>
      </c>
      <c r="P238" s="7" t="s">
        <v>411</v>
      </c>
      <c r="Q238" s="7">
        <v>5004.78</v>
      </c>
      <c r="R238" s="3">
        <f t="shared" si="1"/>
        <v>10000</v>
      </c>
    </row>
    <row r="239" ht="22.5" customHeight="1">
      <c r="B239" s="7" t="s">
        <v>664</v>
      </c>
      <c r="C239" s="7">
        <v>2475.0</v>
      </c>
      <c r="D239" s="7">
        <v>7596.0</v>
      </c>
      <c r="E239" s="7">
        <v>4517529.0</v>
      </c>
      <c r="F239" s="7">
        <v>4488091.0</v>
      </c>
      <c r="G239" s="7">
        <v>5298540.0</v>
      </c>
      <c r="H239" s="7">
        <v>4.55350915E8</v>
      </c>
      <c r="I239" s="7">
        <v>177365.0</v>
      </c>
      <c r="J239" s="7">
        <v>135016.0</v>
      </c>
      <c r="K239" s="7">
        <v>42349.0</v>
      </c>
      <c r="L239" s="7">
        <v>28.99</v>
      </c>
      <c r="M239" s="7">
        <v>-0.02</v>
      </c>
      <c r="N239" s="7">
        <v>49607.0</v>
      </c>
      <c r="O239" s="7">
        <v>1446902.0</v>
      </c>
      <c r="P239" s="7" t="s">
        <v>411</v>
      </c>
      <c r="Q239" s="7">
        <v>5003.76</v>
      </c>
      <c r="R239" s="3">
        <f t="shared" si="1"/>
        <v>10000</v>
      </c>
    </row>
    <row r="240" ht="22.5" customHeight="1">
      <c r="B240" s="7" t="s">
        <v>665</v>
      </c>
      <c r="C240" s="7">
        <v>36809.0</v>
      </c>
      <c r="D240" s="7">
        <v>142446.0</v>
      </c>
      <c r="E240" s="7">
        <v>7395718.0</v>
      </c>
      <c r="F240" s="7">
        <v>6961710.0</v>
      </c>
      <c r="G240" s="7">
        <v>2.43551753E8</v>
      </c>
      <c r="H240" s="7">
        <v>7.736722848E9</v>
      </c>
      <c r="I240" s="7">
        <v>457785.0</v>
      </c>
      <c r="J240" s="7">
        <v>445284.0</v>
      </c>
      <c r="K240" s="7">
        <v>12501.0</v>
      </c>
      <c r="L240" s="7">
        <v>225.67</v>
      </c>
      <c r="M240" s="7">
        <v>-0.19</v>
      </c>
      <c r="N240" s="7">
        <v>20963.0</v>
      </c>
      <c r="O240" s="7">
        <v>1.1002382E7</v>
      </c>
      <c r="P240" s="7" t="s">
        <v>411</v>
      </c>
      <c r="Q240" s="7">
        <v>5002.26</v>
      </c>
      <c r="R240" s="3">
        <f t="shared" si="1"/>
        <v>10000</v>
      </c>
    </row>
    <row r="241" ht="22.5" customHeight="1">
      <c r="B241" s="7" t="s">
        <v>666</v>
      </c>
      <c r="C241" s="7">
        <v>11244.0</v>
      </c>
      <c r="D241" s="7">
        <v>99730.0</v>
      </c>
      <c r="E241" s="7">
        <v>1.0951538E7</v>
      </c>
      <c r="F241" s="7">
        <v>1.0803052E7</v>
      </c>
      <c r="G241" s="7">
        <v>2.5275951E7</v>
      </c>
      <c r="H241" s="7">
        <v>2.175916196E9</v>
      </c>
      <c r="I241" s="7">
        <v>446113.0</v>
      </c>
      <c r="J241" s="7">
        <v>380428.0</v>
      </c>
      <c r="K241" s="7">
        <v>65685.0</v>
      </c>
      <c r="L241" s="7">
        <v>28.72</v>
      </c>
      <c r="M241" s="7">
        <v>-0.08</v>
      </c>
      <c r="N241" s="7">
        <v>81046.0</v>
      </c>
      <c r="O241" s="7">
        <v>5166343.0</v>
      </c>
      <c r="P241" s="7" t="s">
        <v>411</v>
      </c>
      <c r="Q241" s="7">
        <v>5003.77</v>
      </c>
      <c r="R241" s="3">
        <f t="shared" si="1"/>
        <v>10000</v>
      </c>
    </row>
    <row r="242" ht="22.5" customHeight="1">
      <c r="B242" s="7" t="s">
        <v>613</v>
      </c>
      <c r="C242" s="7">
        <v>660.0</v>
      </c>
      <c r="D242" s="7">
        <v>56654.0</v>
      </c>
      <c r="E242" s="7">
        <v>1.1515926E7</v>
      </c>
      <c r="F242" s="7">
        <v>1.1307461E7</v>
      </c>
      <c r="G242" s="7">
        <v>1.5948337E7</v>
      </c>
      <c r="H242" s="7">
        <v>4.95352874E8</v>
      </c>
      <c r="I242" s="7">
        <v>482764.0</v>
      </c>
      <c r="J242" s="7">
        <v>385841.0</v>
      </c>
      <c r="K242" s="7">
        <v>96923.0</v>
      </c>
      <c r="L242" s="7">
        <v>113.5</v>
      </c>
      <c r="M242" s="7">
        <v>-0.04</v>
      </c>
      <c r="N242" s="7">
        <v>112534.0</v>
      </c>
      <c r="O242" s="7">
        <v>4946027.0</v>
      </c>
      <c r="P242" s="7" t="s">
        <v>411</v>
      </c>
      <c r="Q242" s="7">
        <v>5003.86</v>
      </c>
      <c r="R242" s="3">
        <f t="shared" si="1"/>
        <v>10000</v>
      </c>
    </row>
    <row r="243" ht="22.5" customHeight="1">
      <c r="B243" s="7" t="s">
        <v>667</v>
      </c>
      <c r="C243" s="7">
        <v>528.0</v>
      </c>
      <c r="D243" s="7">
        <v>16401.0</v>
      </c>
      <c r="E243" s="7">
        <v>3.4109381E7</v>
      </c>
      <c r="F243" s="7">
        <v>3.3965863E7</v>
      </c>
      <c r="G243" s="7">
        <v>3.7371069E7</v>
      </c>
      <c r="H243" s="7">
        <v>3.2908324E8</v>
      </c>
      <c r="I243" s="7">
        <v>1166027.0</v>
      </c>
      <c r="J243" s="7">
        <v>898247.0</v>
      </c>
      <c r="K243" s="7">
        <v>267780.0</v>
      </c>
      <c r="L243" s="7">
        <v>97.57</v>
      </c>
      <c r="M243" s="7">
        <v>-0.02</v>
      </c>
      <c r="N243" s="7">
        <v>296699.0</v>
      </c>
      <c r="O243" s="7">
        <v>1.9618558E7</v>
      </c>
      <c r="P243" s="7" t="s">
        <v>411</v>
      </c>
      <c r="Q243" s="7">
        <v>5003.75</v>
      </c>
      <c r="R243" s="3">
        <f t="shared" si="1"/>
        <v>10000</v>
      </c>
    </row>
    <row r="244" ht="22.5" customHeight="1">
      <c r="B244" s="7" t="s">
        <v>668</v>
      </c>
      <c r="C244" s="7">
        <v>23815.0</v>
      </c>
      <c r="D244" s="7">
        <v>47319.0</v>
      </c>
      <c r="E244" s="7">
        <v>1.9498584E7</v>
      </c>
      <c r="F244" s="7">
        <v>1.921256E7</v>
      </c>
      <c r="G244" s="7">
        <v>4.1204808E7</v>
      </c>
      <c r="H244" s="7">
        <v>2.500177443E9</v>
      </c>
      <c r="I244" s="7">
        <v>840124.0</v>
      </c>
      <c r="J244" s="7">
        <v>681224.0</v>
      </c>
      <c r="K244" s="7">
        <v>158900.0</v>
      </c>
      <c r="L244" s="7">
        <v>34.58</v>
      </c>
      <c r="M244" s="7">
        <v>-0.06</v>
      </c>
      <c r="N244" s="7">
        <v>188335.0</v>
      </c>
      <c r="O244" s="7">
        <v>7200267.0</v>
      </c>
      <c r="P244" s="7" t="s">
        <v>411</v>
      </c>
      <c r="Q244" s="7">
        <v>5003.73</v>
      </c>
      <c r="R244" s="3">
        <f t="shared" si="1"/>
        <v>10000</v>
      </c>
    </row>
    <row r="245" ht="22.5" customHeight="1">
      <c r="B245" s="7" t="s">
        <v>593</v>
      </c>
      <c r="C245" s="7">
        <v>400.0</v>
      </c>
      <c r="D245" s="7">
        <v>503685.0</v>
      </c>
      <c r="E245" s="7">
        <v>2.9658223E7</v>
      </c>
      <c r="F245" s="7">
        <v>2.9030256E7</v>
      </c>
      <c r="G245" s="7">
        <v>3.7756191E7</v>
      </c>
      <c r="H245" s="7">
        <v>9.32728666E8</v>
      </c>
      <c r="I245" s="7">
        <v>896420.0</v>
      </c>
      <c r="J245" s="7">
        <v>743692.0</v>
      </c>
      <c r="K245" s="7">
        <v>152728.0</v>
      </c>
      <c r="L245" s="7">
        <v>31.22</v>
      </c>
      <c r="M245" s="7">
        <v>-0.04</v>
      </c>
      <c r="N245" s="7">
        <v>182015.0</v>
      </c>
      <c r="O245" s="7">
        <v>1.9381541E7</v>
      </c>
      <c r="P245" s="7" t="s">
        <v>411</v>
      </c>
      <c r="Q245" s="7">
        <v>5003.61</v>
      </c>
      <c r="R245" s="3">
        <f t="shared" si="1"/>
        <v>10000</v>
      </c>
    </row>
    <row r="246" ht="22.5" customHeight="1">
      <c r="B246" s="7" t="s">
        <v>609</v>
      </c>
      <c r="C246" s="7">
        <v>895911.0</v>
      </c>
      <c r="D246" s="7">
        <v>1.2367186E7</v>
      </c>
      <c r="E246" s="7">
        <v>1297397.0</v>
      </c>
      <c r="F246" s="7">
        <v>1254754.0</v>
      </c>
      <c r="G246" s="7">
        <v>9858134.0</v>
      </c>
      <c r="H246" s="7">
        <v>4.51595528E9</v>
      </c>
      <c r="I246" s="7">
        <v>57792.0</v>
      </c>
      <c r="J246" s="7">
        <v>53522.0</v>
      </c>
      <c r="K246" s="7">
        <v>4270.0</v>
      </c>
      <c r="L246" s="7">
        <v>28.64</v>
      </c>
      <c r="M246" s="7">
        <v>-0.14</v>
      </c>
      <c r="N246" s="7">
        <v>6324.0</v>
      </c>
      <c r="O246" s="7">
        <v>2636396.0</v>
      </c>
      <c r="P246" s="7" t="s">
        <v>411</v>
      </c>
      <c r="Q246" s="7">
        <v>5007.47</v>
      </c>
      <c r="R246" s="3">
        <f t="shared" si="1"/>
        <v>10000</v>
      </c>
    </row>
    <row r="247" ht="22.5" customHeight="1">
      <c r="B247" s="7" t="s">
        <v>669</v>
      </c>
      <c r="C247" s="7">
        <v>1622335.0</v>
      </c>
      <c r="D247" s="7">
        <v>1.3800654E7</v>
      </c>
      <c r="E247" s="7">
        <v>930741.0</v>
      </c>
      <c r="F247" s="7">
        <v>870287.0</v>
      </c>
      <c r="G247" s="7">
        <v>8.8175952E7</v>
      </c>
      <c r="H247" s="7">
        <v>1.9878010948E10</v>
      </c>
      <c r="I247" s="7">
        <v>26781.0</v>
      </c>
      <c r="J247" s="7">
        <v>25257.0</v>
      </c>
      <c r="K247" s="7">
        <v>1524.0</v>
      </c>
      <c r="L247" s="7">
        <v>189.28</v>
      </c>
      <c r="M247" s="7">
        <v>-0.17</v>
      </c>
      <c r="N247" s="7">
        <v>3397.0</v>
      </c>
      <c r="O247" s="7">
        <v>7796644.0</v>
      </c>
      <c r="P247" s="7" t="s">
        <v>411</v>
      </c>
      <c r="Q247" s="7">
        <v>5011.35</v>
      </c>
      <c r="R247" s="3">
        <f t="shared" si="1"/>
        <v>10000</v>
      </c>
    </row>
    <row r="248" ht="22.5" customHeight="1">
      <c r="B248" s="7" t="s">
        <v>671</v>
      </c>
      <c r="C248" s="7">
        <v>1099.0</v>
      </c>
      <c r="D248" s="7">
        <v>3581.0</v>
      </c>
      <c r="E248" s="7">
        <v>2.0144628E7</v>
      </c>
      <c r="F248" s="7">
        <v>2.003499E7</v>
      </c>
      <c r="G248" s="7">
        <v>2.7628506E7</v>
      </c>
      <c r="H248" s="7">
        <v>1.308478065E9</v>
      </c>
      <c r="I248" s="7">
        <v>886407.0</v>
      </c>
      <c r="J248" s="7">
        <v>702569.0</v>
      </c>
      <c r="K248" s="7">
        <v>183838.0</v>
      </c>
      <c r="L248" s="7">
        <v>27.36</v>
      </c>
      <c r="M248" s="7">
        <v>-0.04</v>
      </c>
      <c r="N248" s="7">
        <v>212227.0</v>
      </c>
      <c r="O248" s="7">
        <v>7370802.0</v>
      </c>
      <c r="P248" s="7" t="s">
        <v>411</v>
      </c>
      <c r="Q248" s="7">
        <v>5004.0</v>
      </c>
      <c r="R248" s="3">
        <f t="shared" si="1"/>
        <v>10000</v>
      </c>
    </row>
    <row r="249" ht="22.5" customHeight="1">
      <c r="B249" s="7" t="s">
        <v>672</v>
      </c>
      <c r="C249" s="7">
        <v>2365.0</v>
      </c>
      <c r="D249" s="7">
        <v>7606.0</v>
      </c>
      <c r="E249" s="7">
        <v>1.0524149E7</v>
      </c>
      <c r="F249" s="7">
        <v>1.0428895E7</v>
      </c>
      <c r="G249" s="7">
        <v>1.7623242E7</v>
      </c>
      <c r="H249" s="7">
        <v>8.48460635E8</v>
      </c>
      <c r="I249" s="7">
        <v>470165.0</v>
      </c>
      <c r="J249" s="7">
        <v>411141.0</v>
      </c>
      <c r="K249" s="7">
        <v>59024.0</v>
      </c>
      <c r="L249" s="7">
        <v>37.47</v>
      </c>
      <c r="M249" s="7">
        <v>-0.06</v>
      </c>
      <c r="N249" s="7">
        <v>73260.0</v>
      </c>
      <c r="O249" s="7">
        <v>4382726.0</v>
      </c>
      <c r="P249" s="7" t="s">
        <v>411</v>
      </c>
      <c r="Q249" s="7">
        <v>5004.0</v>
      </c>
      <c r="R249" s="3">
        <f t="shared" si="1"/>
        <v>10000</v>
      </c>
    </row>
    <row r="250" ht="22.5" customHeight="1">
      <c r="B250" s="7" t="s">
        <v>674</v>
      </c>
      <c r="C250" s="7">
        <v>985.0</v>
      </c>
      <c r="D250" s="7">
        <v>5613.0</v>
      </c>
      <c r="E250" s="7">
        <v>2.0863069E7</v>
      </c>
      <c r="F250" s="7">
        <v>2.0806107E7</v>
      </c>
      <c r="G250" s="7">
        <v>3.0392611E7</v>
      </c>
      <c r="H250" s="7">
        <v>2.749579191E9</v>
      </c>
      <c r="I250" s="7">
        <v>998054.0</v>
      </c>
      <c r="J250" s="7">
        <v>776014.0</v>
      </c>
      <c r="K250" s="7">
        <v>222040.0</v>
      </c>
      <c r="L250" s="7">
        <v>27.07</v>
      </c>
      <c r="M250" s="7">
        <v>-0.03</v>
      </c>
      <c r="N250" s="7">
        <v>248882.0</v>
      </c>
      <c r="O250" s="7">
        <v>7891241.0</v>
      </c>
      <c r="P250" s="7" t="s">
        <v>411</v>
      </c>
      <c r="Q250" s="7">
        <v>5003.99</v>
      </c>
      <c r="R250" s="3">
        <f t="shared" si="1"/>
        <v>10000</v>
      </c>
    </row>
    <row r="251" ht="22.5" customHeight="1">
      <c r="B251" s="7" t="s">
        <v>675</v>
      </c>
      <c r="C251" s="7">
        <v>1773.0</v>
      </c>
      <c r="D251" s="7">
        <v>6586.0</v>
      </c>
      <c r="E251" s="7">
        <v>1.4305633E7</v>
      </c>
      <c r="F251" s="7">
        <v>1.4304662E7</v>
      </c>
      <c r="G251" s="7">
        <v>1.4505498E7</v>
      </c>
      <c r="H251" s="7">
        <v>6.443353058E9</v>
      </c>
      <c r="I251" s="7">
        <v>307208.0</v>
      </c>
      <c r="J251" s="7">
        <v>145642.0</v>
      </c>
      <c r="K251" s="7">
        <v>161566.0</v>
      </c>
      <c r="L251" s="7">
        <v>62.28</v>
      </c>
      <c r="M251" s="7">
        <v>0.0</v>
      </c>
      <c r="N251" s="7">
        <v>184355.0</v>
      </c>
      <c r="O251" s="7">
        <v>5042595.0</v>
      </c>
      <c r="P251" s="7" t="s">
        <v>411</v>
      </c>
      <c r="Q251" s="7">
        <v>5004.01</v>
      </c>
      <c r="R251" s="3">
        <f t="shared" si="1"/>
        <v>10000</v>
      </c>
    </row>
    <row r="252" ht="22.5" customHeight="1">
      <c r="B252" s="7" t="s">
        <v>676</v>
      </c>
      <c r="C252" s="7">
        <v>210.0</v>
      </c>
      <c r="D252" s="7">
        <v>2850.0</v>
      </c>
      <c r="E252" s="7">
        <v>2.0210694E7</v>
      </c>
      <c r="F252" s="7">
        <v>2.0121344E7</v>
      </c>
      <c r="G252" s="7">
        <v>2.2807803E7</v>
      </c>
      <c r="H252" s="7">
        <v>2.69270555E8</v>
      </c>
      <c r="I252" s="7">
        <v>820529.0</v>
      </c>
      <c r="J252" s="7">
        <v>572076.0</v>
      </c>
      <c r="K252" s="7">
        <v>248453.0</v>
      </c>
      <c r="L252" s="7">
        <v>55.67</v>
      </c>
      <c r="M252" s="7">
        <v>-0.02</v>
      </c>
      <c r="N252" s="7">
        <v>273743.0</v>
      </c>
      <c r="O252" s="7">
        <v>7726183.0</v>
      </c>
      <c r="P252" s="7" t="s">
        <v>411</v>
      </c>
      <c r="Q252" s="7">
        <v>5003.99</v>
      </c>
      <c r="R252" s="3">
        <f t="shared" si="1"/>
        <v>10000</v>
      </c>
    </row>
    <row r="253" ht="22.5" customHeight="1">
      <c r="B253" s="7" t="s">
        <v>677</v>
      </c>
      <c r="C253" s="7">
        <v>9612.0</v>
      </c>
      <c r="D253" s="7">
        <v>210000.0</v>
      </c>
      <c r="E253" s="7">
        <v>6723917.0</v>
      </c>
      <c r="F253" s="7">
        <v>6555654.0</v>
      </c>
      <c r="G253" s="7">
        <v>2.0218491E7</v>
      </c>
      <c r="H253" s="7">
        <v>1.879430357E9</v>
      </c>
      <c r="I253" s="7">
        <v>336707.0</v>
      </c>
      <c r="J253" s="7">
        <v>314228.0</v>
      </c>
      <c r="K253" s="7">
        <v>22479.0</v>
      </c>
      <c r="L253" s="7">
        <v>52.38</v>
      </c>
      <c r="M253" s="7">
        <v>-0.1</v>
      </c>
      <c r="N253" s="7">
        <v>30520.0</v>
      </c>
      <c r="O253" s="7">
        <v>3939321.0</v>
      </c>
      <c r="P253" s="7" t="s">
        <v>411</v>
      </c>
      <c r="Q253" s="7">
        <v>5003.96</v>
      </c>
      <c r="R253" s="3">
        <f t="shared" si="1"/>
        <v>10000</v>
      </c>
    </row>
    <row r="254" ht="22.5" customHeight="1">
      <c r="B254" s="7" t="s">
        <v>583</v>
      </c>
      <c r="C254" s="7">
        <v>11020.0</v>
      </c>
      <c r="D254" s="7">
        <v>241816.0</v>
      </c>
      <c r="E254" s="7">
        <v>7188580.0</v>
      </c>
      <c r="F254" s="7">
        <v>7013569.0</v>
      </c>
      <c r="G254" s="7">
        <v>2.1546249E7</v>
      </c>
      <c r="H254" s="7">
        <v>2.107624626E9</v>
      </c>
      <c r="I254" s="7">
        <v>364285.0</v>
      </c>
      <c r="J254" s="7">
        <v>341890.0</v>
      </c>
      <c r="K254" s="7">
        <v>22395.0</v>
      </c>
      <c r="L254" s="7">
        <v>51.21</v>
      </c>
      <c r="M254" s="7">
        <v>-0.1</v>
      </c>
      <c r="N254" s="7">
        <v>30436.0</v>
      </c>
      <c r="O254" s="7">
        <v>4513579.0</v>
      </c>
      <c r="P254" s="7" t="s">
        <v>411</v>
      </c>
      <c r="Q254" s="7">
        <v>5004.26</v>
      </c>
      <c r="R254" s="3">
        <f t="shared" si="1"/>
        <v>10000</v>
      </c>
    </row>
    <row r="255" ht="22.5" customHeight="1">
      <c r="B255" s="7" t="s">
        <v>678</v>
      </c>
      <c r="C255" s="7">
        <v>126152.0</v>
      </c>
      <c r="D255" s="7">
        <v>1297025.0</v>
      </c>
      <c r="E255" s="7">
        <v>6997268.0</v>
      </c>
      <c r="F255" s="7">
        <v>4528005.0</v>
      </c>
      <c r="G255" s="7">
        <v>4.19831723E8</v>
      </c>
      <c r="H255" s="7">
        <v>1.2888075149E10</v>
      </c>
      <c r="I255" s="7">
        <v>184508.0</v>
      </c>
      <c r="J255" s="7">
        <v>175968.0</v>
      </c>
      <c r="K255" s="7">
        <v>8540.0</v>
      </c>
      <c r="L255" s="7">
        <v>479.05</v>
      </c>
      <c r="M255" s="7">
        <v>-0.19</v>
      </c>
      <c r="N255" s="7">
        <v>16609.0</v>
      </c>
      <c r="O255" s="7">
        <v>4.6069383E7</v>
      </c>
      <c r="P255" s="7" t="s">
        <v>411</v>
      </c>
      <c r="Q255" s="7">
        <v>5003.79</v>
      </c>
      <c r="R255" s="3">
        <f t="shared" si="1"/>
        <v>10000</v>
      </c>
    </row>
    <row r="256" ht="22.5" customHeight="1">
      <c r="B256" s="7" t="s">
        <v>679</v>
      </c>
      <c r="C256" s="7">
        <v>12257.0</v>
      </c>
      <c r="D256" s="7">
        <v>69473.0</v>
      </c>
      <c r="E256" s="7">
        <v>9222330.0</v>
      </c>
      <c r="F256" s="7">
        <v>9090108.0</v>
      </c>
      <c r="G256" s="7">
        <v>2.0979108E7</v>
      </c>
      <c r="H256" s="7">
        <v>3.530033985E9</v>
      </c>
      <c r="I256" s="7">
        <v>502857.0</v>
      </c>
      <c r="J256" s="7">
        <v>460501.0</v>
      </c>
      <c r="K256" s="7">
        <v>42356.0</v>
      </c>
      <c r="L256" s="7">
        <v>27.18</v>
      </c>
      <c r="M256" s="7">
        <v>-0.11</v>
      </c>
      <c r="N256" s="7">
        <v>53008.0</v>
      </c>
      <c r="O256" s="7">
        <v>4942401.0</v>
      </c>
      <c r="P256" s="7" t="s">
        <v>411</v>
      </c>
      <c r="Q256" s="7">
        <v>5003.97</v>
      </c>
      <c r="R256" s="3">
        <f t="shared" si="1"/>
        <v>10000</v>
      </c>
    </row>
    <row r="257" ht="22.5" customHeight="1">
      <c r="B257" s="7" t="s">
        <v>680</v>
      </c>
      <c r="C257" s="7">
        <v>506.0</v>
      </c>
      <c r="D257" s="7">
        <v>821838.0</v>
      </c>
      <c r="E257" s="7">
        <v>2.5505237E7</v>
      </c>
      <c r="F257" s="7">
        <v>2.4974435E7</v>
      </c>
      <c r="G257" s="7">
        <v>3.2110683E7</v>
      </c>
      <c r="H257" s="7">
        <v>8.85339351E8</v>
      </c>
      <c r="I257" s="7">
        <v>670925.0</v>
      </c>
      <c r="J257" s="7">
        <v>521468.0</v>
      </c>
      <c r="K257" s="7">
        <v>149457.0</v>
      </c>
      <c r="L257" s="7">
        <v>36.49</v>
      </c>
      <c r="M257" s="7">
        <v>-0.04</v>
      </c>
      <c r="N257" s="7">
        <v>178914.0</v>
      </c>
      <c r="O257" s="7">
        <v>1.5181451E7</v>
      </c>
      <c r="P257" s="7" t="s">
        <v>411</v>
      </c>
      <c r="Q257" s="7">
        <v>5003.97</v>
      </c>
      <c r="R257" s="3">
        <f t="shared" si="1"/>
        <v>10000</v>
      </c>
    </row>
    <row r="258" ht="22.5" customHeight="1">
      <c r="B258" s="7" t="s">
        <v>681</v>
      </c>
      <c r="C258" s="7">
        <v>19384.0</v>
      </c>
      <c r="D258" s="7">
        <v>241034.0</v>
      </c>
      <c r="E258" s="7">
        <v>3.1295886E7</v>
      </c>
      <c r="F258" s="7">
        <v>3.0618724E7</v>
      </c>
      <c r="G258" s="7">
        <v>4.8707729E7</v>
      </c>
      <c r="H258" s="7">
        <v>2.279441382E9</v>
      </c>
      <c r="I258" s="7">
        <v>1225080.0</v>
      </c>
      <c r="J258" s="7">
        <v>1061336.0</v>
      </c>
      <c r="K258" s="7">
        <v>163744.0</v>
      </c>
      <c r="L258" s="7">
        <v>91.89</v>
      </c>
      <c r="M258" s="7">
        <v>-0.05</v>
      </c>
      <c r="N258" s="7">
        <v>192305.0</v>
      </c>
      <c r="O258" s="7">
        <v>2.1507125E7</v>
      </c>
      <c r="P258" s="7" t="s">
        <v>411</v>
      </c>
      <c r="Q258" s="7">
        <v>5003.95</v>
      </c>
      <c r="R258" s="3">
        <f t="shared" si="1"/>
        <v>10000</v>
      </c>
    </row>
    <row r="259" ht="22.5" customHeight="1">
      <c r="B259" s="7" t="s">
        <v>682</v>
      </c>
      <c r="C259" s="7">
        <v>15470.0</v>
      </c>
      <c r="D259" s="7">
        <v>191485.0</v>
      </c>
      <c r="E259" s="7">
        <v>3.3843635E7</v>
      </c>
      <c r="F259" s="7">
        <v>3.3059346E7</v>
      </c>
      <c r="G259" s="7">
        <v>5.4600884E7</v>
      </c>
      <c r="H259" s="7">
        <v>2.46011765E9</v>
      </c>
      <c r="I259" s="7">
        <v>1306534.0</v>
      </c>
      <c r="J259" s="7">
        <v>1129379.0</v>
      </c>
      <c r="K259" s="7">
        <v>177155.0</v>
      </c>
      <c r="L259" s="7">
        <v>86.62</v>
      </c>
      <c r="M259" s="7">
        <v>-0.05</v>
      </c>
      <c r="N259" s="7">
        <v>208691.0</v>
      </c>
      <c r="O259" s="7">
        <v>2.3722497E7</v>
      </c>
      <c r="P259" s="7" t="s">
        <v>411</v>
      </c>
      <c r="Q259" s="7">
        <v>5003.93</v>
      </c>
      <c r="R259" s="3">
        <f t="shared" si="1"/>
        <v>10000</v>
      </c>
    </row>
    <row r="260" ht="22.5" customHeight="1">
      <c r="B260" s="7" t="s">
        <v>683</v>
      </c>
      <c r="C260" s="7">
        <v>1662375.0</v>
      </c>
      <c r="D260" s="7">
        <v>1.3926494E7</v>
      </c>
      <c r="E260" s="7">
        <v>1480380.0</v>
      </c>
      <c r="F260" s="7">
        <v>1393961.0</v>
      </c>
      <c r="G260" s="7">
        <v>5.3367714E7</v>
      </c>
      <c r="H260" s="7">
        <v>2.4556047134E10</v>
      </c>
      <c r="I260" s="7">
        <v>82846.0</v>
      </c>
      <c r="J260" s="7">
        <v>80676.0</v>
      </c>
      <c r="K260" s="7">
        <v>2170.0</v>
      </c>
      <c r="L260" s="7">
        <v>158.33</v>
      </c>
      <c r="M260" s="7">
        <v>-0.2</v>
      </c>
      <c r="N260" s="7">
        <v>4311.0</v>
      </c>
      <c r="O260" s="7">
        <v>4005318.0</v>
      </c>
      <c r="P260" s="7" t="s">
        <v>411</v>
      </c>
      <c r="Q260" s="7">
        <v>5003.68</v>
      </c>
      <c r="R260" s="3">
        <f t="shared" si="1"/>
        <v>10000</v>
      </c>
    </row>
    <row r="261" ht="22.5" customHeight="1">
      <c r="B261" s="7" t="s">
        <v>684</v>
      </c>
      <c r="C261" s="7">
        <v>675.0</v>
      </c>
      <c r="D261" s="7">
        <v>22558.0</v>
      </c>
      <c r="E261" s="7">
        <v>8.7769303E7</v>
      </c>
      <c r="F261" s="7">
        <v>7.1770668E7</v>
      </c>
      <c r="G261" s="7">
        <v>3.83305113E8</v>
      </c>
      <c r="H261" s="7">
        <v>1.822601119E9</v>
      </c>
      <c r="I261" s="7">
        <v>2309848.0</v>
      </c>
      <c r="J261" s="7">
        <v>1562345.0</v>
      </c>
      <c r="K261" s="7">
        <v>747503.0</v>
      </c>
      <c r="L261" s="7">
        <v>32.01</v>
      </c>
      <c r="M261" s="7">
        <v>-0.03</v>
      </c>
      <c r="N261" s="7">
        <v>860370.0</v>
      </c>
      <c r="O261" s="7">
        <v>1.55570554E8</v>
      </c>
      <c r="P261" s="7" t="s">
        <v>411</v>
      </c>
      <c r="Q261" s="7">
        <v>5004.0</v>
      </c>
      <c r="R261" s="3">
        <f t="shared" si="1"/>
        <v>10000</v>
      </c>
    </row>
    <row r="262" ht="22.5" customHeight="1">
      <c r="B262" s="7" t="s">
        <v>685</v>
      </c>
      <c r="C262" s="7">
        <v>290.0</v>
      </c>
      <c r="D262" s="7">
        <v>5152.0</v>
      </c>
      <c r="E262" s="7">
        <v>2.4949011E7</v>
      </c>
      <c r="F262" s="7">
        <v>2.4557892E7</v>
      </c>
      <c r="G262" s="7">
        <v>3.0900155E7</v>
      </c>
      <c r="H262" s="7">
        <v>4.86770106E8</v>
      </c>
      <c r="I262" s="7">
        <v>792015.0</v>
      </c>
      <c r="J262" s="7">
        <v>659024.0</v>
      </c>
      <c r="K262" s="7">
        <v>132991.0</v>
      </c>
      <c r="L262" s="7">
        <v>22.12</v>
      </c>
      <c r="M262" s="7">
        <v>-0.04</v>
      </c>
      <c r="N262" s="7">
        <v>163394.0</v>
      </c>
      <c r="O262" s="7">
        <v>1.2565756E7</v>
      </c>
      <c r="P262" s="7" t="s">
        <v>411</v>
      </c>
      <c r="Q262" s="7">
        <v>5003.98</v>
      </c>
      <c r="R262" s="3">
        <f t="shared" si="1"/>
        <v>10000</v>
      </c>
    </row>
    <row r="263" ht="22.5" customHeight="1">
      <c r="B263" s="7" t="s">
        <v>686</v>
      </c>
      <c r="C263" s="7">
        <v>1200.0</v>
      </c>
      <c r="D263" s="7">
        <v>21040.0</v>
      </c>
      <c r="E263" s="7">
        <v>2.0712163E7</v>
      </c>
      <c r="F263" s="7">
        <v>2.0601499E7</v>
      </c>
      <c r="G263" s="7">
        <v>5.5033492E7</v>
      </c>
      <c r="H263" s="7">
        <v>1.875162827E9</v>
      </c>
      <c r="I263" s="7">
        <v>725437.0</v>
      </c>
      <c r="J263" s="7">
        <v>571246.0</v>
      </c>
      <c r="K263" s="7">
        <v>154191.0</v>
      </c>
      <c r="L263" s="7">
        <v>58.26</v>
      </c>
      <c r="M263" s="7">
        <v>-0.05</v>
      </c>
      <c r="N263" s="7">
        <v>183791.0</v>
      </c>
      <c r="O263" s="7">
        <v>8611938.0</v>
      </c>
      <c r="P263" s="7" t="s">
        <v>411</v>
      </c>
      <c r="Q263" s="7">
        <v>5003.96</v>
      </c>
      <c r="R263" s="3">
        <f t="shared" si="1"/>
        <v>10000</v>
      </c>
    </row>
    <row r="264" ht="22.5" customHeight="1">
      <c r="B264" s="7" t="s">
        <v>689</v>
      </c>
      <c r="C264" s="7">
        <v>1200.0</v>
      </c>
      <c r="D264" s="7">
        <v>21040.0</v>
      </c>
      <c r="E264" s="7">
        <v>1.7783366E7</v>
      </c>
      <c r="F264" s="7">
        <v>1.7696118E7</v>
      </c>
      <c r="G264" s="7">
        <v>4.2716555E7</v>
      </c>
      <c r="H264" s="7">
        <v>1.786818087E9</v>
      </c>
      <c r="I264" s="7">
        <v>522011.0</v>
      </c>
      <c r="J264" s="7">
        <v>364101.0</v>
      </c>
      <c r="K264" s="7">
        <v>157910.0</v>
      </c>
      <c r="L264" s="7">
        <v>65.6</v>
      </c>
      <c r="M264" s="7">
        <v>-0.04</v>
      </c>
      <c r="N264" s="7">
        <v>187315.0</v>
      </c>
      <c r="O264" s="7">
        <v>6174160.0</v>
      </c>
      <c r="P264" s="7" t="s">
        <v>411</v>
      </c>
      <c r="Q264" s="7">
        <v>5004.0</v>
      </c>
      <c r="R264" s="3">
        <f t="shared" si="1"/>
        <v>10000</v>
      </c>
    </row>
    <row r="265" ht="22.5" customHeight="1">
      <c r="B265" s="7" t="s">
        <v>690</v>
      </c>
      <c r="C265" s="7">
        <v>100726.0</v>
      </c>
      <c r="D265" s="7">
        <v>150303.0</v>
      </c>
      <c r="E265" s="7">
        <v>6102961.0</v>
      </c>
      <c r="F265" s="7">
        <v>5954533.0</v>
      </c>
      <c r="G265" s="7">
        <v>2.1843673E7</v>
      </c>
      <c r="H265" s="7">
        <v>1.101762717E10</v>
      </c>
      <c r="I265" s="7">
        <v>258480.0</v>
      </c>
      <c r="J265" s="7">
        <v>221458.0</v>
      </c>
      <c r="K265" s="7">
        <v>37022.0</v>
      </c>
      <c r="L265" s="7">
        <v>85.19</v>
      </c>
      <c r="M265" s="7">
        <v>-0.07</v>
      </c>
      <c r="N265" s="7">
        <v>44460.0</v>
      </c>
      <c r="O265" s="7">
        <v>3361051.0</v>
      </c>
      <c r="P265" s="7" t="s">
        <v>411</v>
      </c>
      <c r="Q265" s="7">
        <v>5003.98</v>
      </c>
      <c r="R265" s="3">
        <f t="shared" si="1"/>
        <v>10000</v>
      </c>
    </row>
    <row r="266" ht="22.5" customHeight="1">
      <c r="B266" s="7" t="s">
        <v>691</v>
      </c>
      <c r="C266" s="7">
        <v>36809.0</v>
      </c>
      <c r="D266" s="7">
        <v>142457.0</v>
      </c>
      <c r="E266" s="7">
        <v>7554681.0</v>
      </c>
      <c r="F266" s="7">
        <v>7103449.0</v>
      </c>
      <c r="G266" s="7">
        <v>2.57744938E8</v>
      </c>
      <c r="H266" s="7">
        <v>7.692439504E9</v>
      </c>
      <c r="I266" s="7">
        <v>446063.0</v>
      </c>
      <c r="J266" s="7">
        <v>433983.0</v>
      </c>
      <c r="K266" s="7">
        <v>12080.0</v>
      </c>
      <c r="L266" s="7">
        <v>211.79</v>
      </c>
      <c r="M266" s="7">
        <v>-0.2</v>
      </c>
      <c r="N266" s="7">
        <v>20561.0</v>
      </c>
      <c r="O266" s="7">
        <v>1.2837135E7</v>
      </c>
      <c r="P266" s="7" t="s">
        <v>411</v>
      </c>
      <c r="Q266" s="7">
        <v>5003.97</v>
      </c>
      <c r="R266" s="3">
        <f t="shared" si="1"/>
        <v>10000</v>
      </c>
    </row>
    <row r="267" ht="22.5" customHeight="1">
      <c r="B267" s="7" t="s">
        <v>692</v>
      </c>
      <c r="C267" s="7">
        <v>18054.0</v>
      </c>
      <c r="D267" s="7">
        <v>227902.0</v>
      </c>
      <c r="E267" s="7">
        <v>2.6050205E7</v>
      </c>
      <c r="F267" s="7">
        <v>2.5481536E7</v>
      </c>
      <c r="G267" s="7">
        <v>4.1313177E7</v>
      </c>
      <c r="H267" s="7">
        <v>1.884360467E9</v>
      </c>
      <c r="I267" s="7">
        <v>948403.0</v>
      </c>
      <c r="J267" s="7">
        <v>784927.0</v>
      </c>
      <c r="K267" s="7">
        <v>163476.0</v>
      </c>
      <c r="L267" s="7">
        <v>82.41</v>
      </c>
      <c r="M267" s="7">
        <v>-0.05</v>
      </c>
      <c r="N267" s="7">
        <v>192063.0</v>
      </c>
      <c r="O267" s="7">
        <v>1.6286886E7</v>
      </c>
      <c r="P267" s="7" t="s">
        <v>411</v>
      </c>
      <c r="Q267" s="7">
        <v>5003.98</v>
      </c>
      <c r="R267" s="3">
        <f t="shared" si="1"/>
        <v>10000</v>
      </c>
    </row>
    <row r="268" ht="22.5" customHeight="1">
      <c r="B268" s="7" t="s">
        <v>693</v>
      </c>
      <c r="C268" s="7">
        <v>529.0</v>
      </c>
      <c r="D268" s="7">
        <v>940160.0</v>
      </c>
      <c r="E268" s="7">
        <v>1.9701445E7</v>
      </c>
      <c r="F268" s="7">
        <v>1.9292943E7</v>
      </c>
      <c r="G268" s="7">
        <v>2.4756831E7</v>
      </c>
      <c r="H268" s="7">
        <v>7.00001276E8</v>
      </c>
      <c r="I268" s="7">
        <v>454304.0</v>
      </c>
      <c r="J268" s="7">
        <v>301946.0</v>
      </c>
      <c r="K268" s="7">
        <v>152358.0</v>
      </c>
      <c r="L268" s="7">
        <v>38.6</v>
      </c>
      <c r="M268" s="7">
        <v>-0.04</v>
      </c>
      <c r="N268" s="7">
        <v>181678.0</v>
      </c>
      <c r="O268" s="7">
        <v>9229295.0</v>
      </c>
      <c r="P268" s="7" t="s">
        <v>411</v>
      </c>
      <c r="Q268" s="7">
        <v>5004.04</v>
      </c>
      <c r="R268" s="3">
        <f t="shared" si="1"/>
        <v>10000</v>
      </c>
    </row>
    <row r="269" ht="22.5" customHeight="1">
      <c r="B269" s="7" t="s">
        <v>694</v>
      </c>
      <c r="C269" s="7">
        <v>820.0</v>
      </c>
      <c r="D269" s="7">
        <v>32021.0</v>
      </c>
      <c r="E269" s="7">
        <v>3.0292779E7</v>
      </c>
      <c r="F269" s="7">
        <v>3.0155813E7</v>
      </c>
      <c r="G269" s="7">
        <v>3.3276608E7</v>
      </c>
      <c r="H269" s="7">
        <v>2.93008494E8</v>
      </c>
      <c r="I269" s="7">
        <v>1004142.0</v>
      </c>
      <c r="J269" s="7">
        <v>770388.0</v>
      </c>
      <c r="K269" s="7">
        <v>233754.0</v>
      </c>
      <c r="L269" s="7">
        <v>167.12</v>
      </c>
      <c r="M269" s="7">
        <v>-0.02</v>
      </c>
      <c r="N269" s="7">
        <v>259696.0</v>
      </c>
      <c r="O269" s="7">
        <v>1.7383509E7</v>
      </c>
      <c r="P269" s="7" t="s">
        <v>411</v>
      </c>
      <c r="Q269" s="7">
        <v>5003.98</v>
      </c>
      <c r="R269" s="3">
        <f t="shared" si="1"/>
        <v>10000</v>
      </c>
    </row>
    <row r="270" ht="22.5" customHeight="1">
      <c r="B270" s="7" t="s">
        <v>695</v>
      </c>
      <c r="C270" s="7">
        <v>1757.0</v>
      </c>
      <c r="D270" s="7">
        <v>7466.0</v>
      </c>
      <c r="E270" s="7">
        <v>1.1059102E7</v>
      </c>
      <c r="F270" s="7">
        <v>1.0938267E7</v>
      </c>
      <c r="G270" s="7">
        <v>1.8964567E7</v>
      </c>
      <c r="H270" s="7">
        <v>1.250489098E9</v>
      </c>
      <c r="I270" s="7">
        <v>523925.0</v>
      </c>
      <c r="J270" s="7">
        <v>463930.0</v>
      </c>
      <c r="K270" s="7">
        <v>59995.0</v>
      </c>
      <c r="L270" s="7">
        <v>36.16</v>
      </c>
      <c r="M270" s="7">
        <v>-0.06</v>
      </c>
      <c r="N270" s="7">
        <v>75927.0</v>
      </c>
      <c r="O270" s="7">
        <v>4214863.0</v>
      </c>
      <c r="P270" s="7" t="s">
        <v>411</v>
      </c>
      <c r="Q270" s="7">
        <v>5004.0</v>
      </c>
      <c r="R270" s="3">
        <f t="shared" si="1"/>
        <v>10000</v>
      </c>
    </row>
    <row r="271" ht="22.5" customHeight="1">
      <c r="B271" s="7" t="s">
        <v>696</v>
      </c>
      <c r="C271" s="7">
        <v>625.0</v>
      </c>
      <c r="D271" s="7">
        <v>17432.0</v>
      </c>
      <c r="E271" s="7">
        <v>9.4927795E7</v>
      </c>
      <c r="F271" s="7">
        <v>8.0689837E7</v>
      </c>
      <c r="G271" s="7">
        <v>4.28626092E8</v>
      </c>
      <c r="H271" s="7">
        <v>1.86247572E9</v>
      </c>
      <c r="I271" s="7">
        <v>2796368.0</v>
      </c>
      <c r="J271" s="7">
        <v>2027185.0</v>
      </c>
      <c r="K271" s="7">
        <v>769183.0</v>
      </c>
      <c r="L271" s="7">
        <v>27.42</v>
      </c>
      <c r="M271" s="7">
        <v>-0.03</v>
      </c>
      <c r="N271" s="7">
        <v>881275.0</v>
      </c>
      <c r="O271" s="7">
        <v>1.9000899E8</v>
      </c>
      <c r="P271" s="7" t="s">
        <v>411</v>
      </c>
      <c r="Q271" s="7">
        <v>5003.97</v>
      </c>
      <c r="R271" s="3">
        <f t="shared" si="1"/>
        <v>10000</v>
      </c>
    </row>
    <row r="272" ht="22.5" customHeight="1">
      <c r="B272" s="7" t="s">
        <v>697</v>
      </c>
      <c r="C272" s="7">
        <v>1000.0</v>
      </c>
      <c r="D272" s="7">
        <v>55525.0</v>
      </c>
      <c r="E272" s="7">
        <v>1.7754303E7</v>
      </c>
      <c r="F272" s="7">
        <v>1.7564461E7</v>
      </c>
      <c r="G272" s="7">
        <v>2.3167042E7</v>
      </c>
      <c r="H272" s="7">
        <v>3.25269785E8</v>
      </c>
      <c r="I272" s="7">
        <v>603881.0</v>
      </c>
      <c r="J272" s="7">
        <v>379806.0</v>
      </c>
      <c r="K272" s="7">
        <v>224075.0</v>
      </c>
      <c r="L272" s="7">
        <v>288.9</v>
      </c>
      <c r="M272" s="7">
        <v>-0.02</v>
      </c>
      <c r="N272" s="7">
        <v>249917.0</v>
      </c>
      <c r="O272" s="7">
        <v>5927112.0</v>
      </c>
      <c r="P272" s="7" t="s">
        <v>411</v>
      </c>
      <c r="Q272" s="7">
        <v>5003.95</v>
      </c>
      <c r="R272" s="3">
        <f t="shared" si="1"/>
        <v>10000</v>
      </c>
    </row>
    <row r="273" ht="22.5" customHeight="1">
      <c r="B273" s="7" t="s">
        <v>698</v>
      </c>
      <c r="C273" s="7">
        <v>1559925.0</v>
      </c>
      <c r="D273" s="7">
        <v>8698893.0</v>
      </c>
      <c r="E273" s="7">
        <v>1052784.0</v>
      </c>
      <c r="F273" s="7">
        <v>938503.0</v>
      </c>
      <c r="G273" s="7">
        <v>6.2110013E7</v>
      </c>
      <c r="H273" s="7">
        <v>1.6665934072E10</v>
      </c>
      <c r="I273" s="7">
        <v>28617.0</v>
      </c>
      <c r="J273" s="7">
        <v>26726.0</v>
      </c>
      <c r="K273" s="7">
        <v>1891.0</v>
      </c>
      <c r="L273" s="7">
        <v>874.38</v>
      </c>
      <c r="M273" s="7">
        <v>-0.2</v>
      </c>
      <c r="N273" s="7">
        <v>4037.0</v>
      </c>
      <c r="O273" s="7">
        <v>8615875.0</v>
      </c>
      <c r="P273" s="7" t="s">
        <v>411</v>
      </c>
      <c r="Q273" s="7">
        <v>5003.76</v>
      </c>
      <c r="R273" s="3">
        <f t="shared" si="1"/>
        <v>10000</v>
      </c>
    </row>
    <row r="274" ht="22.5" customHeight="1">
      <c r="B274" s="7" t="s">
        <v>699</v>
      </c>
      <c r="C274" s="7">
        <v>105.0</v>
      </c>
      <c r="D274" s="7">
        <v>42884.0</v>
      </c>
      <c r="E274" s="7">
        <v>4.0569541E7</v>
      </c>
      <c r="F274" s="7">
        <v>4.0171088E7</v>
      </c>
      <c r="G274" s="7">
        <v>4.8040661E7</v>
      </c>
      <c r="H274" s="7">
        <v>2.64824193E8</v>
      </c>
      <c r="I274" s="7">
        <v>1524886.0</v>
      </c>
      <c r="J274" s="7">
        <v>1302523.0</v>
      </c>
      <c r="K274" s="7">
        <v>222363.0</v>
      </c>
      <c r="L274" s="7">
        <v>20.26</v>
      </c>
      <c r="M274" s="7">
        <v>-0.04</v>
      </c>
      <c r="N274" s="7">
        <v>274821.0</v>
      </c>
      <c r="O274" s="7">
        <v>1.8984919E7</v>
      </c>
      <c r="P274" s="7" t="s">
        <v>411</v>
      </c>
      <c r="Q274" s="7">
        <v>5003.98</v>
      </c>
      <c r="R274" s="3">
        <f t="shared" si="1"/>
        <v>10000</v>
      </c>
    </row>
    <row r="275" ht="22.5" customHeight="1">
      <c r="B275" s="7" t="s">
        <v>700</v>
      </c>
      <c r="C275" s="7">
        <v>11020.0</v>
      </c>
      <c r="D275" s="7">
        <v>241816.0</v>
      </c>
      <c r="E275" s="7">
        <v>7733544.0</v>
      </c>
      <c r="F275" s="7">
        <v>7540990.0</v>
      </c>
      <c r="G275" s="7">
        <v>2.3814601E7</v>
      </c>
      <c r="H275" s="7">
        <v>2.264349031E9</v>
      </c>
      <c r="I275" s="7">
        <v>416517.0</v>
      </c>
      <c r="J275" s="7">
        <v>394029.0</v>
      </c>
      <c r="K275" s="7">
        <v>22488.0</v>
      </c>
      <c r="L275" s="7">
        <v>52.37</v>
      </c>
      <c r="M275" s="7">
        <v>-0.11</v>
      </c>
      <c r="N275" s="7">
        <v>30527.0</v>
      </c>
      <c r="O275" s="7">
        <v>4958046.0</v>
      </c>
      <c r="P275" s="7" t="s">
        <v>411</v>
      </c>
      <c r="Q275" s="7">
        <v>5003.97</v>
      </c>
      <c r="R275" s="3">
        <f t="shared" si="1"/>
        <v>10000</v>
      </c>
    </row>
    <row r="276" ht="22.5" customHeight="1">
      <c r="B276" s="7" t="s">
        <v>701</v>
      </c>
      <c r="C276" s="7">
        <v>2565.0</v>
      </c>
      <c r="D276" s="7">
        <v>8254.0</v>
      </c>
      <c r="E276" s="7">
        <v>1.5229746E7</v>
      </c>
      <c r="F276" s="7">
        <v>1.509723E7</v>
      </c>
      <c r="G276" s="7">
        <v>2.3032513E7</v>
      </c>
      <c r="H276" s="7">
        <v>1.330141554E9</v>
      </c>
      <c r="I276" s="7">
        <v>549218.0</v>
      </c>
      <c r="J276" s="7">
        <v>437455.0</v>
      </c>
      <c r="K276" s="7">
        <v>111763.0</v>
      </c>
      <c r="L276" s="7">
        <v>36.73</v>
      </c>
      <c r="M276" s="7">
        <v>-0.05</v>
      </c>
      <c r="N276" s="7">
        <v>139291.0</v>
      </c>
      <c r="O276" s="7">
        <v>4296788.0</v>
      </c>
      <c r="P276" s="7" t="s">
        <v>411</v>
      </c>
      <c r="Q276" s="7">
        <v>5003.98</v>
      </c>
      <c r="R276" s="3">
        <f t="shared" si="1"/>
        <v>10000</v>
      </c>
    </row>
    <row r="277" ht="22.5" customHeight="1">
      <c r="B277" s="7" t="s">
        <v>702</v>
      </c>
      <c r="C277" s="7">
        <v>556920.0</v>
      </c>
      <c r="D277" s="7">
        <v>7956684.0</v>
      </c>
      <c r="E277" s="7">
        <v>4894775.0</v>
      </c>
      <c r="F277" s="7">
        <v>4740517.0</v>
      </c>
      <c r="G277" s="7">
        <v>6056194.0</v>
      </c>
      <c r="H277" s="7">
        <v>1.5710494951E10</v>
      </c>
      <c r="I277" s="7">
        <v>164199.0</v>
      </c>
      <c r="J277" s="7">
        <v>115355.0</v>
      </c>
      <c r="K277" s="7">
        <v>48844.0</v>
      </c>
      <c r="L277" s="7">
        <v>45.93</v>
      </c>
      <c r="M277" s="7">
        <v>-0.02</v>
      </c>
      <c r="N277" s="7">
        <v>55734.0</v>
      </c>
      <c r="O277" s="7">
        <v>2102877.0</v>
      </c>
      <c r="P277" s="7" t="s">
        <v>411</v>
      </c>
      <c r="Q277" s="7">
        <v>5003.79</v>
      </c>
      <c r="R277" s="3">
        <f t="shared" si="1"/>
        <v>10000</v>
      </c>
    </row>
    <row r="278" ht="22.5" customHeight="1">
      <c r="B278" s="7" t="s">
        <v>703</v>
      </c>
      <c r="C278" s="7">
        <v>84270.0</v>
      </c>
      <c r="D278" s="7">
        <v>125809.0</v>
      </c>
      <c r="E278" s="7">
        <v>6474640.0</v>
      </c>
      <c r="F278" s="7">
        <v>6323384.0</v>
      </c>
      <c r="G278" s="7">
        <v>2.275636E7</v>
      </c>
      <c r="H278" s="7">
        <v>1.036127031E10</v>
      </c>
      <c r="I278" s="7">
        <v>288584.0</v>
      </c>
      <c r="J278" s="7">
        <v>249002.0</v>
      </c>
      <c r="K278" s="7">
        <v>39582.0</v>
      </c>
      <c r="L278" s="7">
        <v>82.58</v>
      </c>
      <c r="M278" s="7">
        <v>-0.07</v>
      </c>
      <c r="N278" s="7">
        <v>46919.0</v>
      </c>
      <c r="O278" s="7">
        <v>3652287.0</v>
      </c>
      <c r="P278" s="7" t="s">
        <v>411</v>
      </c>
      <c r="Q278" s="7">
        <v>5003.96</v>
      </c>
      <c r="R278" s="3">
        <f t="shared" si="1"/>
        <v>10000</v>
      </c>
    </row>
    <row r="279" ht="22.5" customHeight="1">
      <c r="B279" s="7" t="s">
        <v>704</v>
      </c>
      <c r="C279" s="7">
        <v>1333.0</v>
      </c>
      <c r="D279" s="7">
        <v>5326.0</v>
      </c>
      <c r="E279" s="7">
        <v>2.2316729E7</v>
      </c>
      <c r="F279" s="7">
        <v>2.2100178E7</v>
      </c>
      <c r="G279" s="7">
        <v>3.6072618E7</v>
      </c>
      <c r="H279" s="7">
        <v>1.608715098E9</v>
      </c>
      <c r="I279" s="7">
        <v>1162158.0</v>
      </c>
      <c r="J279" s="7">
        <v>1013328.0</v>
      </c>
      <c r="K279" s="7">
        <v>148830.0</v>
      </c>
      <c r="L279" s="7">
        <v>23.64</v>
      </c>
      <c r="M279" s="7">
        <v>-0.05</v>
      </c>
      <c r="N279" s="7">
        <v>178597.0</v>
      </c>
      <c r="O279" s="7">
        <v>8604663.0</v>
      </c>
      <c r="P279" s="7" t="s">
        <v>411</v>
      </c>
      <c r="Q279" s="7">
        <v>5003.97</v>
      </c>
      <c r="R279" s="3">
        <f t="shared" si="1"/>
        <v>10000</v>
      </c>
    </row>
    <row r="280" ht="22.5" customHeight="1">
      <c r="B280" s="7" t="s">
        <v>705</v>
      </c>
      <c r="C280" s="7">
        <v>70899.0</v>
      </c>
      <c r="D280" s="7">
        <v>2799064.0</v>
      </c>
      <c r="E280" s="7">
        <v>1110752.0</v>
      </c>
      <c r="F280" s="7">
        <v>1069365.0</v>
      </c>
      <c r="G280" s="7">
        <v>3083352.0</v>
      </c>
      <c r="H280" s="7">
        <v>4.898299139E9</v>
      </c>
      <c r="I280" s="7">
        <v>43893.0</v>
      </c>
      <c r="J280" s="7">
        <v>37898.0</v>
      </c>
      <c r="K280" s="7">
        <v>5995.0</v>
      </c>
      <c r="L280" s="7">
        <v>35.94</v>
      </c>
      <c r="M280" s="7">
        <v>-0.11</v>
      </c>
      <c r="N280" s="7">
        <v>7989.0</v>
      </c>
      <c r="O280" s="7">
        <v>530152.0</v>
      </c>
      <c r="P280" s="7" t="s">
        <v>411</v>
      </c>
      <c r="Q280" s="7">
        <v>5004.92</v>
      </c>
      <c r="R280" s="3">
        <f t="shared" si="1"/>
        <v>10000</v>
      </c>
    </row>
    <row r="281" ht="22.5" customHeight="1">
      <c r="B281" s="7" t="s">
        <v>581</v>
      </c>
      <c r="C281" s="7">
        <v>400.0</v>
      </c>
      <c r="D281" s="7">
        <v>30623.0</v>
      </c>
      <c r="E281" s="7">
        <v>1.7086806E7</v>
      </c>
      <c r="F281" s="7">
        <v>1.6620784E7</v>
      </c>
      <c r="G281" s="7">
        <v>2.1898204E7</v>
      </c>
      <c r="H281" s="7">
        <v>4.67273083E8</v>
      </c>
      <c r="I281" s="7">
        <v>429088.0</v>
      </c>
      <c r="J281" s="7">
        <v>283536.0</v>
      </c>
      <c r="K281" s="7">
        <v>145552.0</v>
      </c>
      <c r="L281" s="7">
        <v>77.18</v>
      </c>
      <c r="M281" s="7">
        <v>-0.04</v>
      </c>
      <c r="N281" s="7">
        <v>175035.0</v>
      </c>
      <c r="O281" s="7">
        <v>6119903.0</v>
      </c>
      <c r="P281" s="7" t="s">
        <v>411</v>
      </c>
      <c r="Q281" s="7">
        <v>5003.99</v>
      </c>
      <c r="R281" s="3">
        <f t="shared" si="1"/>
        <v>10000</v>
      </c>
    </row>
    <row r="282" ht="22.5" customHeight="1">
      <c r="B282" s="7" t="s">
        <v>706</v>
      </c>
      <c r="C282" s="7">
        <v>108087.0</v>
      </c>
      <c r="D282" s="7">
        <v>161545.0</v>
      </c>
      <c r="E282" s="7">
        <v>6859092.0</v>
      </c>
      <c r="F282" s="7">
        <v>6692737.0</v>
      </c>
      <c r="G282" s="7">
        <v>2.6093876E7</v>
      </c>
      <c r="H282" s="7">
        <v>1.3382705107E10</v>
      </c>
      <c r="I282" s="7">
        <v>309306.0</v>
      </c>
      <c r="J282" s="7">
        <v>270916.0</v>
      </c>
      <c r="K282" s="7">
        <v>38390.0</v>
      </c>
      <c r="L282" s="7">
        <v>85.2</v>
      </c>
      <c r="M282" s="7">
        <v>-0.08</v>
      </c>
      <c r="N282" s="7">
        <v>45773.0</v>
      </c>
      <c r="O282" s="7">
        <v>4060997.0</v>
      </c>
      <c r="P282" s="7" t="s">
        <v>411</v>
      </c>
      <c r="Q282" s="7">
        <v>5003.97</v>
      </c>
      <c r="R282" s="3">
        <f t="shared" si="1"/>
        <v>10000</v>
      </c>
    </row>
    <row r="283" ht="22.5" customHeight="1">
      <c r="B283" s="7" t="s">
        <v>707</v>
      </c>
      <c r="C283" s="7">
        <v>3750.0</v>
      </c>
      <c r="D283" s="7">
        <v>208955.0</v>
      </c>
      <c r="E283" s="7">
        <v>1.393058E7</v>
      </c>
      <c r="F283" s="7">
        <v>1.3764967E7</v>
      </c>
      <c r="G283" s="7">
        <v>1.6660928E7</v>
      </c>
      <c r="H283" s="7">
        <v>1.99559947E9</v>
      </c>
      <c r="I283" s="7">
        <v>452515.0</v>
      </c>
      <c r="J283" s="7">
        <v>304882.0</v>
      </c>
      <c r="K283" s="7">
        <v>147633.0</v>
      </c>
      <c r="L283" s="7">
        <v>390.05</v>
      </c>
      <c r="M283" s="7">
        <v>-0.03</v>
      </c>
      <c r="N283" s="7">
        <v>169074.0</v>
      </c>
      <c r="O283" s="7">
        <v>4779493.0</v>
      </c>
      <c r="P283" s="7" t="s">
        <v>411</v>
      </c>
      <c r="Q283" s="7">
        <v>5003.85</v>
      </c>
      <c r="R283" s="3">
        <f t="shared" si="1"/>
        <v>10000</v>
      </c>
    </row>
    <row r="284" ht="22.5" customHeight="1">
      <c r="B284" s="7" t="s">
        <v>606</v>
      </c>
      <c r="C284" s="7">
        <v>2279.0</v>
      </c>
      <c r="D284" s="7">
        <v>7000.0</v>
      </c>
      <c r="E284" s="7">
        <v>5505467.0</v>
      </c>
      <c r="F284" s="7">
        <v>5493526.0</v>
      </c>
      <c r="G284" s="7">
        <v>5933945.0</v>
      </c>
      <c r="H284" s="7">
        <v>8.26260815E8</v>
      </c>
      <c r="I284" s="7">
        <v>251313.0</v>
      </c>
      <c r="J284" s="7">
        <v>202330.0</v>
      </c>
      <c r="K284" s="7">
        <v>48983.0</v>
      </c>
      <c r="L284" s="7">
        <v>30.73</v>
      </c>
      <c r="M284" s="7">
        <v>-0.01</v>
      </c>
      <c r="N284" s="7">
        <v>56012.0</v>
      </c>
      <c r="O284" s="7">
        <v>2254840.0</v>
      </c>
      <c r="P284" s="7" t="s">
        <v>411</v>
      </c>
      <c r="Q284" s="7">
        <v>5003.98</v>
      </c>
      <c r="R284" s="3">
        <f t="shared" si="1"/>
        <v>10000</v>
      </c>
    </row>
    <row r="285" ht="22.5" customHeight="1">
      <c r="B285" s="7" t="s">
        <v>708</v>
      </c>
      <c r="C285" s="7">
        <v>72327.0</v>
      </c>
      <c r="D285" s="7">
        <v>1641152.0</v>
      </c>
      <c r="E285" s="7">
        <v>1238805.0</v>
      </c>
      <c r="F285" s="7">
        <v>1205509.0</v>
      </c>
      <c r="G285" s="7">
        <v>3231847.0</v>
      </c>
      <c r="H285" s="7">
        <v>6.823993724E9</v>
      </c>
      <c r="I285" s="7">
        <v>54686.0</v>
      </c>
      <c r="J285" s="7">
        <v>48148.0</v>
      </c>
      <c r="K285" s="7">
        <v>6538.0</v>
      </c>
      <c r="L285" s="7">
        <v>33.23</v>
      </c>
      <c r="M285" s="7">
        <v>-0.1</v>
      </c>
      <c r="N285" s="7">
        <v>8507.0</v>
      </c>
      <c r="O285" s="7">
        <v>567356.0</v>
      </c>
      <c r="P285" s="7" t="s">
        <v>411</v>
      </c>
      <c r="Q285" s="7">
        <v>5004.66</v>
      </c>
      <c r="R285" s="3">
        <f t="shared" si="1"/>
        <v>10000</v>
      </c>
    </row>
    <row r="286" ht="22.5" customHeight="1">
      <c r="B286" s="7" t="s">
        <v>709</v>
      </c>
      <c r="C286" s="7">
        <v>33201.0</v>
      </c>
      <c r="D286" s="7">
        <v>899193.0</v>
      </c>
      <c r="E286" s="7">
        <v>1.5560231E7</v>
      </c>
      <c r="F286" s="7">
        <v>1.5325089E7</v>
      </c>
      <c r="G286" s="7">
        <v>1.9790563E7</v>
      </c>
      <c r="H286" s="7">
        <v>7.79486935E8</v>
      </c>
      <c r="I286" s="7">
        <v>519062.0</v>
      </c>
      <c r="J286" s="7">
        <v>360313.0</v>
      </c>
      <c r="K286" s="7">
        <v>158749.0</v>
      </c>
      <c r="L286" s="7">
        <v>94.8</v>
      </c>
      <c r="M286" s="7">
        <v>-0.03</v>
      </c>
      <c r="N286" s="7">
        <v>185043.0</v>
      </c>
      <c r="O286" s="7">
        <v>4780984.0</v>
      </c>
      <c r="P286" s="7" t="s">
        <v>411</v>
      </c>
      <c r="Q286" s="7">
        <v>5003.96</v>
      </c>
      <c r="R286" s="3">
        <f t="shared" si="1"/>
        <v>10000</v>
      </c>
    </row>
    <row r="287" ht="22.5" customHeight="1">
      <c r="B287" s="7" t="s">
        <v>710</v>
      </c>
      <c r="C287" s="7">
        <v>350.0</v>
      </c>
      <c r="D287" s="7">
        <v>24150.0</v>
      </c>
      <c r="E287" s="7">
        <v>2.9692306E7</v>
      </c>
      <c r="F287" s="7">
        <v>2.9076816E7</v>
      </c>
      <c r="G287" s="7">
        <v>6.7010153E7</v>
      </c>
      <c r="H287" s="7">
        <v>8.1291854E8</v>
      </c>
      <c r="I287" s="7">
        <v>939638.0</v>
      </c>
      <c r="J287" s="7">
        <v>812802.0</v>
      </c>
      <c r="K287" s="7">
        <v>126836.0</v>
      </c>
      <c r="L287" s="7">
        <v>41.47</v>
      </c>
      <c r="M287" s="7">
        <v>-0.05</v>
      </c>
      <c r="N287" s="7">
        <v>157493.0</v>
      </c>
      <c r="O287" s="7">
        <v>1.6898498E7</v>
      </c>
      <c r="P287" s="7" t="s">
        <v>411</v>
      </c>
      <c r="Q287" s="7">
        <v>5003.91</v>
      </c>
      <c r="R287" s="3">
        <f t="shared" si="1"/>
        <v>10000</v>
      </c>
    </row>
    <row r="288" ht="22.5" customHeight="1">
      <c r="B288" s="7" t="s">
        <v>711</v>
      </c>
      <c r="C288" s="7">
        <v>1033.0</v>
      </c>
      <c r="D288" s="7">
        <v>3308.0</v>
      </c>
      <c r="E288" s="7">
        <v>2.2062102E7</v>
      </c>
      <c r="F288" s="7">
        <v>2.1859205E7</v>
      </c>
      <c r="G288" s="7">
        <v>3.177101E7</v>
      </c>
      <c r="H288" s="7">
        <v>1.205071237E9</v>
      </c>
      <c r="I288" s="7">
        <v>1000768.0</v>
      </c>
      <c r="J288" s="7">
        <v>846833.0</v>
      </c>
      <c r="K288" s="7">
        <v>153935.0</v>
      </c>
      <c r="L288" s="7">
        <v>24.02</v>
      </c>
      <c r="M288" s="7">
        <v>-0.06</v>
      </c>
      <c r="N288" s="7">
        <v>183573.0</v>
      </c>
      <c r="O288" s="7">
        <v>9243714.0</v>
      </c>
      <c r="P288" s="7" t="s">
        <v>411</v>
      </c>
      <c r="Q288" s="7">
        <v>5003.99</v>
      </c>
      <c r="R288" s="3">
        <f t="shared" si="1"/>
        <v>10000</v>
      </c>
    </row>
    <row r="289" ht="22.5" customHeight="1">
      <c r="B289" s="7" t="s">
        <v>712</v>
      </c>
      <c r="C289" s="7">
        <v>4229.0</v>
      </c>
      <c r="D289" s="7">
        <v>100397.0</v>
      </c>
      <c r="E289" s="7">
        <v>3.2763412E7</v>
      </c>
      <c r="F289" s="7">
        <v>3.1796474E7</v>
      </c>
      <c r="G289" s="7">
        <v>1.10577917E8</v>
      </c>
      <c r="H289" s="7">
        <v>2.04985882E9</v>
      </c>
      <c r="I289" s="7">
        <v>848501.0</v>
      </c>
      <c r="J289" s="7">
        <v>749679.0</v>
      </c>
      <c r="K289" s="7">
        <v>98822.0</v>
      </c>
      <c r="L289" s="7">
        <v>61.87</v>
      </c>
      <c r="M289" s="7">
        <v>-0.06</v>
      </c>
      <c r="N289" s="7">
        <v>130666.0</v>
      </c>
      <c r="O289" s="7">
        <v>2.1078293E7</v>
      </c>
      <c r="P289" s="7" t="s">
        <v>411</v>
      </c>
      <c r="Q289" s="7">
        <v>5003.94</v>
      </c>
      <c r="R289" s="3">
        <f t="shared" si="1"/>
        <v>10000</v>
      </c>
    </row>
    <row r="290" ht="22.5" customHeight="1">
      <c r="B290" s="7" t="s">
        <v>713</v>
      </c>
      <c r="C290" s="7">
        <v>1444.0</v>
      </c>
      <c r="D290" s="7">
        <v>119491.0</v>
      </c>
      <c r="E290" s="7">
        <v>4.9437239E7</v>
      </c>
      <c r="F290" s="7">
        <v>4.8150482E7</v>
      </c>
      <c r="G290" s="7">
        <v>2.20336564E8</v>
      </c>
      <c r="H290" s="7">
        <v>1.405863819E9</v>
      </c>
      <c r="I290" s="7">
        <v>1070179.0</v>
      </c>
      <c r="J290" s="7">
        <v>911311.0</v>
      </c>
      <c r="K290" s="7">
        <v>158868.0</v>
      </c>
      <c r="L290" s="7">
        <v>58.92</v>
      </c>
      <c r="M290" s="7">
        <v>-0.09</v>
      </c>
      <c r="N290" s="7">
        <v>243240.0</v>
      </c>
      <c r="O290" s="7">
        <v>2.4725992E7</v>
      </c>
      <c r="P290" s="7" t="s">
        <v>411</v>
      </c>
      <c r="Q290" s="7">
        <v>5003.97</v>
      </c>
      <c r="R290" s="3">
        <f t="shared" si="1"/>
        <v>10000</v>
      </c>
    </row>
    <row r="291" ht="22.5" customHeight="1">
      <c r="B291" s="7" t="s">
        <v>714</v>
      </c>
      <c r="C291" s="7">
        <v>25920.0</v>
      </c>
      <c r="D291" s="7">
        <v>562074.0</v>
      </c>
      <c r="E291" s="7">
        <v>1.1286694E7</v>
      </c>
      <c r="F291" s="7">
        <v>1.1113123E7</v>
      </c>
      <c r="G291" s="7">
        <v>1.3755192E7</v>
      </c>
      <c r="H291" s="7">
        <v>2.342711454E9</v>
      </c>
      <c r="I291" s="7">
        <v>370848.0</v>
      </c>
      <c r="J291" s="7">
        <v>268102.0</v>
      </c>
      <c r="K291" s="7">
        <v>102746.0</v>
      </c>
      <c r="L291" s="7">
        <v>477.12</v>
      </c>
      <c r="M291" s="7">
        <v>-0.03</v>
      </c>
      <c r="N291" s="7">
        <v>117367.0</v>
      </c>
      <c r="O291" s="7">
        <v>4909907.0</v>
      </c>
      <c r="P291" s="7" t="s">
        <v>411</v>
      </c>
      <c r="Q291" s="7">
        <v>5003.77</v>
      </c>
      <c r="R291" s="3">
        <f t="shared" si="1"/>
        <v>10000</v>
      </c>
    </row>
    <row r="292" ht="22.5" customHeight="1">
      <c r="B292" s="7" t="s">
        <v>715</v>
      </c>
      <c r="C292" s="7">
        <v>5950.0</v>
      </c>
      <c r="D292" s="7">
        <v>455260.0</v>
      </c>
      <c r="E292" s="7">
        <v>9284985.0</v>
      </c>
      <c r="F292" s="7">
        <v>9202153.0</v>
      </c>
      <c r="G292" s="7">
        <v>1.0484563E7</v>
      </c>
      <c r="H292" s="7">
        <v>2.50332109E8</v>
      </c>
      <c r="I292" s="7">
        <v>186980.0</v>
      </c>
      <c r="J292" s="7">
        <v>105686.0</v>
      </c>
      <c r="K292" s="7">
        <v>81294.0</v>
      </c>
      <c r="L292" s="7">
        <v>876.43</v>
      </c>
      <c r="M292" s="7">
        <v>-0.01</v>
      </c>
      <c r="N292" s="7">
        <v>90361.0</v>
      </c>
      <c r="O292" s="7">
        <v>5270263.0</v>
      </c>
      <c r="P292" s="7" t="s">
        <v>411</v>
      </c>
      <c r="Q292" s="7">
        <v>5003.86</v>
      </c>
      <c r="R292" s="3">
        <f t="shared" si="1"/>
        <v>10000</v>
      </c>
    </row>
    <row r="293" ht="22.5" customHeight="1">
      <c r="B293" s="7" t="s">
        <v>716</v>
      </c>
      <c r="C293" s="7">
        <v>300.0</v>
      </c>
      <c r="D293" s="7">
        <v>6925.0</v>
      </c>
      <c r="E293" s="7">
        <v>4.5498131E7</v>
      </c>
      <c r="F293" s="7">
        <v>4.530883E7</v>
      </c>
      <c r="G293" s="7">
        <v>4.9958004E7</v>
      </c>
      <c r="H293" s="7">
        <v>4.39058018E8</v>
      </c>
      <c r="I293" s="7">
        <v>1567024.0</v>
      </c>
      <c r="J293" s="7">
        <v>1062206.0</v>
      </c>
      <c r="K293" s="7">
        <v>504818.0</v>
      </c>
      <c r="L293" s="7">
        <v>52.35</v>
      </c>
      <c r="M293" s="7">
        <v>-0.02</v>
      </c>
      <c r="N293" s="7">
        <v>561073.0</v>
      </c>
      <c r="O293" s="7">
        <v>1.9221913E7</v>
      </c>
      <c r="P293" s="7" t="s">
        <v>411</v>
      </c>
      <c r="Q293" s="7">
        <v>5003.96</v>
      </c>
      <c r="R293" s="3">
        <f t="shared" si="1"/>
        <v>10000</v>
      </c>
    </row>
    <row r="294" ht="22.5" customHeight="1">
      <c r="B294" s="7" t="s">
        <v>717</v>
      </c>
      <c r="C294" s="7">
        <v>3125.0</v>
      </c>
      <c r="D294" s="7">
        <v>174150.0</v>
      </c>
      <c r="E294" s="7">
        <v>1.4489403E7</v>
      </c>
      <c r="F294" s="7">
        <v>1.4319964E7</v>
      </c>
      <c r="G294" s="7">
        <v>1.7348151E7</v>
      </c>
      <c r="H294" s="7">
        <v>1.957739734E9</v>
      </c>
      <c r="I294" s="7">
        <v>422933.0</v>
      </c>
      <c r="J294" s="7">
        <v>261276.0</v>
      </c>
      <c r="K294" s="7">
        <v>161657.0</v>
      </c>
      <c r="L294" s="7">
        <v>304.26</v>
      </c>
      <c r="M294" s="7">
        <v>-0.03</v>
      </c>
      <c r="N294" s="7">
        <v>184281.0</v>
      </c>
      <c r="O294" s="7">
        <v>4897700.0</v>
      </c>
      <c r="P294" s="7" t="s">
        <v>411</v>
      </c>
      <c r="Q294" s="7">
        <v>5003.91</v>
      </c>
      <c r="R294" s="3">
        <f t="shared" si="1"/>
        <v>10000</v>
      </c>
    </row>
    <row r="295" ht="22.5" customHeight="1">
      <c r="B295" s="7" t="s">
        <v>718</v>
      </c>
      <c r="C295" s="7">
        <v>1200.0</v>
      </c>
      <c r="D295" s="7">
        <v>21040.0</v>
      </c>
      <c r="E295" s="7">
        <v>2.3012027E7</v>
      </c>
      <c r="F295" s="7">
        <v>2.2849484E7</v>
      </c>
      <c r="G295" s="7">
        <v>6.9583632E7</v>
      </c>
      <c r="H295" s="7">
        <v>2.360058209E9</v>
      </c>
      <c r="I295" s="7">
        <v>844315.0</v>
      </c>
      <c r="J295" s="7">
        <v>684857.0</v>
      </c>
      <c r="K295" s="7">
        <v>159458.0</v>
      </c>
      <c r="L295" s="7">
        <v>62.8</v>
      </c>
      <c r="M295" s="7">
        <v>-0.05</v>
      </c>
      <c r="N295" s="7">
        <v>188815.0</v>
      </c>
      <c r="O295" s="7">
        <v>1.0623534E7</v>
      </c>
      <c r="P295" s="7" t="s">
        <v>411</v>
      </c>
      <c r="Q295" s="7">
        <v>5003.93</v>
      </c>
      <c r="R295" s="3">
        <f t="shared" si="1"/>
        <v>10000</v>
      </c>
    </row>
    <row r="296" ht="22.5" customHeight="1">
      <c r="B296" s="7" t="s">
        <v>719</v>
      </c>
      <c r="C296" s="7">
        <v>5460.0</v>
      </c>
      <c r="D296" s="7">
        <v>245882.0</v>
      </c>
      <c r="E296" s="7">
        <v>1.1019388E7</v>
      </c>
      <c r="F296" s="7">
        <v>1.0869383E7</v>
      </c>
      <c r="G296" s="7">
        <v>1.320975E7</v>
      </c>
      <c r="H296" s="7">
        <v>1.067957189E9</v>
      </c>
      <c r="I296" s="7">
        <v>357668.0</v>
      </c>
      <c r="J296" s="7">
        <v>258714.0</v>
      </c>
      <c r="K296" s="7">
        <v>98954.0</v>
      </c>
      <c r="L296" s="7">
        <v>497.05</v>
      </c>
      <c r="M296" s="7">
        <v>-0.03</v>
      </c>
      <c r="N296" s="7">
        <v>112887.0</v>
      </c>
      <c r="O296" s="7">
        <v>4885473.0</v>
      </c>
      <c r="P296" s="7" t="s">
        <v>411</v>
      </c>
      <c r="Q296" s="7">
        <v>5003.86</v>
      </c>
      <c r="R296" s="3">
        <f t="shared" si="1"/>
        <v>10000</v>
      </c>
    </row>
    <row r="297" ht="22.5" customHeight="1">
      <c r="B297" s="7" t="s">
        <v>720</v>
      </c>
      <c r="C297" s="7">
        <v>462.0</v>
      </c>
      <c r="D297" s="7">
        <v>670840.0</v>
      </c>
      <c r="E297" s="7">
        <v>3.0381545E7</v>
      </c>
      <c r="F297" s="7">
        <v>2.9742886E7</v>
      </c>
      <c r="G297" s="7">
        <v>3.8431473E7</v>
      </c>
      <c r="H297" s="7">
        <v>1.006425907E9</v>
      </c>
      <c r="I297" s="7">
        <v>885157.0</v>
      </c>
      <c r="J297" s="7">
        <v>735877.0</v>
      </c>
      <c r="K297" s="7">
        <v>149280.0</v>
      </c>
      <c r="L297" s="7">
        <v>33.8</v>
      </c>
      <c r="M297" s="7">
        <v>-0.04</v>
      </c>
      <c r="N297" s="7">
        <v>178736.0</v>
      </c>
      <c r="O297" s="7">
        <v>2.0151932E7</v>
      </c>
      <c r="P297" s="7" t="s">
        <v>411</v>
      </c>
      <c r="Q297" s="7">
        <v>5004.0</v>
      </c>
      <c r="R297" s="3">
        <f t="shared" si="1"/>
        <v>10000</v>
      </c>
    </row>
    <row r="298" ht="22.5" customHeight="1">
      <c r="B298" s="7" t="s">
        <v>721</v>
      </c>
      <c r="C298" s="7">
        <v>2948.0</v>
      </c>
      <c r="D298" s="7">
        <v>9573.0</v>
      </c>
      <c r="E298" s="7">
        <v>1.0479577E7</v>
      </c>
      <c r="F298" s="7">
        <v>1.0366696E7</v>
      </c>
      <c r="G298" s="7">
        <v>1.8248878E7</v>
      </c>
      <c r="H298" s="7">
        <v>1.120655214E9</v>
      </c>
      <c r="I298" s="7">
        <v>524996.0</v>
      </c>
      <c r="J298" s="7">
        <v>469563.0</v>
      </c>
      <c r="K298" s="7">
        <v>55433.0</v>
      </c>
      <c r="L298" s="7">
        <v>34.28</v>
      </c>
      <c r="M298" s="7">
        <v>-0.06</v>
      </c>
      <c r="N298" s="7">
        <v>69658.0</v>
      </c>
      <c r="O298" s="7">
        <v>4192679.0</v>
      </c>
      <c r="P298" s="7" t="s">
        <v>411</v>
      </c>
      <c r="Q298" s="7">
        <v>5003.98</v>
      </c>
      <c r="R298" s="3">
        <f t="shared" si="1"/>
        <v>10000</v>
      </c>
    </row>
    <row r="299" ht="22.5" customHeight="1">
      <c r="B299" s="7" t="s">
        <v>562</v>
      </c>
      <c r="C299" s="7">
        <v>400.0</v>
      </c>
      <c r="D299" s="7">
        <v>30864.0</v>
      </c>
      <c r="E299" s="7">
        <v>1.8826984E7</v>
      </c>
      <c r="F299" s="7">
        <v>1.8312513E7</v>
      </c>
      <c r="G299" s="7">
        <v>2.4202333E7</v>
      </c>
      <c r="H299" s="7">
        <v>5.0395066E8</v>
      </c>
      <c r="I299" s="7">
        <v>500691.0</v>
      </c>
      <c r="J299" s="7">
        <v>355729.0</v>
      </c>
      <c r="K299" s="7">
        <v>144962.0</v>
      </c>
      <c r="L299" s="7">
        <v>77.41</v>
      </c>
      <c r="M299" s="7">
        <v>-0.05</v>
      </c>
      <c r="N299" s="7">
        <v>174487.0</v>
      </c>
      <c r="O299" s="7">
        <v>7846228.0</v>
      </c>
      <c r="P299" s="7" t="s">
        <v>411</v>
      </c>
      <c r="Q299" s="7">
        <v>5003.95</v>
      </c>
      <c r="R299" s="3">
        <f t="shared" si="1"/>
        <v>10000</v>
      </c>
    </row>
    <row r="300" ht="22.5" customHeight="1">
      <c r="B300" s="7" t="s">
        <v>722</v>
      </c>
      <c r="C300" s="7">
        <v>7200.0</v>
      </c>
      <c r="D300" s="7">
        <v>604890.0</v>
      </c>
      <c r="E300" s="7">
        <v>8817855.0</v>
      </c>
      <c r="F300" s="7">
        <v>8742672.0</v>
      </c>
      <c r="G300" s="7">
        <v>1.0171856E7</v>
      </c>
      <c r="H300" s="7">
        <v>1.88097238E8</v>
      </c>
      <c r="I300" s="7">
        <v>301030.0</v>
      </c>
      <c r="J300" s="7">
        <v>229724.0</v>
      </c>
      <c r="K300" s="7">
        <v>71306.0</v>
      </c>
      <c r="L300" s="7">
        <v>1012.61</v>
      </c>
      <c r="M300" s="7">
        <v>-0.02</v>
      </c>
      <c r="N300" s="7">
        <v>79262.0</v>
      </c>
      <c r="O300" s="7">
        <v>4847950.0</v>
      </c>
      <c r="P300" s="7" t="s">
        <v>411</v>
      </c>
      <c r="Q300" s="7">
        <v>5003.93</v>
      </c>
      <c r="R300" s="3">
        <f t="shared" si="1"/>
        <v>10000</v>
      </c>
    </row>
    <row r="301" ht="22.5" customHeight="1">
      <c r="B301" s="7" t="s">
        <v>723</v>
      </c>
      <c r="C301" s="7">
        <v>294.0</v>
      </c>
      <c r="D301" s="7">
        <v>5292.0</v>
      </c>
      <c r="E301" s="7">
        <v>2.6521951E7</v>
      </c>
      <c r="F301" s="7">
        <v>2.6105434E7</v>
      </c>
      <c r="G301" s="7">
        <v>3.2928723E7</v>
      </c>
      <c r="H301" s="7">
        <v>5.18130211E8</v>
      </c>
      <c r="I301" s="7">
        <v>859501.0</v>
      </c>
      <c r="J301" s="7">
        <v>726293.0</v>
      </c>
      <c r="K301" s="7">
        <v>133208.0</v>
      </c>
      <c r="L301" s="7">
        <v>22.02</v>
      </c>
      <c r="M301" s="7">
        <v>-0.04</v>
      </c>
      <c r="N301" s="7">
        <v>163600.0</v>
      </c>
      <c r="O301" s="7">
        <v>1.3992631E7</v>
      </c>
      <c r="P301" s="7" t="s">
        <v>411</v>
      </c>
      <c r="Q301" s="7">
        <v>5003.97</v>
      </c>
      <c r="R301" s="3">
        <f t="shared" si="1"/>
        <v>10000</v>
      </c>
    </row>
    <row r="302" ht="22.5" customHeight="1">
      <c r="B302" s="7" t="s">
        <v>724</v>
      </c>
      <c r="C302" s="7">
        <v>1023.0</v>
      </c>
      <c r="D302" s="7">
        <v>4088.0</v>
      </c>
      <c r="E302" s="7">
        <v>1.7948954E7</v>
      </c>
      <c r="F302" s="7">
        <v>1.7811201E7</v>
      </c>
      <c r="G302" s="7">
        <v>3.488613E7</v>
      </c>
      <c r="H302" s="7">
        <v>1.526541947E9</v>
      </c>
      <c r="I302" s="7">
        <v>646920.0</v>
      </c>
      <c r="J302" s="7">
        <v>489240.0</v>
      </c>
      <c r="K302" s="7">
        <v>157680.0</v>
      </c>
      <c r="L302" s="7">
        <v>41.31</v>
      </c>
      <c r="M302" s="7">
        <v>-0.04</v>
      </c>
      <c r="N302" s="7">
        <v>187100.0</v>
      </c>
      <c r="O302" s="7">
        <v>5698637.0</v>
      </c>
      <c r="P302" s="7" t="s">
        <v>411</v>
      </c>
      <c r="Q302" s="7">
        <v>5003.97</v>
      </c>
      <c r="R302" s="3">
        <f t="shared" si="1"/>
        <v>10000</v>
      </c>
    </row>
    <row r="303" ht="22.5" customHeight="1">
      <c r="B303" s="7" t="s">
        <v>725</v>
      </c>
      <c r="C303" s="7">
        <v>18601.0</v>
      </c>
      <c r="D303" s="7">
        <v>37108.0</v>
      </c>
      <c r="E303" s="7">
        <v>2.6480595E7</v>
      </c>
      <c r="F303" s="7">
        <v>2.6080204E7</v>
      </c>
      <c r="G303" s="7">
        <v>5.3996669E7</v>
      </c>
      <c r="H303" s="7">
        <v>2.492126665E9</v>
      </c>
      <c r="I303" s="7">
        <v>1302170.0</v>
      </c>
      <c r="J303" s="7">
        <v>1148916.0</v>
      </c>
      <c r="K303" s="7">
        <v>153254.0</v>
      </c>
      <c r="L303" s="7">
        <v>33.07</v>
      </c>
      <c r="M303" s="7">
        <v>-0.07</v>
      </c>
      <c r="N303" s="7">
        <v>182898.0</v>
      </c>
      <c r="O303" s="7">
        <v>1.2853552E7</v>
      </c>
      <c r="P303" s="7" t="s">
        <v>411</v>
      </c>
      <c r="Q303" s="7">
        <v>5003.98</v>
      </c>
      <c r="R303" s="3">
        <f t="shared" si="1"/>
        <v>10000</v>
      </c>
    </row>
    <row r="304" ht="22.5" customHeight="1">
      <c r="B304" s="7" t="s">
        <v>726</v>
      </c>
      <c r="C304" s="7">
        <v>96955.0</v>
      </c>
      <c r="D304" s="7">
        <v>144776.0</v>
      </c>
      <c r="E304" s="7">
        <v>6569595.0</v>
      </c>
      <c r="F304" s="7">
        <v>6413890.0</v>
      </c>
      <c r="G304" s="7">
        <v>2.4124722E7</v>
      </c>
      <c r="H304" s="7">
        <v>1.1597758084E10</v>
      </c>
      <c r="I304" s="7">
        <v>291234.0</v>
      </c>
      <c r="J304" s="7">
        <v>252926.0</v>
      </c>
      <c r="K304" s="7">
        <v>38308.0</v>
      </c>
      <c r="L304" s="7">
        <v>84.43</v>
      </c>
      <c r="M304" s="7">
        <v>-0.08</v>
      </c>
      <c r="N304" s="7">
        <v>45693.0</v>
      </c>
      <c r="O304" s="7">
        <v>3769695.0</v>
      </c>
      <c r="P304" s="7" t="s">
        <v>411</v>
      </c>
      <c r="Q304" s="7">
        <v>5003.95</v>
      </c>
      <c r="R304" s="3">
        <f t="shared" si="1"/>
        <v>10000</v>
      </c>
    </row>
    <row r="305" ht="22.5" customHeight="1">
      <c r="B305" s="7" t="s">
        <v>728</v>
      </c>
      <c r="C305" s="7">
        <v>576.0</v>
      </c>
      <c r="D305" s="7">
        <v>8464.0</v>
      </c>
      <c r="E305" s="7">
        <v>5963300.0</v>
      </c>
      <c r="F305" s="7">
        <v>5927320.0</v>
      </c>
      <c r="G305" s="7">
        <v>8630616.0</v>
      </c>
      <c r="H305" s="7">
        <v>6.46824602E8</v>
      </c>
      <c r="I305" s="7">
        <v>294408.0</v>
      </c>
      <c r="J305" s="7">
        <v>252985.0</v>
      </c>
      <c r="K305" s="7">
        <v>41423.0</v>
      </c>
      <c r="L305" s="7">
        <v>31.05</v>
      </c>
      <c r="M305" s="7">
        <v>-0.04</v>
      </c>
      <c r="N305" s="7">
        <v>48727.0</v>
      </c>
      <c r="O305" s="7">
        <v>2599837.0</v>
      </c>
      <c r="P305" s="7" t="s">
        <v>411</v>
      </c>
      <c r="Q305" s="7">
        <v>5003.95</v>
      </c>
      <c r="R305" s="3">
        <f t="shared" si="1"/>
        <v>10000</v>
      </c>
    </row>
    <row r="306" ht="22.5" customHeight="1">
      <c r="B306" s="7" t="s">
        <v>729</v>
      </c>
      <c r="C306" s="7">
        <v>7500.0</v>
      </c>
      <c r="D306" s="7">
        <v>77451.0</v>
      </c>
      <c r="E306" s="7">
        <v>6.0406131E7</v>
      </c>
      <c r="F306" s="7">
        <v>6.0003952E7</v>
      </c>
      <c r="G306" s="7">
        <v>6.704328E7</v>
      </c>
      <c r="H306" s="7">
        <v>3.541332034E9</v>
      </c>
      <c r="I306" s="7">
        <v>1814357.0</v>
      </c>
      <c r="J306" s="7">
        <v>1263124.0</v>
      </c>
      <c r="K306" s="7">
        <v>551233.0</v>
      </c>
      <c r="L306" s="7">
        <v>25.33</v>
      </c>
      <c r="M306" s="7">
        <v>-0.02</v>
      </c>
      <c r="N306" s="7">
        <v>654950.0</v>
      </c>
      <c r="O306" s="7">
        <v>1.8710291E7</v>
      </c>
      <c r="P306" s="7" t="s">
        <v>411</v>
      </c>
      <c r="Q306" s="7">
        <v>5003.98</v>
      </c>
      <c r="R306" s="3">
        <f t="shared" si="1"/>
        <v>10000</v>
      </c>
    </row>
    <row r="307" ht="22.5" customHeight="1">
      <c r="B307" s="7" t="s">
        <v>730</v>
      </c>
      <c r="C307" s="7">
        <v>160.0</v>
      </c>
      <c r="D307" s="7">
        <v>21744.0</v>
      </c>
      <c r="E307" s="7">
        <v>3.151378E7</v>
      </c>
      <c r="F307" s="7">
        <v>3.0688099E7</v>
      </c>
      <c r="G307" s="7">
        <v>7.2372481E7</v>
      </c>
      <c r="H307" s="7">
        <v>2.72273913E8</v>
      </c>
      <c r="I307" s="7">
        <v>865911.0</v>
      </c>
      <c r="J307" s="7">
        <v>754163.0</v>
      </c>
      <c r="K307" s="7">
        <v>111748.0</v>
      </c>
      <c r="L307" s="7">
        <v>28.74</v>
      </c>
      <c r="M307" s="7">
        <v>-0.09</v>
      </c>
      <c r="N307" s="7">
        <v>143095.0</v>
      </c>
      <c r="O307" s="7">
        <v>2.3663451E7</v>
      </c>
      <c r="P307" s="7" t="s">
        <v>411</v>
      </c>
      <c r="Q307" s="7">
        <v>5003.95</v>
      </c>
      <c r="R307" s="3">
        <f t="shared" si="1"/>
        <v>10000</v>
      </c>
    </row>
    <row r="308" ht="22.5" customHeight="1">
      <c r="B308" s="7" t="s">
        <v>731</v>
      </c>
      <c r="C308" s="7">
        <v>1672385.0</v>
      </c>
      <c r="D308" s="7">
        <v>1.3957954E7</v>
      </c>
      <c r="E308" s="7">
        <v>1924741.0</v>
      </c>
      <c r="F308" s="7">
        <v>1814965.0</v>
      </c>
      <c r="G308" s="7">
        <v>1.9970781E7</v>
      </c>
      <c r="H308" s="7">
        <v>1.8943636763E10</v>
      </c>
      <c r="I308" s="7">
        <v>84042.0</v>
      </c>
      <c r="J308" s="7">
        <v>79705.0</v>
      </c>
      <c r="K308" s="7">
        <v>4337.0</v>
      </c>
      <c r="L308" s="7">
        <v>215.37</v>
      </c>
      <c r="M308" s="7">
        <v>-0.14</v>
      </c>
      <c r="N308" s="7">
        <v>6374.0</v>
      </c>
      <c r="O308" s="7">
        <v>2966142.0</v>
      </c>
      <c r="P308" s="7" t="s">
        <v>411</v>
      </c>
      <c r="Q308" s="7">
        <v>5003.8</v>
      </c>
      <c r="R308" s="3">
        <f t="shared" si="1"/>
        <v>10000</v>
      </c>
    </row>
    <row r="309" ht="22.5" customHeight="1">
      <c r="B309" s="7" t="s">
        <v>732</v>
      </c>
      <c r="C309" s="7">
        <v>510.0</v>
      </c>
      <c r="D309" s="7">
        <v>19652.0</v>
      </c>
      <c r="E309" s="7">
        <v>2.5480759E7</v>
      </c>
      <c r="F309" s="7">
        <v>2.5251014E7</v>
      </c>
      <c r="G309" s="7">
        <v>3.1943219E7</v>
      </c>
      <c r="H309" s="7">
        <v>3.59816099E8</v>
      </c>
      <c r="I309" s="7">
        <v>1093163.0</v>
      </c>
      <c r="J309" s="7">
        <v>867510.0</v>
      </c>
      <c r="K309" s="7">
        <v>225653.0</v>
      </c>
      <c r="L309" s="7">
        <v>145.73</v>
      </c>
      <c r="M309" s="7">
        <v>-0.03</v>
      </c>
      <c r="N309" s="7">
        <v>251512.0</v>
      </c>
      <c r="O309" s="7">
        <v>1.218368E7</v>
      </c>
      <c r="P309" s="7" t="s">
        <v>411</v>
      </c>
      <c r="Q309" s="7">
        <v>5003.95</v>
      </c>
      <c r="R309" s="3">
        <f t="shared" si="1"/>
        <v>10000</v>
      </c>
    </row>
    <row r="310" ht="22.5" customHeight="1">
      <c r="B310" s="7" t="s">
        <v>735</v>
      </c>
      <c r="C310" s="7">
        <v>2965.0</v>
      </c>
      <c r="D310" s="7">
        <v>10472.0</v>
      </c>
      <c r="E310" s="7">
        <v>1.0730744E7</v>
      </c>
      <c r="F310" s="7">
        <v>1.0729779E7</v>
      </c>
      <c r="G310" s="7">
        <v>1.0862634E7</v>
      </c>
      <c r="H310" s="7">
        <v>6.766868466E9</v>
      </c>
      <c r="I310" s="7">
        <v>255221.0</v>
      </c>
      <c r="J310" s="7">
        <v>146549.0</v>
      </c>
      <c r="K310" s="7">
        <v>108672.0</v>
      </c>
      <c r="L310" s="7">
        <v>54.16</v>
      </c>
      <c r="M310" s="7">
        <v>0.0</v>
      </c>
      <c r="N310" s="7">
        <v>121633.0</v>
      </c>
      <c r="O310" s="7">
        <v>5042403.0</v>
      </c>
      <c r="P310" s="7" t="s">
        <v>411</v>
      </c>
      <c r="Q310" s="7">
        <v>5003.99</v>
      </c>
      <c r="R310" s="3">
        <f t="shared" si="1"/>
        <v>10000</v>
      </c>
    </row>
    <row r="311" ht="22.5" customHeight="1">
      <c r="B311" s="7" t="s">
        <v>736</v>
      </c>
      <c r="C311" s="7">
        <v>18718.0</v>
      </c>
      <c r="D311" s="7">
        <v>111867.0</v>
      </c>
      <c r="E311" s="7">
        <v>9.7350509E7</v>
      </c>
      <c r="F311" s="7">
        <v>9.1319079E7</v>
      </c>
      <c r="G311" s="7">
        <v>4.62991788E8</v>
      </c>
      <c r="H311" s="7">
        <v>2.669566376E9</v>
      </c>
      <c r="I311" s="7">
        <v>3631677.0</v>
      </c>
      <c r="J311" s="7">
        <v>3133178.0</v>
      </c>
      <c r="K311" s="7">
        <v>498499.0</v>
      </c>
      <c r="L311" s="7">
        <v>21.24</v>
      </c>
      <c r="M311" s="7">
        <v>-0.08</v>
      </c>
      <c r="N311" s="7">
        <v>621269.0</v>
      </c>
      <c r="O311" s="7">
        <v>1.2535293E8</v>
      </c>
      <c r="P311" s="7" t="s">
        <v>411</v>
      </c>
      <c r="Q311" s="7">
        <v>5003.92</v>
      </c>
      <c r="R311" s="3">
        <f t="shared" si="1"/>
        <v>10000</v>
      </c>
    </row>
    <row r="312" ht="22.5" customHeight="1">
      <c r="B312" s="7" t="s">
        <v>573</v>
      </c>
      <c r="C312" s="7">
        <v>2878.0</v>
      </c>
      <c r="D312" s="7">
        <v>15388.0</v>
      </c>
      <c r="E312" s="7">
        <v>8850046.0</v>
      </c>
      <c r="F312" s="7">
        <v>8743747.0</v>
      </c>
      <c r="G312" s="7">
        <v>1.9208673E7</v>
      </c>
      <c r="H312" s="7">
        <v>1.788887988E9</v>
      </c>
      <c r="I312" s="7">
        <v>493677.0</v>
      </c>
      <c r="J312" s="7">
        <v>445131.0</v>
      </c>
      <c r="K312" s="7">
        <v>48546.0</v>
      </c>
      <c r="L312" s="7">
        <v>28.15</v>
      </c>
      <c r="M312" s="7">
        <v>-0.08</v>
      </c>
      <c r="N312" s="7">
        <v>57708.0</v>
      </c>
      <c r="O312" s="7">
        <v>4430905.0</v>
      </c>
      <c r="P312" s="7" t="s">
        <v>411</v>
      </c>
      <c r="Q312" s="7">
        <v>5004.03</v>
      </c>
      <c r="R312" s="3">
        <f t="shared" si="1"/>
        <v>10000</v>
      </c>
    </row>
    <row r="313" ht="22.5" customHeight="1">
      <c r="B313" s="7" t="s">
        <v>737</v>
      </c>
      <c r="C313" s="7">
        <v>1200.0</v>
      </c>
      <c r="D313" s="7">
        <v>21040.0</v>
      </c>
      <c r="E313" s="7">
        <v>1.8030737E7</v>
      </c>
      <c r="F313" s="7">
        <v>1.7933904E7</v>
      </c>
      <c r="G313" s="7">
        <v>4.3041126E7</v>
      </c>
      <c r="H313" s="7">
        <v>2.141237971E9</v>
      </c>
      <c r="I313" s="7">
        <v>577941.0</v>
      </c>
      <c r="J313" s="7">
        <v>401320.0</v>
      </c>
      <c r="K313" s="7">
        <v>176621.0</v>
      </c>
      <c r="L313" s="7">
        <v>64.47</v>
      </c>
      <c r="M313" s="7">
        <v>-0.04</v>
      </c>
      <c r="N313" s="7">
        <v>205308.0</v>
      </c>
      <c r="O313" s="7">
        <v>6248562.0</v>
      </c>
      <c r="P313" s="7" t="s">
        <v>411</v>
      </c>
      <c r="Q313" s="7">
        <v>5003.99</v>
      </c>
      <c r="R313" s="3">
        <f t="shared" si="1"/>
        <v>10000</v>
      </c>
    </row>
    <row r="314" ht="22.5" customHeight="1">
      <c r="B314" s="7" t="s">
        <v>738</v>
      </c>
      <c r="C314" s="7">
        <v>2500.0</v>
      </c>
      <c r="D314" s="7">
        <v>8084.0</v>
      </c>
      <c r="E314" s="7">
        <v>1.1724787E7</v>
      </c>
      <c r="F314" s="7">
        <v>1.1618584E7</v>
      </c>
      <c r="G314" s="7">
        <v>1.8999972E7</v>
      </c>
      <c r="H314" s="7">
        <v>1.039496821E9</v>
      </c>
      <c r="I314" s="7">
        <v>497554.0</v>
      </c>
      <c r="J314" s="7">
        <v>424751.0</v>
      </c>
      <c r="K314" s="7">
        <v>72803.0</v>
      </c>
      <c r="L314" s="7">
        <v>35.62</v>
      </c>
      <c r="M314" s="7">
        <v>-0.05</v>
      </c>
      <c r="N314" s="7">
        <v>90416.0</v>
      </c>
      <c r="O314" s="7">
        <v>4338706.0</v>
      </c>
      <c r="P314" s="7" t="s">
        <v>411</v>
      </c>
      <c r="Q314" s="7">
        <v>5003.99</v>
      </c>
      <c r="R314" s="3">
        <f t="shared" si="1"/>
        <v>10000</v>
      </c>
    </row>
    <row r="315" ht="22.5" customHeight="1">
      <c r="B315" s="7" t="s">
        <v>739</v>
      </c>
      <c r="C315" s="7">
        <v>16632.0</v>
      </c>
      <c r="D315" s="7">
        <v>144336.0</v>
      </c>
      <c r="E315" s="7">
        <v>2.0901869E7</v>
      </c>
      <c r="F315" s="7">
        <v>2.0550752E7</v>
      </c>
      <c r="G315" s="7">
        <v>7.7629762E7</v>
      </c>
      <c r="H315" s="7">
        <v>3.810416338E9</v>
      </c>
      <c r="I315" s="7">
        <v>860831.0</v>
      </c>
      <c r="J315" s="7">
        <v>757881.0</v>
      </c>
      <c r="K315" s="7">
        <v>102950.0</v>
      </c>
      <c r="L315" s="7">
        <v>46.5</v>
      </c>
      <c r="M315" s="7">
        <v>-0.09</v>
      </c>
      <c r="N315" s="7">
        <v>134603.0</v>
      </c>
      <c r="O315" s="7">
        <v>1.080065E7</v>
      </c>
      <c r="P315" s="7" t="s">
        <v>411</v>
      </c>
      <c r="Q315" s="7">
        <v>5004.0</v>
      </c>
      <c r="R315" s="3">
        <f t="shared" si="1"/>
        <v>10000</v>
      </c>
    </row>
    <row r="316" ht="22.5" customHeight="1">
      <c r="B316" s="7" t="s">
        <v>740</v>
      </c>
      <c r="C316" s="7">
        <v>2440.0</v>
      </c>
      <c r="D316" s="7">
        <v>73322.0</v>
      </c>
      <c r="E316" s="7">
        <v>2.1427661E7</v>
      </c>
      <c r="F316" s="7">
        <v>2.1139088E7</v>
      </c>
      <c r="G316" s="7">
        <v>2.5781599E7</v>
      </c>
      <c r="H316" s="7">
        <v>1.35222E9</v>
      </c>
      <c r="I316" s="7">
        <v>682267.0</v>
      </c>
      <c r="J316" s="7">
        <v>487944.0</v>
      </c>
      <c r="K316" s="7">
        <v>194323.0</v>
      </c>
      <c r="L316" s="7">
        <v>244.81</v>
      </c>
      <c r="M316" s="7">
        <v>-0.03</v>
      </c>
      <c r="N316" s="7">
        <v>221667.0</v>
      </c>
      <c r="O316" s="7">
        <v>9357062.0</v>
      </c>
      <c r="P316" s="7" t="s">
        <v>411</v>
      </c>
      <c r="Q316" s="7">
        <v>5003.97</v>
      </c>
      <c r="R316" s="3">
        <f t="shared" si="1"/>
        <v>10000</v>
      </c>
    </row>
    <row r="317" ht="22.5" customHeight="1">
      <c r="B317" s="7" t="s">
        <v>741</v>
      </c>
      <c r="C317" s="7">
        <v>1200.0</v>
      </c>
      <c r="D317" s="7">
        <v>21040.0</v>
      </c>
      <c r="E317" s="7">
        <v>2.0713169E7</v>
      </c>
      <c r="F317" s="7">
        <v>2.0599795E7</v>
      </c>
      <c r="G317" s="7">
        <v>5.3917761E7</v>
      </c>
      <c r="H317" s="7">
        <v>1.965952473E9</v>
      </c>
      <c r="I317" s="7">
        <v>711391.0</v>
      </c>
      <c r="J317" s="7">
        <v>571976.0</v>
      </c>
      <c r="K317" s="7">
        <v>139415.0</v>
      </c>
      <c r="L317" s="7">
        <v>64.58</v>
      </c>
      <c r="M317" s="7">
        <v>-0.05</v>
      </c>
      <c r="N317" s="7">
        <v>169634.0</v>
      </c>
      <c r="O317" s="7">
        <v>8609832.0</v>
      </c>
      <c r="P317" s="7" t="s">
        <v>411</v>
      </c>
      <c r="Q317" s="7">
        <v>5003.98</v>
      </c>
      <c r="R317" s="3">
        <f t="shared" si="1"/>
        <v>10000</v>
      </c>
    </row>
    <row r="318" ht="22.5" customHeight="1">
      <c r="B318" s="7" t="s">
        <v>742</v>
      </c>
      <c r="C318" s="7">
        <v>8497.0</v>
      </c>
      <c r="D318" s="7">
        <v>35672.0</v>
      </c>
      <c r="E318" s="7">
        <v>5.2296783E7</v>
      </c>
      <c r="F318" s="7">
        <v>5.1729025E7</v>
      </c>
      <c r="G318" s="7">
        <v>8.8161786E7</v>
      </c>
      <c r="H318" s="7">
        <v>2.611336319E9</v>
      </c>
      <c r="I318" s="7">
        <v>2251048.0</v>
      </c>
      <c r="J318" s="7">
        <v>1859882.0</v>
      </c>
      <c r="K318" s="7">
        <v>391166.0</v>
      </c>
      <c r="L318" s="7">
        <v>19.61</v>
      </c>
      <c r="M318" s="7">
        <v>-0.07</v>
      </c>
      <c r="N318" s="7">
        <v>475370.0</v>
      </c>
      <c r="O318" s="7">
        <v>1.8063796E7</v>
      </c>
      <c r="P318" s="7" t="s">
        <v>411</v>
      </c>
      <c r="Q318" s="7">
        <v>5003.99</v>
      </c>
      <c r="R318" s="3">
        <f t="shared" si="1"/>
        <v>10000</v>
      </c>
    </row>
    <row r="319" ht="22.5" customHeight="1">
      <c r="B319" s="7" t="s">
        <v>743</v>
      </c>
      <c r="C319" s="7">
        <v>1841.0</v>
      </c>
      <c r="D319" s="7">
        <v>35888.0</v>
      </c>
      <c r="E319" s="7">
        <v>1.2081103E7</v>
      </c>
      <c r="F319" s="7">
        <v>1.1809363E7</v>
      </c>
      <c r="G319" s="7">
        <v>2.6770289E7</v>
      </c>
      <c r="H319" s="7">
        <v>1.948515225E9</v>
      </c>
      <c r="I319" s="7">
        <v>450286.0</v>
      </c>
      <c r="J319" s="7">
        <v>388873.0</v>
      </c>
      <c r="K319" s="7">
        <v>61413.0</v>
      </c>
      <c r="L319" s="7">
        <v>62.87</v>
      </c>
      <c r="M319" s="7">
        <v>-0.08</v>
      </c>
      <c r="N319" s="7">
        <v>80618.0</v>
      </c>
      <c r="O319" s="7">
        <v>4726477.0</v>
      </c>
      <c r="P319" s="7" t="s">
        <v>411</v>
      </c>
      <c r="Q319" s="7">
        <v>5004.0</v>
      </c>
      <c r="R319" s="3">
        <f t="shared" si="1"/>
        <v>10000</v>
      </c>
    </row>
    <row r="320" ht="22.5" customHeight="1">
      <c r="B320" s="7" t="s">
        <v>744</v>
      </c>
      <c r="C320" s="7">
        <v>6300.0</v>
      </c>
      <c r="D320" s="7">
        <v>497790.0</v>
      </c>
      <c r="E320" s="7">
        <v>8946951.0</v>
      </c>
      <c r="F320" s="7">
        <v>8860843.0</v>
      </c>
      <c r="G320" s="7">
        <v>1.007871E7</v>
      </c>
      <c r="H320" s="7">
        <v>2.91219234E8</v>
      </c>
      <c r="I320" s="7">
        <v>181451.0</v>
      </c>
      <c r="J320" s="7">
        <v>107486.0</v>
      </c>
      <c r="K320" s="7">
        <v>73965.0</v>
      </c>
      <c r="L320" s="7">
        <v>901.03</v>
      </c>
      <c r="M320" s="7">
        <v>-0.01</v>
      </c>
      <c r="N320" s="7">
        <v>82231.0</v>
      </c>
      <c r="O320" s="7">
        <v>5240281.0</v>
      </c>
      <c r="P320" s="7" t="s">
        <v>411</v>
      </c>
      <c r="Q320" s="7">
        <v>5003.86</v>
      </c>
      <c r="R320" s="3">
        <f t="shared" si="1"/>
        <v>10000</v>
      </c>
    </row>
    <row r="321" ht="22.5" customHeight="1">
      <c r="B321" s="7" t="s">
        <v>745</v>
      </c>
      <c r="C321" s="7">
        <v>2754.0</v>
      </c>
      <c r="D321" s="7">
        <v>9012.0</v>
      </c>
      <c r="E321" s="7">
        <v>1.1764319E7</v>
      </c>
      <c r="F321" s="7">
        <v>1.1635877E7</v>
      </c>
      <c r="G321" s="7">
        <v>1.9504863E7</v>
      </c>
      <c r="H321" s="7">
        <v>1.289787837E9</v>
      </c>
      <c r="I321" s="7">
        <v>526461.0</v>
      </c>
      <c r="J321" s="7">
        <v>459530.0</v>
      </c>
      <c r="K321" s="7">
        <v>66931.0</v>
      </c>
      <c r="L321" s="7">
        <v>37.07</v>
      </c>
      <c r="M321" s="7">
        <v>-0.06</v>
      </c>
      <c r="N321" s="7">
        <v>84894.0</v>
      </c>
      <c r="O321" s="7">
        <v>4225421.0</v>
      </c>
      <c r="P321" s="7" t="s">
        <v>411</v>
      </c>
      <c r="Q321" s="7">
        <v>5003.99</v>
      </c>
      <c r="R321" s="3">
        <f t="shared" si="1"/>
        <v>10000</v>
      </c>
    </row>
    <row r="322" ht="22.5" customHeight="1">
      <c r="B322" s="7" t="s">
        <v>607</v>
      </c>
      <c r="C322" s="7">
        <v>1592305.0</v>
      </c>
      <c r="D322" s="7">
        <v>1.3701005E7</v>
      </c>
      <c r="E322" s="7">
        <v>1199295.0</v>
      </c>
      <c r="F322" s="7">
        <v>1139006.0</v>
      </c>
      <c r="G322" s="7">
        <v>1.13032646E8</v>
      </c>
      <c r="H322" s="7">
        <v>2.2486459132E10</v>
      </c>
      <c r="I322" s="7">
        <v>30506.0</v>
      </c>
      <c r="J322" s="7">
        <v>28494.0</v>
      </c>
      <c r="K322" s="7">
        <v>2012.0</v>
      </c>
      <c r="L322" s="7">
        <v>369.6</v>
      </c>
      <c r="M322" s="7">
        <v>-0.15</v>
      </c>
      <c r="N322" s="7">
        <v>4163.0</v>
      </c>
      <c r="O322" s="7">
        <v>7993893.0</v>
      </c>
      <c r="P322" s="7" t="s">
        <v>411</v>
      </c>
      <c r="Q322" s="7">
        <v>5003.85</v>
      </c>
      <c r="R322" s="3">
        <f t="shared" si="1"/>
        <v>10000</v>
      </c>
    </row>
    <row r="323" ht="22.5" customHeight="1">
      <c r="B323" s="7" t="s">
        <v>746</v>
      </c>
      <c r="C323" s="7">
        <v>36809.0</v>
      </c>
      <c r="D323" s="7">
        <v>142452.0</v>
      </c>
      <c r="E323" s="7">
        <v>1.2514024E7</v>
      </c>
      <c r="F323" s="7">
        <v>1.1918574E7</v>
      </c>
      <c r="G323" s="7">
        <v>3.04877015E8</v>
      </c>
      <c r="H323" s="7">
        <v>9.247276101E9</v>
      </c>
      <c r="I323" s="7">
        <v>524886.0</v>
      </c>
      <c r="J323" s="7">
        <v>489645.0</v>
      </c>
      <c r="K323" s="7">
        <v>35241.0</v>
      </c>
      <c r="L323" s="7">
        <v>336.09</v>
      </c>
      <c r="M323" s="7">
        <v>-0.15</v>
      </c>
      <c r="N323" s="7">
        <v>56988.0</v>
      </c>
      <c r="O323" s="7">
        <v>1.3149074E7</v>
      </c>
      <c r="P323" s="7" t="s">
        <v>411</v>
      </c>
      <c r="Q323" s="7">
        <v>5003.97</v>
      </c>
      <c r="R323" s="3">
        <f t="shared" si="1"/>
        <v>10000</v>
      </c>
    </row>
    <row r="324" ht="22.5" customHeight="1">
      <c r="B324" s="7" t="s">
        <v>747</v>
      </c>
      <c r="C324" s="7">
        <v>6557.0</v>
      </c>
      <c r="D324" s="7">
        <v>29539.0</v>
      </c>
      <c r="E324" s="7">
        <v>9683345.0</v>
      </c>
      <c r="F324" s="7">
        <v>9595988.0</v>
      </c>
      <c r="G324" s="7">
        <v>1.0825482E7</v>
      </c>
      <c r="H324" s="7">
        <v>5.222321985E9</v>
      </c>
      <c r="I324" s="7">
        <v>543630.0</v>
      </c>
      <c r="J324" s="7">
        <v>479562.0</v>
      </c>
      <c r="K324" s="7">
        <v>64068.0</v>
      </c>
      <c r="L324" s="7">
        <v>32.22</v>
      </c>
      <c r="M324" s="7">
        <v>-0.02</v>
      </c>
      <c r="N324" s="7">
        <v>75336.0</v>
      </c>
      <c r="O324" s="7">
        <v>4371133.0</v>
      </c>
      <c r="P324" s="7" t="s">
        <v>411</v>
      </c>
      <c r="Q324" s="7">
        <v>5003.99</v>
      </c>
      <c r="R324" s="3">
        <f t="shared" si="1"/>
        <v>10000</v>
      </c>
    </row>
    <row r="325" ht="22.5" customHeight="1">
      <c r="B325" s="7" t="s">
        <v>748</v>
      </c>
      <c r="C325" s="7">
        <v>288.0</v>
      </c>
      <c r="D325" s="7">
        <v>3240.0</v>
      </c>
      <c r="E325" s="7">
        <v>2.048795E7</v>
      </c>
      <c r="F325" s="7">
        <v>2.0287859E7</v>
      </c>
      <c r="G325" s="7">
        <v>2.4417688E7</v>
      </c>
      <c r="H325" s="7">
        <v>4.79412687E8</v>
      </c>
      <c r="I325" s="7">
        <v>798784.0</v>
      </c>
      <c r="J325" s="7">
        <v>596275.0</v>
      </c>
      <c r="K325" s="7">
        <v>202509.0</v>
      </c>
      <c r="L325" s="7">
        <v>66.3</v>
      </c>
      <c r="M325" s="7">
        <v>-0.03</v>
      </c>
      <c r="N325" s="7">
        <v>229419.0</v>
      </c>
      <c r="O325" s="7">
        <v>7718285.0</v>
      </c>
      <c r="P325" s="7" t="s">
        <v>411</v>
      </c>
      <c r="Q325" s="7">
        <v>5003.99</v>
      </c>
      <c r="R325" s="3">
        <f t="shared" si="1"/>
        <v>10000</v>
      </c>
    </row>
    <row r="326" ht="22.5" customHeight="1">
      <c r="B326" s="7" t="s">
        <v>750</v>
      </c>
      <c r="C326" s="7">
        <v>2776.0</v>
      </c>
      <c r="D326" s="7">
        <v>9091.0</v>
      </c>
      <c r="E326" s="7">
        <v>1.1178959E7</v>
      </c>
      <c r="F326" s="7">
        <v>1.1058802E7</v>
      </c>
      <c r="G326" s="7">
        <v>1.883892E7</v>
      </c>
      <c r="H326" s="7">
        <v>1.230994676E9</v>
      </c>
      <c r="I326" s="7">
        <v>524404.0</v>
      </c>
      <c r="J326" s="7">
        <v>461309.0</v>
      </c>
      <c r="K326" s="7">
        <v>63095.0</v>
      </c>
      <c r="L326" s="7">
        <v>35.88</v>
      </c>
      <c r="M326" s="7">
        <v>-0.06</v>
      </c>
      <c r="N326" s="7">
        <v>79297.0</v>
      </c>
      <c r="O326" s="7">
        <v>4216538.0</v>
      </c>
      <c r="P326" s="7" t="s">
        <v>411</v>
      </c>
      <c r="Q326" s="7">
        <v>5004.03</v>
      </c>
      <c r="R326" s="3">
        <f t="shared" si="1"/>
        <v>10000</v>
      </c>
    </row>
    <row r="327" ht="22.5" customHeight="1">
      <c r="B327" s="7" t="s">
        <v>751</v>
      </c>
      <c r="C327" s="7">
        <v>5550.0</v>
      </c>
      <c r="D327" s="7">
        <v>118565.0</v>
      </c>
      <c r="E327" s="7">
        <v>1.6212954E7</v>
      </c>
      <c r="F327" s="7">
        <v>1.6054518E7</v>
      </c>
      <c r="G327" s="7">
        <v>1.9254645E7</v>
      </c>
      <c r="H327" s="7">
        <v>1.620388945E9</v>
      </c>
      <c r="I327" s="7">
        <v>484781.0</v>
      </c>
      <c r="J327" s="7">
        <v>296008.0</v>
      </c>
      <c r="K327" s="7">
        <v>188773.0</v>
      </c>
      <c r="L327" s="7">
        <v>267.28</v>
      </c>
      <c r="M327" s="7">
        <v>-0.03</v>
      </c>
      <c r="N327" s="7">
        <v>215994.0</v>
      </c>
      <c r="O327" s="7">
        <v>4810168.0</v>
      </c>
      <c r="P327" s="7" t="s">
        <v>411</v>
      </c>
      <c r="Q327" s="7">
        <v>5004.0</v>
      </c>
      <c r="R327" s="3">
        <f t="shared" si="1"/>
        <v>10000</v>
      </c>
    </row>
    <row r="328" ht="22.5" customHeight="1">
      <c r="B328" s="7" t="s">
        <v>752</v>
      </c>
      <c r="C328" s="7">
        <v>11020.0</v>
      </c>
      <c r="D328" s="7">
        <v>241816.0</v>
      </c>
      <c r="E328" s="7">
        <v>9646717.0</v>
      </c>
      <c r="F328" s="7">
        <v>9416070.0</v>
      </c>
      <c r="G328" s="7">
        <v>2.7841851E7</v>
      </c>
      <c r="H328" s="7">
        <v>2.750975269E9</v>
      </c>
      <c r="I328" s="7">
        <v>451652.0</v>
      </c>
      <c r="J328" s="7">
        <v>416854.0</v>
      </c>
      <c r="K328" s="7">
        <v>34798.0</v>
      </c>
      <c r="L328" s="7">
        <v>54.88</v>
      </c>
      <c r="M328" s="7">
        <v>-0.1</v>
      </c>
      <c r="N328" s="7">
        <v>47107.0</v>
      </c>
      <c r="O328" s="7">
        <v>5471953.0</v>
      </c>
      <c r="P328" s="7" t="s">
        <v>411</v>
      </c>
      <c r="Q328" s="7">
        <v>5003.99</v>
      </c>
      <c r="R328" s="3">
        <f t="shared" si="1"/>
        <v>10000</v>
      </c>
    </row>
    <row r="329" ht="22.5" customHeight="1">
      <c r="B329" s="7" t="s">
        <v>753</v>
      </c>
      <c r="C329" s="7">
        <v>12452.0</v>
      </c>
      <c r="D329" s="7">
        <v>145109.0</v>
      </c>
      <c r="E329" s="7">
        <v>3.3848209E7</v>
      </c>
      <c r="F329" s="7">
        <v>3.3090749E7</v>
      </c>
      <c r="G329" s="7">
        <v>5.0925156E7</v>
      </c>
      <c r="H329" s="7">
        <v>1.983280712E9</v>
      </c>
      <c r="I329" s="7">
        <v>1295283.0</v>
      </c>
      <c r="J329" s="7">
        <v>1116540.0</v>
      </c>
      <c r="K329" s="7">
        <v>178743.0</v>
      </c>
      <c r="L329" s="7">
        <v>77.13</v>
      </c>
      <c r="M329" s="7">
        <v>-0.05</v>
      </c>
      <c r="N329" s="7">
        <v>210236.0</v>
      </c>
      <c r="O329" s="7">
        <v>2.2526938E7</v>
      </c>
      <c r="P329" s="7" t="s">
        <v>411</v>
      </c>
      <c r="Q329" s="7">
        <v>5004.02</v>
      </c>
      <c r="R329" s="3">
        <f t="shared" si="1"/>
        <v>10000</v>
      </c>
    </row>
    <row r="330" ht="22.5" customHeight="1">
      <c r="B330" s="7" t="s">
        <v>754</v>
      </c>
      <c r="C330" s="7">
        <v>13500.0</v>
      </c>
      <c r="D330" s="7">
        <v>4611150.0</v>
      </c>
      <c r="E330" s="7">
        <v>4878174.0</v>
      </c>
      <c r="F330" s="7">
        <v>4818706.0</v>
      </c>
      <c r="G330" s="7">
        <v>5860979.0</v>
      </c>
      <c r="H330" s="7">
        <v>3.713066562E9</v>
      </c>
      <c r="I330" s="7">
        <v>171634.0</v>
      </c>
      <c r="J330" s="7">
        <v>122347.0</v>
      </c>
      <c r="K330" s="7">
        <v>49287.0</v>
      </c>
      <c r="L330" s="7">
        <v>132.43</v>
      </c>
      <c r="M330" s="7">
        <v>-0.03</v>
      </c>
      <c r="N330" s="7">
        <v>56094.0</v>
      </c>
      <c r="O330" s="7">
        <v>1850913.0</v>
      </c>
      <c r="P330" s="7" t="s">
        <v>411</v>
      </c>
      <c r="Q330" s="7">
        <v>5004.26</v>
      </c>
      <c r="R330" s="3">
        <f t="shared" si="1"/>
        <v>10000</v>
      </c>
    </row>
    <row r="331" ht="22.5" customHeight="1">
      <c r="B331" s="7" t="s">
        <v>755</v>
      </c>
      <c r="C331" s="7">
        <v>2500.0</v>
      </c>
      <c r="D331" s="7">
        <v>25193.0</v>
      </c>
      <c r="E331" s="7">
        <v>6.4256112E7</v>
      </c>
      <c r="F331" s="7">
        <v>6.3799019E7</v>
      </c>
      <c r="G331" s="7">
        <v>7.0871939E7</v>
      </c>
      <c r="H331" s="7">
        <v>3.159495446E9</v>
      </c>
      <c r="I331" s="7">
        <v>1812477.0</v>
      </c>
      <c r="J331" s="7">
        <v>1209411.0</v>
      </c>
      <c r="K331" s="7">
        <v>603066.0</v>
      </c>
      <c r="L331" s="7">
        <v>24.37</v>
      </c>
      <c r="M331" s="7">
        <v>-0.02</v>
      </c>
      <c r="N331" s="7">
        <v>717266.0</v>
      </c>
      <c r="O331" s="7">
        <v>1.8927136E7</v>
      </c>
      <c r="P331" s="7" t="s">
        <v>411</v>
      </c>
      <c r="Q331" s="7">
        <v>5004.04</v>
      </c>
      <c r="R331" s="3">
        <f t="shared" si="1"/>
        <v>10000</v>
      </c>
    </row>
    <row r="332" ht="22.5" customHeight="1">
      <c r="B332" s="7" t="s">
        <v>756</v>
      </c>
      <c r="C332" s="7">
        <v>2401.0</v>
      </c>
      <c r="D332" s="7">
        <v>8594.0</v>
      </c>
      <c r="E332" s="7">
        <v>1.4477489E7</v>
      </c>
      <c r="F332" s="7">
        <v>1.4476252E7</v>
      </c>
      <c r="G332" s="7">
        <v>1.4668273E7</v>
      </c>
      <c r="H332" s="7">
        <v>6.968887881E9</v>
      </c>
      <c r="I332" s="7">
        <v>294761.0</v>
      </c>
      <c r="J332" s="7">
        <v>138876.0</v>
      </c>
      <c r="K332" s="7">
        <v>155885.0</v>
      </c>
      <c r="L332" s="7">
        <v>55.12</v>
      </c>
      <c r="M332" s="7">
        <v>0.0</v>
      </c>
      <c r="N332" s="7">
        <v>179465.0</v>
      </c>
      <c r="O332" s="7">
        <v>5061624.0</v>
      </c>
      <c r="P332" s="7" t="s">
        <v>411</v>
      </c>
      <c r="Q332" s="7">
        <v>5004.01</v>
      </c>
      <c r="R332" s="3">
        <f t="shared" si="1"/>
        <v>10000</v>
      </c>
    </row>
    <row r="333" ht="22.5" customHeight="1">
      <c r="B333" s="7" t="s">
        <v>757</v>
      </c>
      <c r="C333" s="7">
        <v>3082.0</v>
      </c>
      <c r="D333" s="7">
        <v>9870.0</v>
      </c>
      <c r="E333" s="7">
        <v>1.3097826E7</v>
      </c>
      <c r="F333" s="7">
        <v>1.296647E7</v>
      </c>
      <c r="G333" s="7">
        <v>2.0443307E7</v>
      </c>
      <c r="H333" s="7">
        <v>1.347046389E9</v>
      </c>
      <c r="I333" s="7">
        <v>528256.0</v>
      </c>
      <c r="J333" s="7">
        <v>444357.0</v>
      </c>
      <c r="K333" s="7">
        <v>83899.0</v>
      </c>
      <c r="L333" s="7">
        <v>35.82</v>
      </c>
      <c r="M333" s="7">
        <v>-0.05</v>
      </c>
      <c r="N333" s="7">
        <v>105582.0</v>
      </c>
      <c r="O333" s="7">
        <v>4299831.0</v>
      </c>
      <c r="P333" s="7" t="s">
        <v>411</v>
      </c>
      <c r="Q333" s="7">
        <v>5004.0</v>
      </c>
      <c r="R333" s="3">
        <f t="shared" si="1"/>
        <v>10000</v>
      </c>
    </row>
    <row r="334" ht="22.5" customHeight="1">
      <c r="B334" s="7" t="s">
        <v>758</v>
      </c>
      <c r="C334" s="7">
        <v>2872.0</v>
      </c>
      <c r="D334" s="7">
        <v>10100.0</v>
      </c>
      <c r="E334" s="7">
        <v>1.4914816E7</v>
      </c>
      <c r="F334" s="7">
        <v>1.4911919E7</v>
      </c>
      <c r="G334" s="7">
        <v>1.519044E7</v>
      </c>
      <c r="H334" s="7">
        <v>6.552974862E9</v>
      </c>
      <c r="I334" s="7">
        <v>337083.0</v>
      </c>
      <c r="J334" s="7">
        <v>158325.0</v>
      </c>
      <c r="K334" s="7">
        <v>178758.0</v>
      </c>
      <c r="L334" s="7">
        <v>51.44</v>
      </c>
      <c r="M334" s="7">
        <v>0.0</v>
      </c>
      <c r="N334" s="7">
        <v>202827.0</v>
      </c>
      <c r="O334" s="7">
        <v>5003717.0</v>
      </c>
      <c r="P334" s="7" t="s">
        <v>411</v>
      </c>
      <c r="Q334" s="7">
        <v>5004.01</v>
      </c>
      <c r="R334" s="3">
        <f t="shared" si="1"/>
        <v>10000</v>
      </c>
    </row>
    <row r="335" ht="22.5" customHeight="1">
      <c r="B335" s="7" t="s">
        <v>759</v>
      </c>
      <c r="C335" s="7">
        <v>37147.0</v>
      </c>
      <c r="D335" s="7">
        <v>1090192.0</v>
      </c>
      <c r="E335" s="7">
        <v>1.7864974E7</v>
      </c>
      <c r="F335" s="7">
        <v>1.7576964E7</v>
      </c>
      <c r="G335" s="7">
        <v>2.286967E7</v>
      </c>
      <c r="H335" s="7">
        <v>1.308915566E9</v>
      </c>
      <c r="I335" s="7">
        <v>572828.0</v>
      </c>
      <c r="J335" s="7">
        <v>417086.0</v>
      </c>
      <c r="K335" s="7">
        <v>155742.0</v>
      </c>
      <c r="L335" s="7">
        <v>117.97</v>
      </c>
      <c r="M335" s="7">
        <v>-0.03</v>
      </c>
      <c r="N335" s="7">
        <v>184946.0</v>
      </c>
      <c r="O335" s="7">
        <v>6276149.0</v>
      </c>
      <c r="P335" s="7" t="s">
        <v>411</v>
      </c>
      <c r="Q335" s="7">
        <v>5003.99</v>
      </c>
      <c r="R335" s="3">
        <f t="shared" si="1"/>
        <v>10000</v>
      </c>
    </row>
    <row r="336" ht="22.5" customHeight="1">
      <c r="B336" s="7" t="s">
        <v>760</v>
      </c>
      <c r="C336" s="7">
        <v>70863.0</v>
      </c>
      <c r="D336" s="7">
        <v>328058.0</v>
      </c>
      <c r="E336" s="7">
        <v>7017028.0</v>
      </c>
      <c r="F336" s="7">
        <v>6869517.0</v>
      </c>
      <c r="G336" s="7">
        <v>1.3867768E7</v>
      </c>
      <c r="H336" s="7">
        <v>1.5955996981E10</v>
      </c>
      <c r="I336" s="7">
        <v>306310.0</v>
      </c>
      <c r="J336" s="7">
        <v>275958.0</v>
      </c>
      <c r="K336" s="7">
        <v>30352.0</v>
      </c>
      <c r="L336" s="7">
        <v>75.77</v>
      </c>
      <c r="M336" s="7">
        <v>-0.09</v>
      </c>
      <c r="N336" s="7">
        <v>38034.0</v>
      </c>
      <c r="O336" s="7">
        <v>4319644.0</v>
      </c>
      <c r="P336" s="7" t="s">
        <v>411</v>
      </c>
      <c r="Q336" s="7">
        <v>5004.0</v>
      </c>
      <c r="R336" s="3">
        <f t="shared" si="1"/>
        <v>10000</v>
      </c>
    </row>
    <row r="337" ht="22.5" customHeight="1">
      <c r="B337" s="7" t="s">
        <v>761</v>
      </c>
      <c r="C337" s="7">
        <v>1186.0</v>
      </c>
      <c r="D337" s="7">
        <v>22686.0</v>
      </c>
      <c r="E337" s="7">
        <v>8602062.0</v>
      </c>
      <c r="F337" s="7">
        <v>8540410.0</v>
      </c>
      <c r="G337" s="7">
        <v>1.551549E7</v>
      </c>
      <c r="H337" s="7">
        <v>1.205125423E9</v>
      </c>
      <c r="I337" s="7">
        <v>563951.0</v>
      </c>
      <c r="J337" s="7">
        <v>516982.0</v>
      </c>
      <c r="K337" s="7">
        <v>46969.0</v>
      </c>
      <c r="L337" s="7">
        <v>29.38</v>
      </c>
      <c r="M337" s="7">
        <v>-0.07</v>
      </c>
      <c r="N337" s="7">
        <v>55381.0</v>
      </c>
      <c r="O337" s="7">
        <v>4195425.0</v>
      </c>
      <c r="P337" s="7" t="s">
        <v>411</v>
      </c>
      <c r="Q337" s="7">
        <v>5004.01</v>
      </c>
      <c r="R337" s="3">
        <f t="shared" si="1"/>
        <v>10000</v>
      </c>
    </row>
    <row r="338" ht="22.5" customHeight="1">
      <c r="B338" s="7" t="s">
        <v>762</v>
      </c>
      <c r="C338" s="7">
        <v>9612.0</v>
      </c>
      <c r="D338" s="7">
        <v>210000.0</v>
      </c>
      <c r="E338" s="7">
        <v>1.1296322E7</v>
      </c>
      <c r="F338" s="7">
        <v>1.1037449E7</v>
      </c>
      <c r="G338" s="7">
        <v>3.0831006E7</v>
      </c>
      <c r="H338" s="7">
        <v>3.106006997E9</v>
      </c>
      <c r="I338" s="7">
        <v>467377.0</v>
      </c>
      <c r="J338" s="7">
        <v>417740.0</v>
      </c>
      <c r="K338" s="7">
        <v>49637.0</v>
      </c>
      <c r="L338" s="7">
        <v>61.09</v>
      </c>
      <c r="M338" s="7">
        <v>-0.09</v>
      </c>
      <c r="N338" s="7">
        <v>66742.0</v>
      </c>
      <c r="O338" s="7">
        <v>5377797.0</v>
      </c>
      <c r="P338" s="7" t="s">
        <v>411</v>
      </c>
      <c r="Q338" s="7">
        <v>5003.99</v>
      </c>
      <c r="R338" s="3">
        <f t="shared" si="1"/>
        <v>10000</v>
      </c>
    </row>
    <row r="339" ht="22.5" customHeight="1">
      <c r="B339" s="7" t="s">
        <v>763</v>
      </c>
      <c r="C339" s="7">
        <v>2926.0</v>
      </c>
      <c r="D339" s="7">
        <v>9471.0</v>
      </c>
      <c r="E339" s="7">
        <v>1.696357E7</v>
      </c>
      <c r="F339" s="7">
        <v>1.6794781E7</v>
      </c>
      <c r="G339" s="7">
        <v>2.5277988E7</v>
      </c>
      <c r="H339" s="7">
        <v>1.677387902E9</v>
      </c>
      <c r="I339" s="7">
        <v>618912.0</v>
      </c>
      <c r="J339" s="7">
        <v>501127.0</v>
      </c>
      <c r="K339" s="7">
        <v>117785.0</v>
      </c>
      <c r="L339" s="7">
        <v>35.75</v>
      </c>
      <c r="M339" s="7">
        <v>-0.05</v>
      </c>
      <c r="N339" s="7">
        <v>148865.0</v>
      </c>
      <c r="O339" s="7">
        <v>4715260.0</v>
      </c>
      <c r="P339" s="7" t="s">
        <v>411</v>
      </c>
      <c r="Q339" s="7">
        <v>5003.98</v>
      </c>
      <c r="R339" s="3">
        <f t="shared" si="1"/>
        <v>10000</v>
      </c>
    </row>
    <row r="340" ht="22.5" customHeight="1">
      <c r="B340" s="7" t="s">
        <v>764</v>
      </c>
      <c r="C340" s="7">
        <v>2651.0</v>
      </c>
      <c r="D340" s="7">
        <v>9468.0</v>
      </c>
      <c r="E340" s="7">
        <v>1.0894612E7</v>
      </c>
      <c r="F340" s="7">
        <v>1.0892361E7</v>
      </c>
      <c r="G340" s="7">
        <v>1.1103411E7</v>
      </c>
      <c r="H340" s="7">
        <v>6.550739885E9</v>
      </c>
      <c r="I340" s="7">
        <v>261940.0</v>
      </c>
      <c r="J340" s="7">
        <v>147749.0</v>
      </c>
      <c r="K340" s="7">
        <v>114191.0</v>
      </c>
      <c r="L340" s="7">
        <v>55.44</v>
      </c>
      <c r="M340" s="7">
        <v>0.0</v>
      </c>
      <c r="N340" s="7">
        <v>127458.0</v>
      </c>
      <c r="O340" s="7">
        <v>5035714.0</v>
      </c>
      <c r="P340" s="7" t="s">
        <v>411</v>
      </c>
      <c r="Q340" s="7">
        <v>5004.03</v>
      </c>
      <c r="R340" s="3">
        <f t="shared" si="1"/>
        <v>10000</v>
      </c>
    </row>
    <row r="341" ht="22.5" customHeight="1">
      <c r="B341" s="7" t="s">
        <v>765</v>
      </c>
      <c r="C341" s="7">
        <v>73616.0</v>
      </c>
      <c r="D341" s="7">
        <v>609154.0</v>
      </c>
      <c r="E341" s="7">
        <v>1.1792687E7</v>
      </c>
      <c r="F341" s="7">
        <v>1.1455003E7</v>
      </c>
      <c r="G341" s="7">
        <v>4.7616628E7</v>
      </c>
      <c r="H341" s="7">
        <v>7.396593244E9</v>
      </c>
      <c r="I341" s="7">
        <v>464463.0</v>
      </c>
      <c r="J341" s="7">
        <v>423688.0</v>
      </c>
      <c r="K341" s="7">
        <v>40775.0</v>
      </c>
      <c r="L341" s="7">
        <v>50.1</v>
      </c>
      <c r="M341" s="7">
        <v>-0.13</v>
      </c>
      <c r="N341" s="7">
        <v>59906.0</v>
      </c>
      <c r="O341" s="7">
        <v>8671478.0</v>
      </c>
      <c r="P341" s="7" t="s">
        <v>411</v>
      </c>
      <c r="Q341" s="7">
        <v>5004.35</v>
      </c>
      <c r="R341" s="3">
        <f t="shared" si="1"/>
        <v>10000</v>
      </c>
    </row>
    <row r="342" ht="22.5" customHeight="1">
      <c r="B342" s="7" t="s">
        <v>766</v>
      </c>
      <c r="C342" s="7">
        <v>720.0</v>
      </c>
      <c r="D342" s="7">
        <v>33140.0</v>
      </c>
      <c r="E342" s="7">
        <v>2.6215875E7</v>
      </c>
      <c r="F342" s="7">
        <v>2.5979832E7</v>
      </c>
      <c r="G342" s="7">
        <v>3.2702505E7</v>
      </c>
      <c r="H342" s="7">
        <v>3.72922019E8</v>
      </c>
      <c r="I342" s="7">
        <v>1102192.0</v>
      </c>
      <c r="J342" s="7">
        <v>877069.0</v>
      </c>
      <c r="K342" s="7">
        <v>225123.0</v>
      </c>
      <c r="L342" s="7">
        <v>219.89</v>
      </c>
      <c r="M342" s="7">
        <v>-0.03</v>
      </c>
      <c r="N342" s="7">
        <v>251009.0</v>
      </c>
      <c r="O342" s="7">
        <v>1.288862E7</v>
      </c>
      <c r="P342" s="7" t="s">
        <v>411</v>
      </c>
      <c r="Q342" s="7">
        <v>5003.88</v>
      </c>
      <c r="R342" s="3">
        <f t="shared" si="1"/>
        <v>10000</v>
      </c>
    </row>
    <row r="343" ht="22.5" customHeight="1">
      <c r="B343" s="7" t="s">
        <v>767</v>
      </c>
      <c r="C343" s="7">
        <v>3037.0</v>
      </c>
      <c r="D343" s="7">
        <v>9749.0</v>
      </c>
      <c r="E343" s="7">
        <v>1.1931102E7</v>
      </c>
      <c r="F343" s="7">
        <v>1.1808235E7</v>
      </c>
      <c r="G343" s="7">
        <v>1.9874621E7</v>
      </c>
      <c r="H343" s="7">
        <v>1.235038381E9</v>
      </c>
      <c r="I343" s="7">
        <v>530681.0</v>
      </c>
      <c r="J343" s="7">
        <v>458063.0</v>
      </c>
      <c r="K343" s="7">
        <v>72618.0</v>
      </c>
      <c r="L343" s="7">
        <v>35.74</v>
      </c>
      <c r="M343" s="7">
        <v>-0.06</v>
      </c>
      <c r="N343" s="7">
        <v>90921.0</v>
      </c>
      <c r="O343" s="7">
        <v>4270961.0</v>
      </c>
      <c r="P343" s="7" t="s">
        <v>411</v>
      </c>
      <c r="Q343" s="7">
        <v>5004.03</v>
      </c>
      <c r="R343" s="3">
        <f t="shared" si="1"/>
        <v>10000</v>
      </c>
    </row>
    <row r="344" ht="22.5" customHeight="1">
      <c r="B344" s="7" t="s">
        <v>768</v>
      </c>
      <c r="C344" s="7">
        <v>3660.0</v>
      </c>
      <c r="D344" s="7">
        <v>109922.0</v>
      </c>
      <c r="E344" s="7">
        <v>1.2225958E7</v>
      </c>
      <c r="F344" s="7">
        <v>1.2065464E7</v>
      </c>
      <c r="G344" s="7">
        <v>1.4693427E7</v>
      </c>
      <c r="H344" s="7">
        <v>8.2195593E8</v>
      </c>
      <c r="I344" s="7">
        <v>419104.0</v>
      </c>
      <c r="J344" s="7">
        <v>298783.0</v>
      </c>
      <c r="K344" s="7">
        <v>120321.0</v>
      </c>
      <c r="L344" s="7">
        <v>471.07</v>
      </c>
      <c r="M344" s="7">
        <v>-0.03</v>
      </c>
      <c r="N344" s="7">
        <v>137292.0</v>
      </c>
      <c r="O344" s="7">
        <v>4732815.0</v>
      </c>
      <c r="P344" s="7" t="s">
        <v>411</v>
      </c>
      <c r="Q344" s="7">
        <v>5003.98</v>
      </c>
      <c r="R344" s="3">
        <f t="shared" si="1"/>
        <v>10000</v>
      </c>
    </row>
    <row r="345" ht="22.5" customHeight="1">
      <c r="B345" s="7" t="s">
        <v>769</v>
      </c>
      <c r="C345" s="7">
        <v>1647000.0</v>
      </c>
      <c r="D345" s="7">
        <v>8989143.0</v>
      </c>
      <c r="E345" s="7">
        <v>2584599.0</v>
      </c>
      <c r="F345" s="7">
        <v>2490029.0</v>
      </c>
      <c r="G345" s="7">
        <v>1.0649813E7</v>
      </c>
      <c r="H345" s="7">
        <v>1.9789600619E10</v>
      </c>
      <c r="I345" s="7">
        <v>99361.0</v>
      </c>
      <c r="J345" s="7">
        <v>86168.0</v>
      </c>
      <c r="K345" s="7">
        <v>13193.0</v>
      </c>
      <c r="L345" s="7">
        <v>141.92</v>
      </c>
      <c r="M345" s="7">
        <v>-0.09</v>
      </c>
      <c r="N345" s="7">
        <v>16631.0</v>
      </c>
      <c r="O345" s="7">
        <v>1634065.0</v>
      </c>
      <c r="P345" s="7" t="s">
        <v>411</v>
      </c>
      <c r="Q345" s="7">
        <v>5003.88</v>
      </c>
      <c r="R345" s="3">
        <f t="shared" si="1"/>
        <v>10000</v>
      </c>
    </row>
    <row r="346" ht="22.5" customHeight="1">
      <c r="B346" s="7" t="s">
        <v>770</v>
      </c>
      <c r="C346" s="7">
        <v>5250.0</v>
      </c>
      <c r="D346" s="7">
        <v>375450.0</v>
      </c>
      <c r="E346" s="7">
        <v>1.0495968E7</v>
      </c>
      <c r="F346" s="7">
        <v>1.0417392E7</v>
      </c>
      <c r="G346" s="7">
        <v>1.1902417E7</v>
      </c>
      <c r="H346" s="7">
        <v>1.65635206E8</v>
      </c>
      <c r="I346" s="7">
        <v>278587.0</v>
      </c>
      <c r="J346" s="7">
        <v>171771.0</v>
      </c>
      <c r="K346" s="7">
        <v>106816.0</v>
      </c>
      <c r="L346" s="7">
        <v>739.86</v>
      </c>
      <c r="M346" s="7">
        <v>-0.02</v>
      </c>
      <c r="N346" s="7">
        <v>118771.0</v>
      </c>
      <c r="O346" s="7">
        <v>5051449.0</v>
      </c>
      <c r="P346" s="7" t="s">
        <v>411</v>
      </c>
      <c r="Q346" s="7">
        <v>5003.91</v>
      </c>
      <c r="R346" s="3">
        <f t="shared" si="1"/>
        <v>10000</v>
      </c>
    </row>
    <row r="347" ht="22.5" customHeight="1">
      <c r="B347" s="7" t="s">
        <v>772</v>
      </c>
      <c r="C347" s="7">
        <v>15364.0</v>
      </c>
      <c r="D347" s="7">
        <v>2133489.0</v>
      </c>
      <c r="E347" s="7">
        <v>8155423.0</v>
      </c>
      <c r="F347" s="7">
        <v>7841686.0</v>
      </c>
      <c r="G347" s="7">
        <v>2.592548E7</v>
      </c>
      <c r="H347" s="7">
        <v>4.031174777E9</v>
      </c>
      <c r="I347" s="7">
        <v>388835.0</v>
      </c>
      <c r="J347" s="7">
        <v>365143.0</v>
      </c>
      <c r="K347" s="7">
        <v>23692.0</v>
      </c>
      <c r="L347" s="7">
        <v>89.32</v>
      </c>
      <c r="M347" s="7">
        <v>-0.1</v>
      </c>
      <c r="N347" s="7">
        <v>31659.0</v>
      </c>
      <c r="O347" s="7">
        <v>5822271.0</v>
      </c>
      <c r="P347" s="7" t="s">
        <v>411</v>
      </c>
      <c r="Q347" s="7">
        <v>5003.96</v>
      </c>
      <c r="R347" s="3">
        <f t="shared" si="1"/>
        <v>10000</v>
      </c>
    </row>
    <row r="348" ht="22.5" customHeight="1">
      <c r="B348" s="7" t="s">
        <v>773</v>
      </c>
      <c r="C348" s="7">
        <v>1200.0</v>
      </c>
      <c r="D348" s="7">
        <v>21040.0</v>
      </c>
      <c r="E348" s="7">
        <v>2.0997153E7</v>
      </c>
      <c r="F348" s="7">
        <v>2.0896439E7</v>
      </c>
      <c r="G348" s="7">
        <v>5.6764117E7</v>
      </c>
      <c r="H348" s="7">
        <v>2.231481869E9</v>
      </c>
      <c r="I348" s="7">
        <v>877156.0</v>
      </c>
      <c r="J348" s="7">
        <v>700049.0</v>
      </c>
      <c r="K348" s="7">
        <v>177107.0</v>
      </c>
      <c r="L348" s="7">
        <v>64.17</v>
      </c>
      <c r="M348" s="7">
        <v>-0.05</v>
      </c>
      <c r="N348" s="7">
        <v>205771.0</v>
      </c>
      <c r="O348" s="7">
        <v>8489471.0</v>
      </c>
      <c r="P348" s="7" t="s">
        <v>411</v>
      </c>
      <c r="Q348" s="7">
        <v>5004.0</v>
      </c>
      <c r="R348" s="3">
        <f t="shared" si="1"/>
        <v>10000</v>
      </c>
    </row>
    <row r="349" ht="22.5" customHeight="1">
      <c r="B349" s="7" t="s">
        <v>774</v>
      </c>
      <c r="C349" s="7">
        <v>19484.0</v>
      </c>
      <c r="D349" s="7">
        <v>270088.0</v>
      </c>
      <c r="E349" s="7">
        <v>3.88708E7</v>
      </c>
      <c r="F349" s="7">
        <v>3.8038225E7</v>
      </c>
      <c r="G349" s="7">
        <v>5.9014813E7</v>
      </c>
      <c r="H349" s="7">
        <v>2.774956978E9</v>
      </c>
      <c r="I349" s="7">
        <v>1360143.0</v>
      </c>
      <c r="J349" s="7">
        <v>1103315.0</v>
      </c>
      <c r="K349" s="7">
        <v>256828.0</v>
      </c>
      <c r="L349" s="7">
        <v>82.68</v>
      </c>
      <c r="M349" s="7">
        <v>-0.04</v>
      </c>
      <c r="N349" s="7">
        <v>301274.0</v>
      </c>
      <c r="O349" s="7">
        <v>2.3049845E7</v>
      </c>
      <c r="P349" s="7" t="s">
        <v>411</v>
      </c>
      <c r="Q349" s="7">
        <v>5003.95</v>
      </c>
      <c r="R349" s="3">
        <f t="shared" si="1"/>
        <v>10000</v>
      </c>
    </row>
    <row r="350" ht="22.5" customHeight="1">
      <c r="B350" s="7" t="s">
        <v>775</v>
      </c>
      <c r="C350" s="7">
        <v>1866.0</v>
      </c>
      <c r="D350" s="7">
        <v>6958.0</v>
      </c>
      <c r="E350" s="7">
        <v>1.4279718E7</v>
      </c>
      <c r="F350" s="7">
        <v>1.4279379E7</v>
      </c>
      <c r="G350" s="7">
        <v>1.4424056E7</v>
      </c>
      <c r="H350" s="7">
        <v>8.323185079E9</v>
      </c>
      <c r="I350" s="7">
        <v>308890.0</v>
      </c>
      <c r="J350" s="7">
        <v>154044.0</v>
      </c>
      <c r="K350" s="7">
        <v>154846.0</v>
      </c>
      <c r="L350" s="7">
        <v>54.86</v>
      </c>
      <c r="M350" s="7">
        <v>0.0</v>
      </c>
      <c r="N350" s="7">
        <v>177837.0</v>
      </c>
      <c r="O350" s="7">
        <v>5016012.0</v>
      </c>
      <c r="P350" s="7" t="s">
        <v>411</v>
      </c>
      <c r="Q350" s="7">
        <v>5004.03</v>
      </c>
      <c r="R350" s="3">
        <f t="shared" si="1"/>
        <v>10000</v>
      </c>
    </row>
    <row r="351" ht="22.5" customHeight="1">
      <c r="B351" s="7" t="s">
        <v>776</v>
      </c>
      <c r="C351" s="7">
        <v>1176896.0</v>
      </c>
      <c r="D351" s="7">
        <v>9194910.0</v>
      </c>
      <c r="E351" s="7">
        <v>1703427.0</v>
      </c>
      <c r="F351" s="7">
        <v>1633007.0</v>
      </c>
      <c r="G351" s="7">
        <v>8886491.0</v>
      </c>
      <c r="H351" s="7">
        <v>1.9275393959E10</v>
      </c>
      <c r="I351" s="7">
        <v>76626.0</v>
      </c>
      <c r="J351" s="7">
        <v>70286.0</v>
      </c>
      <c r="K351" s="7">
        <v>6340.0</v>
      </c>
      <c r="L351" s="7">
        <v>124.75</v>
      </c>
      <c r="M351" s="7">
        <v>-0.12</v>
      </c>
      <c r="N351" s="7">
        <v>8314.0</v>
      </c>
      <c r="O351" s="7">
        <v>1504976.0</v>
      </c>
      <c r="P351" s="7" t="s">
        <v>411</v>
      </c>
      <c r="Q351" s="7">
        <v>5003.86</v>
      </c>
      <c r="R351" s="3">
        <f t="shared" si="1"/>
        <v>10000</v>
      </c>
    </row>
    <row r="352" ht="22.5" customHeight="1">
      <c r="B352" s="7" t="s">
        <v>777</v>
      </c>
      <c r="C352" s="7">
        <v>210.0</v>
      </c>
      <c r="D352" s="7">
        <v>4011.0</v>
      </c>
      <c r="E352" s="7">
        <v>5.1672E7</v>
      </c>
      <c r="F352" s="7">
        <v>5.145057E7</v>
      </c>
      <c r="G352" s="7">
        <v>5.6382839E7</v>
      </c>
      <c r="H352" s="7">
        <v>4.86296539E8</v>
      </c>
      <c r="I352" s="7">
        <v>1756893.0</v>
      </c>
      <c r="J352" s="7">
        <v>1138208.0</v>
      </c>
      <c r="K352" s="7">
        <v>618685.0</v>
      </c>
      <c r="L352" s="7">
        <v>40.77</v>
      </c>
      <c r="M352" s="7">
        <v>-0.02</v>
      </c>
      <c r="N352" s="7">
        <v>690330.0</v>
      </c>
      <c r="O352" s="7">
        <v>1.9062473E7</v>
      </c>
      <c r="P352" s="7" t="s">
        <v>411</v>
      </c>
      <c r="Q352" s="7">
        <v>5004.01</v>
      </c>
      <c r="R352" s="3">
        <f t="shared" si="1"/>
        <v>10000</v>
      </c>
    </row>
    <row r="353" ht="22.5" customHeight="1">
      <c r="B353" s="7" t="s">
        <v>778</v>
      </c>
      <c r="C353" s="7">
        <v>16520.0</v>
      </c>
      <c r="D353" s="7">
        <v>201461.0</v>
      </c>
      <c r="E353" s="7">
        <v>3.4298287E7</v>
      </c>
      <c r="F353" s="7">
        <v>3.3544007E7</v>
      </c>
      <c r="G353" s="7">
        <v>5.2593699E7</v>
      </c>
      <c r="H353" s="7">
        <v>2.402994157E9</v>
      </c>
      <c r="I353" s="7">
        <v>1272599.0</v>
      </c>
      <c r="J353" s="7">
        <v>1081474.0</v>
      </c>
      <c r="K353" s="7">
        <v>191125.0</v>
      </c>
      <c r="L353" s="7">
        <v>83.96</v>
      </c>
      <c r="M353" s="7">
        <v>-0.05</v>
      </c>
      <c r="N353" s="7">
        <v>223490.0</v>
      </c>
      <c r="O353" s="7">
        <v>2.3074253E7</v>
      </c>
      <c r="P353" s="7" t="s">
        <v>411</v>
      </c>
      <c r="Q353" s="7">
        <v>5003.97</v>
      </c>
      <c r="R353" s="3">
        <f t="shared" si="1"/>
        <v>10000</v>
      </c>
    </row>
    <row r="354" ht="22.5" customHeight="1">
      <c r="B354" s="7" t="s">
        <v>779</v>
      </c>
      <c r="C354" s="7">
        <v>2700.0</v>
      </c>
      <c r="D354" s="7">
        <v>30752.0</v>
      </c>
      <c r="E354" s="7">
        <v>4.5924956E7</v>
      </c>
      <c r="F354" s="7">
        <v>4.5709233E7</v>
      </c>
      <c r="G354" s="7">
        <v>5.0687152E7</v>
      </c>
      <c r="H354" s="7">
        <v>2.698398501E9</v>
      </c>
      <c r="I354" s="7">
        <v>1719759.0</v>
      </c>
      <c r="J354" s="7">
        <v>1292674.0</v>
      </c>
      <c r="K354" s="7">
        <v>427085.0</v>
      </c>
      <c r="L354" s="7">
        <v>37.92</v>
      </c>
      <c r="M354" s="7">
        <v>-0.02</v>
      </c>
      <c r="N354" s="7">
        <v>488188.0</v>
      </c>
      <c r="O354" s="7">
        <v>1.8472228E7</v>
      </c>
      <c r="P354" s="7" t="s">
        <v>411</v>
      </c>
      <c r="Q354" s="7">
        <v>5004.01</v>
      </c>
      <c r="R354" s="3">
        <f t="shared" si="1"/>
        <v>10000</v>
      </c>
    </row>
    <row r="355" ht="22.5" customHeight="1">
      <c r="B355" s="7" t="s">
        <v>780</v>
      </c>
      <c r="C355" s="7">
        <v>35119.0</v>
      </c>
      <c r="D355" s="7">
        <v>992014.0</v>
      </c>
      <c r="E355" s="7">
        <v>2.1452376E7</v>
      </c>
      <c r="F355" s="7">
        <v>2.1125979E7</v>
      </c>
      <c r="G355" s="7">
        <v>2.7141913E7</v>
      </c>
      <c r="H355" s="7">
        <v>1.359634871E9</v>
      </c>
      <c r="I355" s="7">
        <v>876703.0</v>
      </c>
      <c r="J355" s="7">
        <v>724267.0</v>
      </c>
      <c r="K355" s="7">
        <v>152436.0</v>
      </c>
      <c r="L355" s="7">
        <v>115.7</v>
      </c>
      <c r="M355" s="7">
        <v>-0.03</v>
      </c>
      <c r="N355" s="7">
        <v>181806.0</v>
      </c>
      <c r="O355" s="7">
        <v>9135590.0</v>
      </c>
      <c r="P355" s="7" t="s">
        <v>411</v>
      </c>
      <c r="Q355" s="7">
        <v>5004.0</v>
      </c>
      <c r="R355" s="3">
        <f t="shared" si="1"/>
        <v>10000</v>
      </c>
    </row>
    <row r="356" ht="22.5" customHeight="1">
      <c r="B356" s="7" t="s">
        <v>781</v>
      </c>
      <c r="C356" s="7">
        <v>63882.0</v>
      </c>
      <c r="D356" s="7">
        <v>123981.0</v>
      </c>
      <c r="E356" s="7">
        <v>3.1420414E7</v>
      </c>
      <c r="F356" s="7">
        <v>3.0989542E7</v>
      </c>
      <c r="G356" s="7">
        <v>3.60290943E8</v>
      </c>
      <c r="H356" s="7">
        <v>2.599797859E9</v>
      </c>
      <c r="I356" s="7">
        <v>1798586.0</v>
      </c>
      <c r="J356" s="7">
        <v>1723886.0</v>
      </c>
      <c r="K356" s="7">
        <v>74700.0</v>
      </c>
      <c r="L356" s="7">
        <v>18.18</v>
      </c>
      <c r="M356" s="7">
        <v>-0.12</v>
      </c>
      <c r="N356" s="7">
        <v>107624.0</v>
      </c>
      <c r="O356" s="7">
        <v>4.5243389E7</v>
      </c>
      <c r="P356" s="7" t="s">
        <v>411</v>
      </c>
      <c r="Q356" s="7">
        <v>5003.96</v>
      </c>
      <c r="R356" s="3">
        <f t="shared" si="1"/>
        <v>10000</v>
      </c>
    </row>
    <row r="357" ht="22.5" customHeight="1">
      <c r="B357" s="7" t="s">
        <v>782</v>
      </c>
      <c r="C357" s="7">
        <v>385857.0</v>
      </c>
      <c r="D357" s="7">
        <v>1216215.0</v>
      </c>
      <c r="E357" s="7">
        <v>1.1884918E7</v>
      </c>
      <c r="F357" s="7">
        <v>1.1457379E7</v>
      </c>
      <c r="G357" s="7">
        <v>2.6956281E7</v>
      </c>
      <c r="H357" s="7">
        <v>4.239885321E9</v>
      </c>
      <c r="I357" s="7">
        <v>349924.0</v>
      </c>
      <c r="J357" s="7">
        <v>288779.0</v>
      </c>
      <c r="K357" s="7">
        <v>61145.0</v>
      </c>
      <c r="L357" s="7">
        <v>59.46</v>
      </c>
      <c r="M357" s="7">
        <v>-0.07</v>
      </c>
      <c r="N357" s="7">
        <v>79653.0</v>
      </c>
      <c r="O357" s="7">
        <v>5514856.0</v>
      </c>
      <c r="P357" s="7" t="s">
        <v>411</v>
      </c>
      <c r="Q357" s="7">
        <v>5004.01</v>
      </c>
      <c r="R357" s="3">
        <f t="shared" si="1"/>
        <v>10000</v>
      </c>
    </row>
    <row r="358" ht="22.5" customHeight="1">
      <c r="B358" s="7" t="s">
        <v>783</v>
      </c>
      <c r="C358" s="7">
        <v>597850.0</v>
      </c>
      <c r="D358" s="7">
        <v>4571725.0</v>
      </c>
      <c r="E358" s="7">
        <v>3398859.0</v>
      </c>
      <c r="F358" s="7">
        <v>3243120.0</v>
      </c>
      <c r="G358" s="7">
        <v>5.018325E7</v>
      </c>
      <c r="H358" s="7">
        <v>6.974049112E9</v>
      </c>
      <c r="I358" s="7">
        <v>107954.0</v>
      </c>
      <c r="J358" s="7">
        <v>94308.0</v>
      </c>
      <c r="K358" s="7">
        <v>13646.0</v>
      </c>
      <c r="L358" s="7">
        <v>555.87</v>
      </c>
      <c r="M358" s="7">
        <v>-0.17</v>
      </c>
      <c r="N358" s="7">
        <v>19751.0</v>
      </c>
      <c r="O358" s="7">
        <v>6473749.0</v>
      </c>
      <c r="P358" s="7" t="s">
        <v>411</v>
      </c>
      <c r="Q358" s="7">
        <v>5003.82</v>
      </c>
      <c r="R358" s="3">
        <f t="shared" si="1"/>
        <v>10000</v>
      </c>
    </row>
    <row r="359" ht="22.5" customHeight="1">
      <c r="B359" s="7" t="s">
        <v>784</v>
      </c>
      <c r="C359" s="7">
        <v>21734.0</v>
      </c>
      <c r="D359" s="7">
        <v>78990.0</v>
      </c>
      <c r="E359" s="7">
        <v>2.324787E7</v>
      </c>
      <c r="F359" s="7">
        <v>2.2901339E7</v>
      </c>
      <c r="G359" s="7">
        <v>9.5118329E7</v>
      </c>
      <c r="H359" s="7">
        <v>4.220518514E9</v>
      </c>
      <c r="I359" s="7">
        <v>1094103.0</v>
      </c>
      <c r="J359" s="7">
        <v>1000699.0</v>
      </c>
      <c r="K359" s="7">
        <v>93404.0</v>
      </c>
      <c r="L359" s="7">
        <v>48.59</v>
      </c>
      <c r="M359" s="7">
        <v>-0.11</v>
      </c>
      <c r="N359" s="7">
        <v>125477.0</v>
      </c>
      <c r="O359" s="7">
        <v>1.340038E7</v>
      </c>
      <c r="P359" s="7" t="s">
        <v>411</v>
      </c>
      <c r="Q359" s="7">
        <v>5003.92</v>
      </c>
      <c r="R359" s="3">
        <f t="shared" si="1"/>
        <v>10000</v>
      </c>
    </row>
    <row r="360" ht="22.5" customHeight="1">
      <c r="B360" s="7" t="s">
        <v>785</v>
      </c>
      <c r="C360" s="7">
        <v>4040.0</v>
      </c>
      <c r="D360" s="7">
        <v>202202.0</v>
      </c>
      <c r="E360" s="7">
        <v>1.3335013E7</v>
      </c>
      <c r="F360" s="7">
        <v>1.3152022E7</v>
      </c>
      <c r="G360" s="7">
        <v>1.6150813E7</v>
      </c>
      <c r="H360" s="7">
        <v>1.445822473E9</v>
      </c>
      <c r="I360" s="7">
        <v>417816.0</v>
      </c>
      <c r="J360" s="7">
        <v>279259.0</v>
      </c>
      <c r="K360" s="7">
        <v>138557.0</v>
      </c>
      <c r="L360" s="7">
        <v>264.79</v>
      </c>
      <c r="M360" s="7">
        <v>-0.03</v>
      </c>
      <c r="N360" s="7">
        <v>158345.0</v>
      </c>
      <c r="O360" s="7">
        <v>4813141.0</v>
      </c>
      <c r="P360" s="7" t="s">
        <v>411</v>
      </c>
      <c r="Q360" s="7">
        <v>5003.96</v>
      </c>
      <c r="R360" s="3">
        <f t="shared" si="1"/>
        <v>10000</v>
      </c>
    </row>
    <row r="361" ht="22.5" customHeight="1">
      <c r="B361" s="7" t="s">
        <v>786</v>
      </c>
      <c r="C361" s="7">
        <v>134810.0</v>
      </c>
      <c r="D361" s="7">
        <v>2541120.0</v>
      </c>
      <c r="E361" s="7">
        <v>998304.0</v>
      </c>
      <c r="F361" s="7">
        <v>972931.0</v>
      </c>
      <c r="G361" s="7">
        <v>2127926.0</v>
      </c>
      <c r="H361" s="7">
        <v>9.236269314E9</v>
      </c>
      <c r="I361" s="7">
        <v>35042.0</v>
      </c>
      <c r="J361" s="7">
        <v>28413.0</v>
      </c>
      <c r="K361" s="7">
        <v>6629.0</v>
      </c>
      <c r="L361" s="7">
        <v>31.61</v>
      </c>
      <c r="M361" s="7">
        <v>-0.08</v>
      </c>
      <c r="N361" s="7">
        <v>8513.0</v>
      </c>
      <c r="O361" s="7">
        <v>361655.0</v>
      </c>
      <c r="P361" s="7" t="s">
        <v>411</v>
      </c>
      <c r="Q361" s="7">
        <v>5003.94</v>
      </c>
      <c r="R361" s="3">
        <f t="shared" si="1"/>
        <v>10000</v>
      </c>
    </row>
    <row r="362" ht="22.5" customHeight="1">
      <c r="B362" s="7" t="s">
        <v>787</v>
      </c>
      <c r="C362" s="7">
        <v>551880.0</v>
      </c>
      <c r="D362" s="7">
        <v>7941144.0</v>
      </c>
      <c r="E362" s="7">
        <v>5857186.0</v>
      </c>
      <c r="F362" s="7">
        <v>5688184.0</v>
      </c>
      <c r="G362" s="7">
        <v>7240798.0</v>
      </c>
      <c r="H362" s="7">
        <v>2.2364143668E10</v>
      </c>
      <c r="I362" s="7">
        <v>184851.0</v>
      </c>
      <c r="J362" s="7">
        <v>137941.0</v>
      </c>
      <c r="K362" s="7">
        <v>46910.0</v>
      </c>
      <c r="L362" s="7">
        <v>28.09</v>
      </c>
      <c r="M362" s="7">
        <v>-0.02</v>
      </c>
      <c r="N362" s="7">
        <v>53925.0</v>
      </c>
      <c r="O362" s="7">
        <v>3195066.0</v>
      </c>
      <c r="P362" s="7" t="s">
        <v>411</v>
      </c>
      <c r="Q362" s="7">
        <v>5003.91</v>
      </c>
      <c r="R362" s="3">
        <f t="shared" si="1"/>
        <v>10000</v>
      </c>
    </row>
    <row r="363" ht="22.5" customHeight="1">
      <c r="B363" s="7" t="s">
        <v>788</v>
      </c>
      <c r="C363" s="7">
        <v>336.0</v>
      </c>
      <c r="D363" s="7">
        <v>10430.0</v>
      </c>
      <c r="E363" s="7">
        <v>3.144922E7</v>
      </c>
      <c r="F363" s="7">
        <v>3.116779E7</v>
      </c>
      <c r="G363" s="7">
        <v>4.0273749E7</v>
      </c>
      <c r="H363" s="7">
        <v>4.56584472E8</v>
      </c>
      <c r="I363" s="7">
        <v>1523621.0</v>
      </c>
      <c r="J363" s="7">
        <v>1297811.0</v>
      </c>
      <c r="K363" s="7">
        <v>225810.0</v>
      </c>
      <c r="L363" s="7">
        <v>86.8</v>
      </c>
      <c r="M363" s="7">
        <v>-0.03</v>
      </c>
      <c r="N363" s="7">
        <v>251632.0</v>
      </c>
      <c r="O363" s="7">
        <v>1.6709249E7</v>
      </c>
      <c r="P363" s="7" t="s">
        <v>411</v>
      </c>
      <c r="Q363" s="7">
        <v>5004.01</v>
      </c>
      <c r="R363" s="3">
        <f t="shared" si="1"/>
        <v>10000</v>
      </c>
    </row>
    <row r="364" ht="22.5" customHeight="1">
      <c r="B364" s="7" t="s">
        <v>789</v>
      </c>
      <c r="C364" s="7">
        <v>56108.0</v>
      </c>
      <c r="D364" s="7">
        <v>208888.0</v>
      </c>
      <c r="E364" s="7">
        <v>2524472.0</v>
      </c>
      <c r="F364" s="7">
        <v>2460601.0</v>
      </c>
      <c r="G364" s="7">
        <v>6204215.0</v>
      </c>
      <c r="H364" s="7">
        <v>9.792027971E9</v>
      </c>
      <c r="I364" s="7">
        <v>89275.0</v>
      </c>
      <c r="J364" s="7">
        <v>80249.0</v>
      </c>
      <c r="K364" s="7">
        <v>9026.0</v>
      </c>
      <c r="L364" s="7">
        <v>121.47</v>
      </c>
      <c r="M364" s="7">
        <v>-0.07</v>
      </c>
      <c r="N364" s="7">
        <v>12479.0</v>
      </c>
      <c r="O364" s="7">
        <v>1260952.0</v>
      </c>
      <c r="P364" s="7" t="s">
        <v>411</v>
      </c>
      <c r="Q364" s="7">
        <v>5004.06</v>
      </c>
      <c r="R364" s="3">
        <f t="shared" si="1"/>
        <v>10000</v>
      </c>
    </row>
    <row r="365" ht="22.5" customHeight="1">
      <c r="B365" s="7" t="s">
        <v>614</v>
      </c>
      <c r="C365" s="7">
        <v>11020.0</v>
      </c>
      <c r="D365" s="7">
        <v>241816.0</v>
      </c>
      <c r="E365" s="7">
        <v>7946557.0</v>
      </c>
      <c r="F365" s="7">
        <v>7745181.0</v>
      </c>
      <c r="G365" s="7">
        <v>2.4490772E7</v>
      </c>
      <c r="H365" s="7">
        <v>2.380506325E9</v>
      </c>
      <c r="I365" s="7">
        <v>411783.0</v>
      </c>
      <c r="J365" s="7">
        <v>389647.0</v>
      </c>
      <c r="K365" s="7">
        <v>22136.0</v>
      </c>
      <c r="L365" s="7">
        <v>54.94</v>
      </c>
      <c r="M365" s="7">
        <v>-0.1</v>
      </c>
      <c r="N365" s="7">
        <v>30187.0</v>
      </c>
      <c r="O365" s="7">
        <v>5303685.0</v>
      </c>
      <c r="P365" s="7" t="s">
        <v>411</v>
      </c>
      <c r="Q365" s="7">
        <v>5004.01</v>
      </c>
      <c r="R365" s="3">
        <f t="shared" si="1"/>
        <v>10000</v>
      </c>
    </row>
    <row r="366" ht="22.5" customHeight="1">
      <c r="B366" s="7" t="s">
        <v>790</v>
      </c>
      <c r="C366" s="7">
        <v>25025.0</v>
      </c>
      <c r="D366" s="7">
        <v>49872.0</v>
      </c>
      <c r="E366" s="7">
        <v>2.5896193E7</v>
      </c>
      <c r="F366" s="7">
        <v>2.5509666E7</v>
      </c>
      <c r="G366" s="7">
        <v>5.9376125E7</v>
      </c>
      <c r="H366" s="7">
        <v>3.315365037E9</v>
      </c>
      <c r="I366" s="7">
        <v>1308125.0</v>
      </c>
      <c r="J366" s="7">
        <v>1145804.0</v>
      </c>
      <c r="K366" s="7">
        <v>162321.0</v>
      </c>
      <c r="L366" s="7">
        <v>38.33</v>
      </c>
      <c r="M366" s="7">
        <v>-0.07</v>
      </c>
      <c r="N366" s="7">
        <v>191607.0</v>
      </c>
      <c r="O366" s="7">
        <v>1.2440656E7</v>
      </c>
      <c r="P366" s="7" t="s">
        <v>411</v>
      </c>
      <c r="Q366" s="7">
        <v>5004.06</v>
      </c>
      <c r="R366" s="3">
        <f t="shared" si="1"/>
        <v>10000</v>
      </c>
    </row>
    <row r="367" ht="22.5" customHeight="1">
      <c r="B367" s="7" t="s">
        <v>791</v>
      </c>
      <c r="C367" s="7">
        <v>2926.0</v>
      </c>
      <c r="D367" s="7">
        <v>9494.0</v>
      </c>
      <c r="E367" s="7">
        <v>1.5983282E7</v>
      </c>
      <c r="F367" s="7">
        <v>1.5831759E7</v>
      </c>
      <c r="G367" s="7">
        <v>2.401493E7</v>
      </c>
      <c r="H367" s="7">
        <v>1.654644934E9</v>
      </c>
      <c r="I367" s="7">
        <v>584235.0</v>
      </c>
      <c r="J367" s="7">
        <v>467935.0</v>
      </c>
      <c r="K367" s="7">
        <v>116300.0</v>
      </c>
      <c r="L367" s="7">
        <v>35.77</v>
      </c>
      <c r="M367" s="7">
        <v>-0.05</v>
      </c>
      <c r="N367" s="7">
        <v>146105.0</v>
      </c>
      <c r="O367" s="7">
        <v>4203797.0</v>
      </c>
      <c r="P367" s="7" t="s">
        <v>411</v>
      </c>
      <c r="Q367" s="7">
        <v>5003.92</v>
      </c>
      <c r="R367" s="3">
        <f t="shared" si="1"/>
        <v>10000</v>
      </c>
    </row>
    <row r="368" ht="22.5" customHeight="1">
      <c r="B368" s="7" t="s">
        <v>792</v>
      </c>
      <c r="C368" s="7">
        <v>124533.0</v>
      </c>
      <c r="D368" s="7">
        <v>1535105.0</v>
      </c>
      <c r="E368" s="7">
        <v>9133288.0</v>
      </c>
      <c r="F368" s="7">
        <v>8871312.0</v>
      </c>
      <c r="G368" s="7">
        <v>4.6536545E7</v>
      </c>
      <c r="H368" s="7">
        <v>9.397875003E9</v>
      </c>
      <c r="I368" s="7">
        <v>468230.0</v>
      </c>
      <c r="J368" s="7">
        <v>442326.0</v>
      </c>
      <c r="K368" s="7">
        <v>25904.0</v>
      </c>
      <c r="L368" s="7">
        <v>23.67</v>
      </c>
      <c r="M368" s="7">
        <v>-0.16</v>
      </c>
      <c r="N368" s="7">
        <v>36919.0</v>
      </c>
      <c r="O368" s="7">
        <v>1.1871483E7</v>
      </c>
      <c r="P368" s="7" t="s">
        <v>411</v>
      </c>
      <c r="Q368" s="7">
        <v>5003.87</v>
      </c>
      <c r="R368" s="3">
        <f t="shared" si="1"/>
        <v>10000</v>
      </c>
    </row>
    <row r="369" ht="22.5" customHeight="1">
      <c r="B369" s="7" t="s">
        <v>793</v>
      </c>
      <c r="C369" s="7">
        <v>2744.0</v>
      </c>
      <c r="D369" s="7">
        <v>9840.0</v>
      </c>
      <c r="E369" s="7">
        <v>9565158.0</v>
      </c>
      <c r="F369" s="7">
        <v>9562750.0</v>
      </c>
      <c r="G369" s="7">
        <v>9720153.0</v>
      </c>
      <c r="H369" s="7">
        <v>5.810063252E9</v>
      </c>
      <c r="I369" s="7">
        <v>248961.0</v>
      </c>
      <c r="J369" s="7">
        <v>163732.0</v>
      </c>
      <c r="K369" s="7">
        <v>85229.0</v>
      </c>
      <c r="L369" s="7">
        <v>56.14</v>
      </c>
      <c r="M369" s="7">
        <v>0.0</v>
      </c>
      <c r="N369" s="7">
        <v>95285.0</v>
      </c>
      <c r="O369" s="7">
        <v>4988040.0</v>
      </c>
      <c r="P369" s="7" t="s">
        <v>411</v>
      </c>
      <c r="Q369" s="7">
        <v>5004.06</v>
      </c>
      <c r="R369" s="3">
        <f t="shared" si="1"/>
        <v>10000</v>
      </c>
    </row>
    <row r="370" ht="22.5" customHeight="1">
      <c r="B370" s="7" t="s">
        <v>794</v>
      </c>
      <c r="C370" s="7">
        <v>2965.0</v>
      </c>
      <c r="D370" s="7">
        <v>10472.0</v>
      </c>
      <c r="E370" s="7">
        <v>1.1572304E7</v>
      </c>
      <c r="F370" s="7">
        <v>1.1571206E7</v>
      </c>
      <c r="G370" s="7">
        <v>1.1750106E7</v>
      </c>
      <c r="H370" s="7">
        <v>8.338952973E9</v>
      </c>
      <c r="I370" s="7">
        <v>243445.0</v>
      </c>
      <c r="J370" s="7">
        <v>131994.0</v>
      </c>
      <c r="K370" s="7">
        <v>111451.0</v>
      </c>
      <c r="L370" s="7">
        <v>56.8</v>
      </c>
      <c r="M370" s="7">
        <v>0.0</v>
      </c>
      <c r="N370" s="7">
        <v>127156.0</v>
      </c>
      <c r="O370" s="7">
        <v>5082326.0</v>
      </c>
      <c r="P370" s="7" t="s">
        <v>411</v>
      </c>
      <c r="Q370" s="7">
        <v>5004.07</v>
      </c>
      <c r="R370" s="3">
        <f t="shared" si="1"/>
        <v>10000</v>
      </c>
    </row>
    <row r="371" ht="22.5" customHeight="1">
      <c r="B371" s="7" t="s">
        <v>795</v>
      </c>
      <c r="C371" s="7">
        <v>9456.0</v>
      </c>
      <c r="D371" s="7">
        <v>188597.0</v>
      </c>
      <c r="E371" s="7">
        <v>1.3473842E7</v>
      </c>
      <c r="F371" s="7">
        <v>1.3321037E7</v>
      </c>
      <c r="G371" s="7">
        <v>1.6307917E7</v>
      </c>
      <c r="H371" s="7">
        <v>1.169549219E9</v>
      </c>
      <c r="I371" s="7">
        <v>398248.0</v>
      </c>
      <c r="J371" s="7">
        <v>261701.0</v>
      </c>
      <c r="K371" s="7">
        <v>136547.0</v>
      </c>
      <c r="L371" s="7">
        <v>571.76</v>
      </c>
      <c r="M371" s="7">
        <v>-0.03</v>
      </c>
      <c r="N371" s="7">
        <v>156991.0</v>
      </c>
      <c r="O371" s="7">
        <v>5032239.0</v>
      </c>
      <c r="P371" s="7" t="s">
        <v>411</v>
      </c>
      <c r="Q371" s="7">
        <v>5003.98</v>
      </c>
      <c r="R371" s="3">
        <f t="shared" si="1"/>
        <v>10000</v>
      </c>
    </row>
    <row r="372" ht="22.5" customHeight="1">
      <c r="B372" s="7" t="s">
        <v>796</v>
      </c>
      <c r="C372" s="7">
        <v>6650.0</v>
      </c>
      <c r="D372" s="7">
        <v>542070.0</v>
      </c>
      <c r="E372" s="7">
        <v>9576396.0</v>
      </c>
      <c r="F372" s="7">
        <v>9476025.0</v>
      </c>
      <c r="G372" s="7">
        <v>1.0841868E7</v>
      </c>
      <c r="H372" s="7">
        <v>3.66136526E8</v>
      </c>
      <c r="I372" s="7">
        <v>178436.0</v>
      </c>
      <c r="J372" s="7">
        <v>90774.0</v>
      </c>
      <c r="K372" s="7">
        <v>87662.0</v>
      </c>
      <c r="L372" s="7">
        <v>970.86</v>
      </c>
      <c r="M372" s="7">
        <v>-0.01</v>
      </c>
      <c r="N372" s="7">
        <v>97401.0</v>
      </c>
      <c r="O372" s="7">
        <v>5326061.0</v>
      </c>
      <c r="P372" s="7" t="s">
        <v>411</v>
      </c>
      <c r="Q372" s="7">
        <v>5003.9</v>
      </c>
      <c r="R372" s="3">
        <f t="shared" si="1"/>
        <v>10000</v>
      </c>
    </row>
    <row r="373" ht="22.5" customHeight="1">
      <c r="B373" s="7" t="s">
        <v>797</v>
      </c>
      <c r="C373" s="7">
        <v>2087.0</v>
      </c>
      <c r="D373" s="7">
        <v>7590.0</v>
      </c>
      <c r="E373" s="7">
        <v>1.516151E7</v>
      </c>
      <c r="F373" s="7">
        <v>1.5161052E7</v>
      </c>
      <c r="G373" s="7">
        <v>1.5354553E7</v>
      </c>
      <c r="H373" s="7">
        <v>9.114893441E9</v>
      </c>
      <c r="I373" s="7">
        <v>296926.0</v>
      </c>
      <c r="J373" s="7">
        <v>121342.0</v>
      </c>
      <c r="K373" s="7">
        <v>175584.0</v>
      </c>
      <c r="L373" s="7">
        <v>55.25</v>
      </c>
      <c r="M373" s="7">
        <v>0.0</v>
      </c>
      <c r="N373" s="7">
        <v>200650.0</v>
      </c>
      <c r="O373" s="7">
        <v>5112786.0</v>
      </c>
      <c r="P373" s="7" t="s">
        <v>411</v>
      </c>
      <c r="Q373" s="7">
        <v>5004.05</v>
      </c>
      <c r="R373" s="3">
        <f t="shared" si="1"/>
        <v>10000</v>
      </c>
    </row>
    <row r="374" ht="22.5" customHeight="1">
      <c r="B374" s="7" t="s">
        <v>798</v>
      </c>
      <c r="C374" s="7">
        <v>13849.0</v>
      </c>
      <c r="D374" s="7">
        <v>5739033.0</v>
      </c>
      <c r="E374" s="7">
        <v>1.229254E7</v>
      </c>
      <c r="F374" s="7">
        <v>1.1972433E7</v>
      </c>
      <c r="G374" s="7">
        <v>4.4299251E7</v>
      </c>
      <c r="H374" s="7">
        <v>2.823945174E9</v>
      </c>
      <c r="I374" s="7">
        <v>232643.0</v>
      </c>
      <c r="J374" s="7">
        <v>175752.0</v>
      </c>
      <c r="K374" s="7">
        <v>56891.0</v>
      </c>
      <c r="L374" s="7">
        <v>110.8</v>
      </c>
      <c r="M374" s="7">
        <v>-0.06</v>
      </c>
      <c r="N374" s="7">
        <v>77029.0</v>
      </c>
      <c r="O374" s="7">
        <v>5732295.0</v>
      </c>
      <c r="P374" s="7" t="s">
        <v>411</v>
      </c>
      <c r="Q374" s="7">
        <v>5004.09</v>
      </c>
      <c r="R374" s="3">
        <f t="shared" si="1"/>
        <v>10000</v>
      </c>
    </row>
    <row r="375" ht="22.5" customHeight="1">
      <c r="B375" s="7" t="s">
        <v>611</v>
      </c>
      <c r="C375" s="7">
        <v>2262.0</v>
      </c>
      <c r="D375" s="7">
        <v>29659.0</v>
      </c>
      <c r="E375" s="7">
        <v>9693444.0</v>
      </c>
      <c r="F375" s="7">
        <v>9628875.0</v>
      </c>
      <c r="G375" s="7">
        <v>1.4160892E7</v>
      </c>
      <c r="H375" s="7">
        <v>6.18771228E8</v>
      </c>
      <c r="I375" s="7">
        <v>471476.0</v>
      </c>
      <c r="J375" s="7">
        <v>415816.0</v>
      </c>
      <c r="K375" s="7">
        <v>55660.0</v>
      </c>
      <c r="L375" s="7">
        <v>21.79</v>
      </c>
      <c r="M375" s="7">
        <v>-0.04</v>
      </c>
      <c r="N375" s="7">
        <v>67294.0</v>
      </c>
      <c r="O375" s="7">
        <v>4304712.0</v>
      </c>
      <c r="P375" s="7" t="s">
        <v>411</v>
      </c>
      <c r="Q375" s="7">
        <v>5004.06</v>
      </c>
      <c r="R375" s="3">
        <f t="shared" si="1"/>
        <v>10000</v>
      </c>
    </row>
    <row r="376" ht="22.5" customHeight="1">
      <c r="B376" s="7" t="s">
        <v>801</v>
      </c>
      <c r="C376" s="7">
        <v>9612.0</v>
      </c>
      <c r="D376" s="7">
        <v>210000.0</v>
      </c>
      <c r="E376" s="7">
        <v>8162455.0</v>
      </c>
      <c r="F376" s="7">
        <v>7952123.0</v>
      </c>
      <c r="G376" s="7">
        <v>2.5789436E7</v>
      </c>
      <c r="H376" s="7">
        <v>2.232536702E9</v>
      </c>
      <c r="I376" s="7">
        <v>431226.0</v>
      </c>
      <c r="J376" s="7">
        <v>409546.0</v>
      </c>
      <c r="K376" s="7">
        <v>21680.0</v>
      </c>
      <c r="L376" s="7">
        <v>54.76</v>
      </c>
      <c r="M376" s="7">
        <v>-0.11</v>
      </c>
      <c r="N376" s="7">
        <v>29752.0</v>
      </c>
      <c r="O376" s="7">
        <v>5353076.0</v>
      </c>
      <c r="P376" s="7" t="s">
        <v>411</v>
      </c>
      <c r="Q376" s="7">
        <v>5004.03</v>
      </c>
      <c r="R376" s="3">
        <f t="shared" si="1"/>
        <v>10000</v>
      </c>
    </row>
    <row r="377" ht="22.5" customHeight="1">
      <c r="B377" s="7" t="s">
        <v>804</v>
      </c>
      <c r="C377" s="7">
        <v>576.0</v>
      </c>
      <c r="D377" s="7">
        <v>1135338.0</v>
      </c>
      <c r="E377" s="7">
        <v>2.1004948E7</v>
      </c>
      <c r="F377" s="7">
        <v>2.0566204E7</v>
      </c>
      <c r="G377" s="7">
        <v>2.6350014E7</v>
      </c>
      <c r="H377" s="7">
        <v>7.66575322E8</v>
      </c>
      <c r="I377" s="7">
        <v>484731.0</v>
      </c>
      <c r="J377" s="7">
        <v>333209.0</v>
      </c>
      <c r="K377" s="7">
        <v>151522.0</v>
      </c>
      <c r="L377" s="7">
        <v>40.65</v>
      </c>
      <c r="M377" s="7">
        <v>-0.04</v>
      </c>
      <c r="N377" s="7">
        <v>180882.0</v>
      </c>
      <c r="O377" s="7">
        <v>1.0611975E7</v>
      </c>
      <c r="P377" s="7" t="s">
        <v>411</v>
      </c>
      <c r="Q377" s="7">
        <v>5004.01</v>
      </c>
      <c r="R377" s="3">
        <f t="shared" si="1"/>
        <v>10000</v>
      </c>
    </row>
    <row r="378" ht="22.5" customHeight="1">
      <c r="B378" s="7" t="s">
        <v>597</v>
      </c>
      <c r="C378" s="7">
        <v>54037.0</v>
      </c>
      <c r="D378" s="7">
        <v>80649.0</v>
      </c>
      <c r="E378" s="7">
        <v>8147914.0</v>
      </c>
      <c r="F378" s="7">
        <v>7980435.0</v>
      </c>
      <c r="G378" s="7">
        <v>2.6103357E7</v>
      </c>
      <c r="H378" s="7">
        <v>9.875536417E9</v>
      </c>
      <c r="I378" s="7">
        <v>410426.0</v>
      </c>
      <c r="J378" s="7">
        <v>372748.0</v>
      </c>
      <c r="K378" s="7">
        <v>37678.0</v>
      </c>
      <c r="L378" s="7">
        <v>65.04</v>
      </c>
      <c r="M378" s="7">
        <v>-0.07</v>
      </c>
      <c r="N378" s="7">
        <v>45101.0</v>
      </c>
      <c r="O378" s="7">
        <v>4837127.0</v>
      </c>
      <c r="P378" s="7" t="s">
        <v>411</v>
      </c>
      <c r="Q378" s="7">
        <v>5004.06</v>
      </c>
      <c r="R378" s="3">
        <f t="shared" si="1"/>
        <v>10000</v>
      </c>
    </row>
    <row r="379" ht="22.5" customHeight="1">
      <c r="B379" s="7" t="s">
        <v>805</v>
      </c>
      <c r="C379" s="7">
        <v>102341.0</v>
      </c>
      <c r="D379" s="7">
        <v>152771.0</v>
      </c>
      <c r="E379" s="7">
        <v>5721478.0</v>
      </c>
      <c r="F379" s="7">
        <v>5587410.0</v>
      </c>
      <c r="G379" s="7">
        <v>2.0001227E7</v>
      </c>
      <c r="H379" s="7">
        <v>9.97762066E9</v>
      </c>
      <c r="I379" s="7">
        <v>238888.0</v>
      </c>
      <c r="J379" s="7">
        <v>201411.0</v>
      </c>
      <c r="K379" s="7">
        <v>37477.0</v>
      </c>
      <c r="L379" s="7">
        <v>83.91</v>
      </c>
      <c r="M379" s="7">
        <v>-0.07</v>
      </c>
      <c r="N379" s="7">
        <v>44894.0</v>
      </c>
      <c r="O379" s="7">
        <v>2957015.0</v>
      </c>
      <c r="P379" s="7" t="s">
        <v>411</v>
      </c>
      <c r="Q379" s="7">
        <v>5004.02</v>
      </c>
      <c r="R379" s="3">
        <f t="shared" si="1"/>
        <v>10000</v>
      </c>
    </row>
    <row r="380" ht="22.5" customHeight="1">
      <c r="B380" s="7" t="s">
        <v>806</v>
      </c>
      <c r="C380" s="7">
        <v>35620.0</v>
      </c>
      <c r="D380" s="7">
        <v>1019503.0</v>
      </c>
      <c r="E380" s="7">
        <v>1.7723153E7</v>
      </c>
      <c r="F380" s="7">
        <v>1.7485406E7</v>
      </c>
      <c r="G380" s="7">
        <v>2.2484812E7</v>
      </c>
      <c r="H380" s="7">
        <v>1.272527007E9</v>
      </c>
      <c r="I380" s="7">
        <v>635053.0</v>
      </c>
      <c r="J380" s="7">
        <v>472603.0</v>
      </c>
      <c r="K380" s="7">
        <v>162450.0</v>
      </c>
      <c r="L380" s="7">
        <v>127.77</v>
      </c>
      <c r="M380" s="7">
        <v>-0.03</v>
      </c>
      <c r="N380" s="7">
        <v>191381.0</v>
      </c>
      <c r="O380" s="7">
        <v>5770897.0</v>
      </c>
      <c r="P380" s="7" t="s">
        <v>411</v>
      </c>
      <c r="Q380" s="7">
        <v>5004.02</v>
      </c>
      <c r="R380" s="3">
        <f t="shared" si="1"/>
        <v>10000</v>
      </c>
    </row>
    <row r="381" ht="22.5" customHeight="1">
      <c r="B381" s="7" t="s">
        <v>807</v>
      </c>
      <c r="C381" s="7">
        <v>1200.0</v>
      </c>
      <c r="D381" s="7">
        <v>21040.0</v>
      </c>
      <c r="E381" s="7">
        <v>2.0613903E7</v>
      </c>
      <c r="F381" s="7">
        <v>2.0513403E7</v>
      </c>
      <c r="G381" s="7">
        <v>5.6697157E7</v>
      </c>
      <c r="H381" s="7">
        <v>1.992432859E9</v>
      </c>
      <c r="I381" s="7">
        <v>747920.0</v>
      </c>
      <c r="J381" s="7">
        <v>581061.0</v>
      </c>
      <c r="K381" s="7">
        <v>166859.0</v>
      </c>
      <c r="L381" s="7">
        <v>62.74</v>
      </c>
      <c r="M381" s="7">
        <v>-0.05</v>
      </c>
      <c r="N381" s="7">
        <v>195929.0</v>
      </c>
      <c r="O381" s="7">
        <v>8423571.0</v>
      </c>
      <c r="P381" s="7" t="s">
        <v>411</v>
      </c>
      <c r="Q381" s="7">
        <v>5004.04</v>
      </c>
      <c r="R381" s="3">
        <f t="shared" si="1"/>
        <v>10000</v>
      </c>
    </row>
    <row r="382" ht="22.5" customHeight="1">
      <c r="B382" s="7" t="s">
        <v>808</v>
      </c>
      <c r="C382" s="7">
        <v>1250.0</v>
      </c>
      <c r="D382" s="7">
        <v>15375.0</v>
      </c>
      <c r="E382" s="7">
        <v>2.5826483E7</v>
      </c>
      <c r="F382" s="7">
        <v>2.5601274E7</v>
      </c>
      <c r="G382" s="7">
        <v>3.0972258E7</v>
      </c>
      <c r="H382" s="7">
        <v>8.05251491E8</v>
      </c>
      <c r="I382" s="7">
        <v>922552.0</v>
      </c>
      <c r="J382" s="7">
        <v>733015.0</v>
      </c>
      <c r="K382" s="7">
        <v>189537.0</v>
      </c>
      <c r="L382" s="7">
        <v>187.26</v>
      </c>
      <c r="M382" s="7">
        <v>-0.03</v>
      </c>
      <c r="N382" s="7">
        <v>217296.0</v>
      </c>
      <c r="O382" s="7">
        <v>1.3143818E7</v>
      </c>
      <c r="P382" s="7" t="s">
        <v>411</v>
      </c>
      <c r="Q382" s="7">
        <v>5003.97</v>
      </c>
      <c r="R382" s="3">
        <f t="shared" si="1"/>
        <v>10000</v>
      </c>
    </row>
    <row r="383" ht="22.5" customHeight="1">
      <c r="B383" s="7" t="s">
        <v>809</v>
      </c>
      <c r="C383" s="7">
        <v>7582.0</v>
      </c>
      <c r="D383" s="7">
        <v>34329.0</v>
      </c>
      <c r="E383" s="7">
        <v>1.1013209E7</v>
      </c>
      <c r="F383" s="7">
        <v>1.0929277E7</v>
      </c>
      <c r="G383" s="7">
        <v>1.2073539E7</v>
      </c>
      <c r="H383" s="7">
        <v>8.154887326E9</v>
      </c>
      <c r="I383" s="7">
        <v>630558.0</v>
      </c>
      <c r="J383" s="7">
        <v>542886.0</v>
      </c>
      <c r="K383" s="7">
        <v>87672.0</v>
      </c>
      <c r="L383" s="7">
        <v>35.06</v>
      </c>
      <c r="M383" s="7">
        <v>-0.02</v>
      </c>
      <c r="N383" s="7">
        <v>102352.0</v>
      </c>
      <c r="O383" s="7">
        <v>4170934.0</v>
      </c>
      <c r="P383" s="7" t="s">
        <v>411</v>
      </c>
      <c r="Q383" s="7">
        <v>5004.03</v>
      </c>
      <c r="R383" s="3">
        <f t="shared" si="1"/>
        <v>10000</v>
      </c>
    </row>
    <row r="384" ht="22.5" customHeight="1">
      <c r="B384" s="7" t="s">
        <v>810</v>
      </c>
      <c r="C384" s="7">
        <v>11020.0</v>
      </c>
      <c r="D384" s="7">
        <v>241816.0</v>
      </c>
      <c r="E384" s="7">
        <v>8019607.0</v>
      </c>
      <c r="F384" s="7">
        <v>7817980.0</v>
      </c>
      <c r="G384" s="7">
        <v>2.4988407E7</v>
      </c>
      <c r="H384" s="7">
        <v>2.357734711E9</v>
      </c>
      <c r="I384" s="7">
        <v>434802.0</v>
      </c>
      <c r="J384" s="7">
        <v>412818.0</v>
      </c>
      <c r="K384" s="7">
        <v>21984.0</v>
      </c>
      <c r="L384" s="7">
        <v>52.03</v>
      </c>
      <c r="M384" s="7">
        <v>-0.11</v>
      </c>
      <c r="N384" s="7">
        <v>30045.0</v>
      </c>
      <c r="O384" s="7">
        <v>5269904.0</v>
      </c>
      <c r="P384" s="7" t="s">
        <v>411</v>
      </c>
      <c r="Q384" s="7">
        <v>5004.03</v>
      </c>
      <c r="R384" s="3">
        <f t="shared" si="1"/>
        <v>10000</v>
      </c>
    </row>
    <row r="385" ht="22.5" customHeight="1">
      <c r="B385" s="7" t="s">
        <v>811</v>
      </c>
      <c r="C385" s="7">
        <v>13079.0</v>
      </c>
      <c r="D385" s="7">
        <v>252490.0</v>
      </c>
      <c r="E385" s="7">
        <v>1.5142438E7</v>
      </c>
      <c r="F385" s="7">
        <v>1.4996188E7</v>
      </c>
      <c r="G385" s="7">
        <v>1.7960064E7</v>
      </c>
      <c r="H385" s="7">
        <v>3.573864796E9</v>
      </c>
      <c r="I385" s="7">
        <v>431169.0</v>
      </c>
      <c r="J385" s="7">
        <v>262973.0</v>
      </c>
      <c r="K385" s="7">
        <v>168196.0</v>
      </c>
      <c r="L385" s="7">
        <v>255.93</v>
      </c>
      <c r="M385" s="7">
        <v>-0.03</v>
      </c>
      <c r="N385" s="7">
        <v>192750.0</v>
      </c>
      <c r="O385" s="7">
        <v>4876822.0</v>
      </c>
      <c r="P385" s="7" t="s">
        <v>411</v>
      </c>
      <c r="Q385" s="7">
        <v>5004.01</v>
      </c>
      <c r="R385" s="3">
        <f t="shared" si="1"/>
        <v>10000</v>
      </c>
    </row>
    <row r="386" ht="22.5" customHeight="1">
      <c r="B386" s="7" t="s">
        <v>812</v>
      </c>
      <c r="C386" s="7">
        <v>1757.0</v>
      </c>
      <c r="D386" s="7">
        <v>7470.0</v>
      </c>
      <c r="E386" s="7">
        <v>1.3226732E7</v>
      </c>
      <c r="F386" s="7">
        <v>1.3090354E7</v>
      </c>
      <c r="G386" s="7">
        <v>2.1362838E7</v>
      </c>
      <c r="H386" s="7">
        <v>1.477938123E9</v>
      </c>
      <c r="I386" s="7">
        <v>553765.0</v>
      </c>
      <c r="J386" s="7">
        <v>470500.0</v>
      </c>
      <c r="K386" s="7">
        <v>83265.0</v>
      </c>
      <c r="L386" s="7">
        <v>36.34</v>
      </c>
      <c r="M386" s="7">
        <v>-0.05</v>
      </c>
      <c r="N386" s="7">
        <v>105366.0</v>
      </c>
      <c r="O386" s="7">
        <v>4196918.0</v>
      </c>
      <c r="P386" s="7" t="s">
        <v>411</v>
      </c>
      <c r="Q386" s="7">
        <v>5004.04</v>
      </c>
      <c r="R386" s="3">
        <f t="shared" si="1"/>
        <v>10000</v>
      </c>
    </row>
    <row r="387" ht="22.5" customHeight="1">
      <c r="B387" s="7" t="s">
        <v>813</v>
      </c>
      <c r="C387" s="7">
        <v>7600.0</v>
      </c>
      <c r="D387" s="7">
        <v>144800.0</v>
      </c>
      <c r="E387" s="7">
        <v>2.152845E7</v>
      </c>
      <c r="F387" s="7">
        <v>2.135644E7</v>
      </c>
      <c r="G387" s="7">
        <v>2.5018969E7</v>
      </c>
      <c r="H387" s="7">
        <v>1.162711115E9</v>
      </c>
      <c r="I387" s="7">
        <v>708560.0</v>
      </c>
      <c r="J387" s="7">
        <v>518682.0</v>
      </c>
      <c r="K387" s="7">
        <v>189878.0</v>
      </c>
      <c r="L387" s="7">
        <v>114.65</v>
      </c>
      <c r="M387" s="7">
        <v>-0.03</v>
      </c>
      <c r="N387" s="7">
        <v>217605.0</v>
      </c>
      <c r="O387" s="7">
        <v>9380925.0</v>
      </c>
      <c r="P387" s="7" t="s">
        <v>411</v>
      </c>
      <c r="Q387" s="7">
        <v>5004.04</v>
      </c>
      <c r="R387" s="3">
        <f t="shared" si="1"/>
        <v>10000</v>
      </c>
    </row>
    <row r="388" ht="22.5" customHeight="1">
      <c r="B388" s="7" t="s">
        <v>814</v>
      </c>
      <c r="C388" s="7">
        <v>26541.0</v>
      </c>
      <c r="D388" s="7">
        <v>117126.0</v>
      </c>
      <c r="E388" s="7">
        <v>2.2966751E7</v>
      </c>
      <c r="F388" s="7">
        <v>2.2557495E7</v>
      </c>
      <c r="G388" s="7">
        <v>2.05206718E8</v>
      </c>
      <c r="H388" s="7">
        <v>4.40841177E9</v>
      </c>
      <c r="I388" s="7">
        <v>963923.0</v>
      </c>
      <c r="J388" s="7">
        <v>900933.0</v>
      </c>
      <c r="K388" s="7">
        <v>62990.0</v>
      </c>
      <c r="L388" s="7">
        <v>65.19</v>
      </c>
      <c r="M388" s="7">
        <v>-0.13</v>
      </c>
      <c r="N388" s="7">
        <v>96425.0</v>
      </c>
      <c r="O388" s="7">
        <v>2.1308773E7</v>
      </c>
      <c r="P388" s="7" t="s">
        <v>411</v>
      </c>
      <c r="Q388" s="7">
        <v>5004.03</v>
      </c>
      <c r="R388" s="3">
        <f t="shared" si="1"/>
        <v>10000</v>
      </c>
    </row>
    <row r="389" ht="22.5" customHeight="1">
      <c r="B389" s="7" t="s">
        <v>815</v>
      </c>
      <c r="C389" s="7">
        <v>1574100.0</v>
      </c>
      <c r="D389" s="7">
        <v>8746143.0</v>
      </c>
      <c r="E389" s="7">
        <v>1210277.0</v>
      </c>
      <c r="F389" s="7">
        <v>1079752.0</v>
      </c>
      <c r="G389" s="7">
        <v>6.0856157E7</v>
      </c>
      <c r="H389" s="7">
        <v>1.7539998699E10</v>
      </c>
      <c r="I389" s="7">
        <v>32706.0</v>
      </c>
      <c r="J389" s="7">
        <v>31091.0</v>
      </c>
      <c r="K389" s="7">
        <v>1615.0</v>
      </c>
      <c r="L389" s="7">
        <v>592.29</v>
      </c>
      <c r="M389" s="7">
        <v>-0.21</v>
      </c>
      <c r="N389" s="7">
        <v>3770.0</v>
      </c>
      <c r="O389" s="7">
        <v>1.0437654E7</v>
      </c>
      <c r="P389" s="7" t="s">
        <v>411</v>
      </c>
      <c r="Q389" s="7">
        <v>5003.82</v>
      </c>
      <c r="R389" s="3">
        <f t="shared" si="1"/>
        <v>10000</v>
      </c>
    </row>
    <row r="390" ht="22.5" customHeight="1">
      <c r="B390" s="7" t="s">
        <v>816</v>
      </c>
      <c r="C390" s="7">
        <v>133566.0</v>
      </c>
      <c r="D390" s="7">
        <v>456000.0</v>
      </c>
      <c r="E390" s="7">
        <v>3657506.0</v>
      </c>
      <c r="F390" s="7">
        <v>3557537.0</v>
      </c>
      <c r="G390" s="7">
        <v>1.6981662E7</v>
      </c>
      <c r="H390" s="7">
        <v>2.255730752E9</v>
      </c>
      <c r="I390" s="7">
        <v>94622.0</v>
      </c>
      <c r="J390" s="7">
        <v>65207.0</v>
      </c>
      <c r="K390" s="7">
        <v>29415.0</v>
      </c>
      <c r="L390" s="7">
        <v>2987.24</v>
      </c>
      <c r="M390" s="7">
        <v>-0.05</v>
      </c>
      <c r="N390" s="7">
        <v>35711.0</v>
      </c>
      <c r="O390" s="7">
        <v>1518923.0</v>
      </c>
      <c r="P390" s="7" t="s">
        <v>411</v>
      </c>
      <c r="Q390" s="7">
        <v>5003.94</v>
      </c>
      <c r="R390" s="3">
        <f t="shared" si="1"/>
        <v>10000</v>
      </c>
    </row>
    <row r="391" ht="22.5" customHeight="1">
      <c r="B391" s="7" t="s">
        <v>817</v>
      </c>
      <c r="C391" s="7">
        <v>552.0</v>
      </c>
      <c r="D391" s="7">
        <v>1001616.0</v>
      </c>
      <c r="E391" s="7">
        <v>2.2808451E7</v>
      </c>
      <c r="F391" s="7">
        <v>2.2335026E7</v>
      </c>
      <c r="G391" s="7">
        <v>2.8630113E7</v>
      </c>
      <c r="H391" s="7">
        <v>8.26689347E8</v>
      </c>
      <c r="I391" s="7">
        <v>554587.0</v>
      </c>
      <c r="J391" s="7">
        <v>405301.0</v>
      </c>
      <c r="K391" s="7">
        <v>149286.0</v>
      </c>
      <c r="L391" s="7">
        <v>39.13</v>
      </c>
      <c r="M391" s="7">
        <v>-0.04</v>
      </c>
      <c r="N391" s="7">
        <v>178749.0</v>
      </c>
      <c r="O391" s="7">
        <v>1.2452752E7</v>
      </c>
      <c r="P391" s="7" t="s">
        <v>411</v>
      </c>
      <c r="Q391" s="7">
        <v>5004.0</v>
      </c>
      <c r="R391" s="3">
        <f t="shared" si="1"/>
        <v>10000</v>
      </c>
    </row>
    <row r="392" ht="22.5" customHeight="1">
      <c r="B392" s="7" t="s">
        <v>818</v>
      </c>
      <c r="C392" s="7">
        <v>11020.0</v>
      </c>
      <c r="D392" s="7">
        <v>241816.0</v>
      </c>
      <c r="E392" s="7">
        <v>8199163.0</v>
      </c>
      <c r="F392" s="7">
        <v>7990025.0</v>
      </c>
      <c r="G392" s="7">
        <v>2.5862507E7</v>
      </c>
      <c r="H392" s="7">
        <v>2.400292216E9</v>
      </c>
      <c r="I392" s="7">
        <v>446247.0</v>
      </c>
      <c r="J392" s="7">
        <v>423926.0</v>
      </c>
      <c r="K392" s="7">
        <v>22321.0</v>
      </c>
      <c r="L392" s="7">
        <v>52.69</v>
      </c>
      <c r="M392" s="7">
        <v>-0.11</v>
      </c>
      <c r="N392" s="7">
        <v>30398.0</v>
      </c>
      <c r="O392" s="7">
        <v>5433189.0</v>
      </c>
      <c r="P392" s="7" t="s">
        <v>411</v>
      </c>
      <c r="Q392" s="7">
        <v>5004.01</v>
      </c>
      <c r="R392" s="3">
        <f t="shared" si="1"/>
        <v>10000</v>
      </c>
    </row>
    <row r="393" ht="22.5" customHeight="1">
      <c r="B393" s="7" t="s">
        <v>819</v>
      </c>
      <c r="C393" s="7">
        <v>380.0</v>
      </c>
      <c r="D393" s="7">
        <v>7050.0</v>
      </c>
      <c r="E393" s="7">
        <v>1.5566566E7</v>
      </c>
      <c r="F393" s="7">
        <v>1.5501623E7</v>
      </c>
      <c r="G393" s="7">
        <v>1.7349037E7</v>
      </c>
      <c r="H393" s="7">
        <v>2.00219155E8</v>
      </c>
      <c r="I393" s="7">
        <v>463270.0</v>
      </c>
      <c r="J393" s="7">
        <v>231386.0</v>
      </c>
      <c r="K393" s="7">
        <v>231884.0</v>
      </c>
      <c r="L393" s="7">
        <v>122.66</v>
      </c>
      <c r="M393" s="7">
        <v>-0.02</v>
      </c>
      <c r="N393" s="7">
        <v>255233.0</v>
      </c>
      <c r="O393" s="7">
        <v>4887290.0</v>
      </c>
      <c r="P393" s="7" t="s">
        <v>411</v>
      </c>
      <c r="Q393" s="7">
        <v>5004.02</v>
      </c>
      <c r="R393" s="3">
        <f t="shared" si="1"/>
        <v>10000</v>
      </c>
    </row>
    <row r="394" ht="22.5" customHeight="1">
      <c r="B394" s="7" t="s">
        <v>820</v>
      </c>
      <c r="C394" s="7">
        <v>1664.0</v>
      </c>
      <c r="D394" s="7">
        <v>157664.0</v>
      </c>
      <c r="E394" s="7">
        <v>3.5511482E7</v>
      </c>
      <c r="F394" s="7">
        <v>3.4471673E7</v>
      </c>
      <c r="G394" s="7">
        <v>1.98197252E8</v>
      </c>
      <c r="H394" s="7">
        <v>1.096500569E9</v>
      </c>
      <c r="I394" s="7">
        <v>1003135.0</v>
      </c>
      <c r="J394" s="7">
        <v>910081.0</v>
      </c>
      <c r="K394" s="7">
        <v>93054.0</v>
      </c>
      <c r="L394" s="7">
        <v>68.91</v>
      </c>
      <c r="M394" s="7">
        <v>-0.11</v>
      </c>
      <c r="N394" s="7">
        <v>134234.0</v>
      </c>
      <c r="O394" s="7">
        <v>2.6817401E7</v>
      </c>
      <c r="P394" s="7" t="s">
        <v>411</v>
      </c>
      <c r="Q394" s="7">
        <v>5004.08</v>
      </c>
      <c r="R394" s="3">
        <f t="shared" si="1"/>
        <v>10000</v>
      </c>
    </row>
    <row r="395" ht="22.5" customHeight="1">
      <c r="B395" s="7" t="s">
        <v>821</v>
      </c>
      <c r="C395" s="7">
        <v>40979.0</v>
      </c>
      <c r="D395" s="7">
        <v>619358.0</v>
      </c>
      <c r="E395" s="7">
        <v>1.9923794E7</v>
      </c>
      <c r="F395" s="7">
        <v>1.8876312E7</v>
      </c>
      <c r="G395" s="7">
        <v>3.7965375E7</v>
      </c>
      <c r="H395" s="7">
        <v>5.433549432E9</v>
      </c>
      <c r="I395" s="7">
        <v>431356.0</v>
      </c>
      <c r="J395" s="7">
        <v>292776.0</v>
      </c>
      <c r="K395" s="7">
        <v>138580.0</v>
      </c>
      <c r="L395" s="7">
        <v>279.41</v>
      </c>
      <c r="M395" s="7">
        <v>-0.06</v>
      </c>
      <c r="N395" s="7">
        <v>168572.0</v>
      </c>
      <c r="O395" s="7">
        <v>1.0189495E7</v>
      </c>
      <c r="P395" s="7" t="s">
        <v>411</v>
      </c>
      <c r="Q395" s="7">
        <v>5003.8</v>
      </c>
      <c r="R395" s="3">
        <f t="shared" si="1"/>
        <v>10000</v>
      </c>
    </row>
    <row r="396" ht="22.5" customHeight="1">
      <c r="B396" s="7" t="s">
        <v>822</v>
      </c>
      <c r="C396" s="7">
        <v>188473.0</v>
      </c>
      <c r="D396" s="7">
        <v>564648.0</v>
      </c>
      <c r="E396" s="7">
        <v>8383054.0</v>
      </c>
      <c r="F396" s="7">
        <v>8173091.0</v>
      </c>
      <c r="G396" s="7">
        <v>3.4471072E7</v>
      </c>
      <c r="H396" s="7">
        <v>1.1760215998E10</v>
      </c>
      <c r="I396" s="7">
        <v>391192.0</v>
      </c>
      <c r="J396" s="7">
        <v>368332.0</v>
      </c>
      <c r="K396" s="7">
        <v>22860.0</v>
      </c>
      <c r="L396" s="7">
        <v>54.08</v>
      </c>
      <c r="M396" s="7">
        <v>-0.12</v>
      </c>
      <c r="N396" s="7">
        <v>31518.0</v>
      </c>
      <c r="O396" s="7">
        <v>9318677.0</v>
      </c>
      <c r="P396" s="7" t="s">
        <v>411</v>
      </c>
      <c r="Q396" s="7">
        <v>5004.04</v>
      </c>
      <c r="R396" s="3">
        <f t="shared" si="1"/>
        <v>10000</v>
      </c>
    </row>
    <row r="397" ht="22.5" customHeight="1">
      <c r="B397" s="7" t="s">
        <v>823</v>
      </c>
      <c r="C397" s="7">
        <v>990.0</v>
      </c>
      <c r="D397" s="7">
        <v>42615.0</v>
      </c>
      <c r="E397" s="7">
        <v>2.8161517E7</v>
      </c>
      <c r="F397" s="7">
        <v>2.8035255E7</v>
      </c>
      <c r="G397" s="7">
        <v>3.1018482E7</v>
      </c>
      <c r="H397" s="7">
        <v>2.74768869E8</v>
      </c>
      <c r="I397" s="7">
        <v>1018532.0</v>
      </c>
      <c r="J397" s="7">
        <v>780724.0</v>
      </c>
      <c r="K397" s="7">
        <v>237808.0</v>
      </c>
      <c r="L397" s="7">
        <v>212.75</v>
      </c>
      <c r="M397" s="7">
        <v>-0.02</v>
      </c>
      <c r="N397" s="7">
        <v>263585.0</v>
      </c>
      <c r="O397" s="7">
        <v>1.5153353E7</v>
      </c>
      <c r="P397" s="7" t="s">
        <v>411</v>
      </c>
      <c r="Q397" s="7">
        <v>5004.03</v>
      </c>
      <c r="R397" s="3">
        <f t="shared" si="1"/>
        <v>10000</v>
      </c>
    </row>
    <row r="398" ht="22.5" customHeight="1">
      <c r="B398" s="7" t="s">
        <v>825</v>
      </c>
      <c r="C398" s="7">
        <v>3703.0</v>
      </c>
      <c r="D398" s="7">
        <v>2281666.0</v>
      </c>
      <c r="E398" s="7">
        <v>8646268.0</v>
      </c>
      <c r="F398" s="7">
        <v>8396990.0</v>
      </c>
      <c r="G398" s="7">
        <v>3.4331475E7</v>
      </c>
      <c r="H398" s="7">
        <v>4.16428995E8</v>
      </c>
      <c r="I398" s="7">
        <v>195607.0</v>
      </c>
      <c r="J398" s="7">
        <v>165149.0</v>
      </c>
      <c r="K398" s="7">
        <v>30458.0</v>
      </c>
      <c r="L398" s="7">
        <v>96.31</v>
      </c>
      <c r="M398" s="7">
        <v>-0.06</v>
      </c>
      <c r="N398" s="7">
        <v>39666.0</v>
      </c>
      <c r="O398" s="7">
        <v>5192562.0</v>
      </c>
      <c r="P398" s="7" t="s">
        <v>411</v>
      </c>
      <c r="Q398" s="7">
        <v>5003.91</v>
      </c>
      <c r="R398" s="3">
        <f t="shared" si="1"/>
        <v>10000</v>
      </c>
    </row>
    <row r="399" ht="22.5" customHeight="1">
      <c r="B399" s="7" t="s">
        <v>826</v>
      </c>
      <c r="C399" s="7">
        <v>420.0</v>
      </c>
      <c r="D399" s="7">
        <v>541603.0</v>
      </c>
      <c r="E399" s="7">
        <v>3.1106733E7</v>
      </c>
      <c r="F399" s="7">
        <v>3.0452064E7</v>
      </c>
      <c r="G399" s="7">
        <v>3.9458658E7</v>
      </c>
      <c r="H399" s="7">
        <v>1.000533088E9</v>
      </c>
      <c r="I399" s="7">
        <v>946685.0</v>
      </c>
      <c r="J399" s="7">
        <v>796486.0</v>
      </c>
      <c r="K399" s="7">
        <v>150199.0</v>
      </c>
      <c r="L399" s="7">
        <v>31.6</v>
      </c>
      <c r="M399" s="7">
        <v>-0.04</v>
      </c>
      <c r="N399" s="7">
        <v>179615.0</v>
      </c>
      <c r="O399" s="7">
        <v>2.0784722E7</v>
      </c>
      <c r="P399" s="7" t="s">
        <v>411</v>
      </c>
      <c r="Q399" s="7">
        <v>5004.02</v>
      </c>
      <c r="R399" s="3">
        <f t="shared" si="1"/>
        <v>10000</v>
      </c>
    </row>
    <row r="400" ht="22.5" customHeight="1">
      <c r="B400" s="7" t="s">
        <v>827</v>
      </c>
      <c r="C400" s="7">
        <v>1200.0</v>
      </c>
      <c r="D400" s="7">
        <v>21040.0</v>
      </c>
      <c r="E400" s="7">
        <v>2.1401776E7</v>
      </c>
      <c r="F400" s="7">
        <v>2.1289222E7</v>
      </c>
      <c r="G400" s="7">
        <v>5.5332223E7</v>
      </c>
      <c r="H400" s="7">
        <v>2.380053668E9</v>
      </c>
      <c r="I400" s="7">
        <v>846946.0</v>
      </c>
      <c r="J400" s="7">
        <v>670989.0</v>
      </c>
      <c r="K400" s="7">
        <v>175957.0</v>
      </c>
      <c r="L400" s="7">
        <v>64.89</v>
      </c>
      <c r="M400" s="7">
        <v>-0.05</v>
      </c>
      <c r="N400" s="7">
        <v>204645.0</v>
      </c>
      <c r="O400" s="7">
        <v>8877688.0</v>
      </c>
      <c r="P400" s="7" t="s">
        <v>411</v>
      </c>
      <c r="Q400" s="7">
        <v>5004.04</v>
      </c>
      <c r="R400" s="3">
        <f t="shared" si="1"/>
        <v>10000</v>
      </c>
    </row>
    <row r="401" ht="22.5" customHeight="1">
      <c r="B401" s="7" t="s">
        <v>828</v>
      </c>
      <c r="C401" s="7">
        <v>5800.0</v>
      </c>
      <c r="D401" s="7">
        <v>71820.0</v>
      </c>
      <c r="E401" s="7">
        <v>6.3400079E7</v>
      </c>
      <c r="F401" s="7">
        <v>6.304576E7</v>
      </c>
      <c r="G401" s="7">
        <v>7.1031117E7</v>
      </c>
      <c r="H401" s="7">
        <v>4.246727391E9</v>
      </c>
      <c r="I401" s="7">
        <v>1786571.0</v>
      </c>
      <c r="J401" s="7">
        <v>1139166.0</v>
      </c>
      <c r="K401" s="7">
        <v>647405.0</v>
      </c>
      <c r="L401" s="7">
        <v>36.45</v>
      </c>
      <c r="M401" s="7">
        <v>-0.02</v>
      </c>
      <c r="N401" s="7">
        <v>756855.0</v>
      </c>
      <c r="O401" s="7">
        <v>1.9026144E7</v>
      </c>
      <c r="P401" s="7" t="s">
        <v>411</v>
      </c>
      <c r="Q401" s="7">
        <v>5004.03</v>
      </c>
      <c r="R401" s="3">
        <f t="shared" si="1"/>
        <v>10000</v>
      </c>
    </row>
    <row r="403">
      <c r="P403" s="4" t="s">
        <v>408</v>
      </c>
      <c r="Q403" s="4" t="s">
        <v>4</v>
      </c>
    </row>
    <row r="404">
      <c r="P404" s="5">
        <f t="shared" ref="P404:Q404" si="2">SUM(Q2:Q401)/400</f>
        <v>3044.688225</v>
      </c>
      <c r="Q404" s="5">
        <f t="shared" si="2"/>
        <v>5680.1115</v>
      </c>
    </row>
    <row r="405">
      <c r="N405" s="4" t="s">
        <v>409</v>
      </c>
      <c r="O405" s="5">
        <f>COUNTIF(P2:P401,"=SAT")</f>
        <v>112</v>
      </c>
    </row>
    <row r="406">
      <c r="N406" s="4" t="s">
        <v>410</v>
      </c>
      <c r="O406" s="5">
        <f>COUNTIF(P2:P401,"=UNSAT")</f>
        <v>77</v>
      </c>
    </row>
    <row r="407">
      <c r="N407" s="4" t="s">
        <v>411</v>
      </c>
      <c r="O407" s="5">
        <f>COUNTIF(P2:P401,"=IND")</f>
        <v>211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</cols>
  <sheetData>
    <row r="1">
      <c r="B1" s="4" t="s">
        <v>425</v>
      </c>
      <c r="C1" s="4" t="s">
        <v>426</v>
      </c>
      <c r="D1" s="4" t="s">
        <v>427</v>
      </c>
      <c r="E1" s="4" t="s">
        <v>428</v>
      </c>
    </row>
    <row r="2">
      <c r="B2" s="4">
        <v>1.0</v>
      </c>
      <c r="C2" s="5">
        <v>0.01</v>
      </c>
      <c r="D2" s="5">
        <v>0.01</v>
      </c>
      <c r="E2" s="5">
        <v>0.01</v>
      </c>
    </row>
    <row r="3">
      <c r="B3" s="4">
        <v>2.0</v>
      </c>
      <c r="C3" s="5">
        <v>0.01</v>
      </c>
      <c r="D3" s="5">
        <v>0.01</v>
      </c>
      <c r="E3" s="5">
        <v>0.01</v>
      </c>
    </row>
    <row r="4">
      <c r="B4" s="4">
        <v>3.0</v>
      </c>
      <c r="C4" s="5">
        <v>0.01</v>
      </c>
      <c r="D4" s="5">
        <v>0.01</v>
      </c>
      <c r="E4" s="5">
        <v>0.01</v>
      </c>
    </row>
    <row r="5">
      <c r="B5" s="4">
        <v>4.0</v>
      </c>
      <c r="C5" s="5">
        <v>0.02</v>
      </c>
      <c r="D5" s="5">
        <v>0.01</v>
      </c>
      <c r="E5" s="5">
        <v>0.01</v>
      </c>
    </row>
    <row r="6">
      <c r="B6" s="4">
        <v>5.0</v>
      </c>
      <c r="C6" s="5">
        <v>0.26</v>
      </c>
      <c r="D6" s="5">
        <v>0.19</v>
      </c>
      <c r="E6" s="5">
        <v>0.18</v>
      </c>
    </row>
    <row r="7">
      <c r="B7" s="4">
        <v>6.0</v>
      </c>
      <c r="C7" s="5">
        <v>0.59</v>
      </c>
      <c r="D7" s="5">
        <v>0.46</v>
      </c>
      <c r="E7" s="5">
        <v>0.45</v>
      </c>
    </row>
    <row r="8">
      <c r="B8" s="4">
        <v>7.0</v>
      </c>
      <c r="C8" s="5">
        <v>0.61</v>
      </c>
      <c r="D8" s="5">
        <v>0.49</v>
      </c>
      <c r="E8" s="5">
        <v>0.46</v>
      </c>
    </row>
    <row r="9">
      <c r="B9" s="4">
        <v>8.0</v>
      </c>
      <c r="C9" s="5">
        <v>1.13</v>
      </c>
      <c r="D9" s="5">
        <v>0.92</v>
      </c>
      <c r="E9" s="5">
        <v>1.23</v>
      </c>
    </row>
    <row r="10">
      <c r="B10" s="4">
        <v>9.0</v>
      </c>
      <c r="C10" s="5">
        <v>1.52</v>
      </c>
      <c r="D10" s="5">
        <v>1.39</v>
      </c>
      <c r="E10" s="5">
        <v>1.42</v>
      </c>
    </row>
    <row r="11">
      <c r="B11" s="4">
        <v>10.0</v>
      </c>
      <c r="C11" s="5">
        <v>1.72</v>
      </c>
      <c r="D11" s="5">
        <v>1.4</v>
      </c>
      <c r="E11" s="5">
        <v>1.5</v>
      </c>
    </row>
    <row r="12">
      <c r="B12" s="4">
        <v>11.0</v>
      </c>
      <c r="C12" s="5">
        <v>1.89</v>
      </c>
      <c r="D12" s="5">
        <v>1.55</v>
      </c>
      <c r="E12" s="5">
        <v>1.57</v>
      </c>
    </row>
    <row r="13">
      <c r="B13" s="4">
        <v>12.0</v>
      </c>
      <c r="C13" s="5">
        <v>1.92</v>
      </c>
      <c r="D13" s="5">
        <v>1.89</v>
      </c>
      <c r="E13" s="5">
        <v>1.78</v>
      </c>
    </row>
    <row r="14">
      <c r="B14" s="4">
        <v>13.0</v>
      </c>
      <c r="C14" s="5">
        <v>2.38</v>
      </c>
      <c r="D14" s="5">
        <v>1.91</v>
      </c>
      <c r="E14" s="5">
        <v>2.31</v>
      </c>
    </row>
    <row r="15">
      <c r="B15" s="4">
        <v>14.0</v>
      </c>
      <c r="C15" s="5">
        <v>3.04</v>
      </c>
      <c r="D15" s="5">
        <v>1.96</v>
      </c>
      <c r="E15" s="5">
        <v>2.32</v>
      </c>
    </row>
    <row r="16">
      <c r="B16" s="4">
        <v>15.0</v>
      </c>
      <c r="C16" s="5">
        <v>3.22</v>
      </c>
      <c r="D16" s="5">
        <v>2.07</v>
      </c>
      <c r="E16" s="5">
        <v>3.15</v>
      </c>
    </row>
    <row r="17">
      <c r="B17" s="4">
        <v>16.0</v>
      </c>
      <c r="C17" s="5">
        <v>3.75</v>
      </c>
      <c r="D17" s="5">
        <v>2.41</v>
      </c>
      <c r="E17" s="5">
        <v>3.3</v>
      </c>
    </row>
    <row r="18">
      <c r="B18" s="4">
        <v>17.0</v>
      </c>
      <c r="C18" s="5">
        <v>4.05</v>
      </c>
      <c r="D18" s="5">
        <v>3.01</v>
      </c>
      <c r="E18" s="5">
        <v>3.46</v>
      </c>
    </row>
    <row r="19">
      <c r="B19" s="4">
        <v>18.0</v>
      </c>
      <c r="C19" s="5">
        <v>4.12</v>
      </c>
      <c r="D19" s="5">
        <v>3.1</v>
      </c>
      <c r="E19" s="5">
        <v>3.99</v>
      </c>
    </row>
    <row r="20">
      <c r="B20" s="4">
        <v>19.0</v>
      </c>
      <c r="C20" s="5">
        <v>4.42</v>
      </c>
      <c r="D20" s="5">
        <v>3.64</v>
      </c>
      <c r="E20" s="5">
        <v>4.39</v>
      </c>
    </row>
    <row r="21">
      <c r="B21" s="4">
        <v>20.0</v>
      </c>
      <c r="C21" s="5">
        <v>7.34</v>
      </c>
      <c r="D21" s="5">
        <v>3.9</v>
      </c>
      <c r="E21" s="5">
        <v>5.24</v>
      </c>
    </row>
    <row r="22">
      <c r="B22" s="4">
        <v>21.0</v>
      </c>
      <c r="C22" s="5">
        <v>7.79</v>
      </c>
      <c r="D22" s="5">
        <v>6.04</v>
      </c>
      <c r="E22" s="5">
        <v>5.5</v>
      </c>
    </row>
    <row r="23">
      <c r="B23" s="4">
        <v>22.0</v>
      </c>
      <c r="C23" s="5">
        <v>9.02</v>
      </c>
      <c r="D23" s="5">
        <v>6.62</v>
      </c>
      <c r="E23" s="5">
        <v>5.57</v>
      </c>
    </row>
    <row r="24">
      <c r="B24" s="4">
        <v>23.0</v>
      </c>
      <c r="C24" s="5">
        <v>9.35</v>
      </c>
      <c r="D24" s="5">
        <v>8.53</v>
      </c>
      <c r="E24" s="5">
        <v>8.21</v>
      </c>
    </row>
    <row r="25">
      <c r="B25" s="4">
        <v>24.0</v>
      </c>
      <c r="C25" s="5">
        <v>9.71</v>
      </c>
      <c r="D25" s="5">
        <v>8.9</v>
      </c>
      <c r="E25" s="5">
        <v>8.48</v>
      </c>
    </row>
    <row r="26">
      <c r="B26" s="4">
        <v>25.0</v>
      </c>
      <c r="C26" s="5">
        <v>10.72</v>
      </c>
      <c r="D26" s="5">
        <v>10.56</v>
      </c>
      <c r="E26" s="5">
        <v>8.65</v>
      </c>
    </row>
    <row r="27">
      <c r="B27" s="4">
        <v>26.0</v>
      </c>
      <c r="C27" s="5">
        <v>10.97</v>
      </c>
      <c r="D27" s="5">
        <v>10.82</v>
      </c>
      <c r="E27" s="5">
        <v>9.12</v>
      </c>
    </row>
    <row r="28">
      <c r="B28" s="4">
        <v>27.0</v>
      </c>
      <c r="C28" s="5">
        <v>10.98</v>
      </c>
      <c r="D28" s="5">
        <v>10.97</v>
      </c>
      <c r="E28" s="5">
        <v>9.15</v>
      </c>
    </row>
    <row r="29">
      <c r="B29" s="4">
        <v>28.0</v>
      </c>
      <c r="C29" s="5">
        <v>12.75</v>
      </c>
      <c r="D29" s="5">
        <v>11.71</v>
      </c>
      <c r="E29" s="5">
        <v>9.85</v>
      </c>
    </row>
    <row r="30">
      <c r="B30" s="4">
        <v>29.0</v>
      </c>
      <c r="C30" s="5">
        <v>13.24</v>
      </c>
      <c r="D30" s="5">
        <v>12.06</v>
      </c>
      <c r="E30" s="5">
        <v>10.3</v>
      </c>
    </row>
    <row r="31">
      <c r="B31" s="4">
        <v>30.0</v>
      </c>
      <c r="C31" s="5">
        <v>14.58</v>
      </c>
      <c r="D31" s="5">
        <v>12.36</v>
      </c>
      <c r="E31" s="5">
        <v>12.27</v>
      </c>
    </row>
    <row r="32">
      <c r="B32" s="4">
        <v>31.0</v>
      </c>
      <c r="C32" s="5">
        <v>14.73</v>
      </c>
      <c r="D32" s="5">
        <v>13.0</v>
      </c>
      <c r="E32" s="5">
        <v>12.45</v>
      </c>
    </row>
    <row r="33">
      <c r="B33" s="4">
        <v>32.0</v>
      </c>
      <c r="C33" s="5">
        <v>16.32</v>
      </c>
      <c r="D33" s="5">
        <v>13.16</v>
      </c>
      <c r="E33" s="5">
        <v>14.0</v>
      </c>
    </row>
    <row r="34">
      <c r="B34" s="4">
        <v>33.0</v>
      </c>
      <c r="C34" s="5">
        <v>17.54</v>
      </c>
      <c r="D34" s="5">
        <v>13.73</v>
      </c>
      <c r="E34" s="5">
        <v>14.09</v>
      </c>
    </row>
    <row r="35">
      <c r="B35" s="4">
        <v>34.0</v>
      </c>
      <c r="C35" s="5">
        <v>17.64</v>
      </c>
      <c r="D35" s="5">
        <v>14.03</v>
      </c>
      <c r="E35" s="5">
        <v>14.3</v>
      </c>
    </row>
    <row r="36">
      <c r="B36" s="4">
        <v>35.0</v>
      </c>
      <c r="C36" s="5">
        <v>17.72</v>
      </c>
      <c r="D36" s="5">
        <v>14.33</v>
      </c>
      <c r="E36" s="5">
        <v>14.46</v>
      </c>
    </row>
    <row r="37">
      <c r="B37" s="4">
        <v>36.0</v>
      </c>
      <c r="C37" s="5">
        <v>17.77</v>
      </c>
      <c r="D37" s="5">
        <v>14.58</v>
      </c>
      <c r="E37" s="5">
        <v>14.81</v>
      </c>
    </row>
    <row r="38">
      <c r="B38" s="4">
        <v>37.0</v>
      </c>
      <c r="C38" s="5">
        <v>17.83</v>
      </c>
      <c r="D38" s="5">
        <v>15.76</v>
      </c>
      <c r="E38" s="5">
        <v>14.82</v>
      </c>
    </row>
    <row r="39">
      <c r="B39" s="4">
        <v>38.0</v>
      </c>
      <c r="C39" s="5">
        <v>18.04</v>
      </c>
      <c r="D39" s="5">
        <v>16.04</v>
      </c>
      <c r="E39" s="5">
        <v>14.84</v>
      </c>
    </row>
    <row r="40">
      <c r="B40" s="4">
        <v>39.0</v>
      </c>
      <c r="C40" s="5">
        <v>18.26</v>
      </c>
      <c r="D40" s="5">
        <v>16.04</v>
      </c>
      <c r="E40" s="5">
        <v>17.2</v>
      </c>
    </row>
    <row r="41">
      <c r="B41" s="4">
        <v>40.0</v>
      </c>
      <c r="C41" s="5">
        <v>19.9</v>
      </c>
      <c r="D41" s="5">
        <v>17.47</v>
      </c>
      <c r="E41" s="5">
        <v>17.77</v>
      </c>
    </row>
    <row r="42">
      <c r="B42" s="4">
        <v>41.0</v>
      </c>
      <c r="C42" s="5">
        <v>21.44</v>
      </c>
      <c r="D42" s="5">
        <v>17.68</v>
      </c>
      <c r="E42" s="5">
        <v>18.09</v>
      </c>
    </row>
    <row r="43">
      <c r="B43" s="4">
        <v>42.0</v>
      </c>
      <c r="C43" s="5">
        <v>21.6</v>
      </c>
      <c r="D43" s="5">
        <v>19.11</v>
      </c>
      <c r="E43" s="5">
        <v>18.44</v>
      </c>
    </row>
    <row r="44">
      <c r="B44" s="4">
        <v>43.0</v>
      </c>
      <c r="C44" s="5">
        <v>24.01</v>
      </c>
      <c r="D44" s="5">
        <v>20.46</v>
      </c>
      <c r="E44" s="5">
        <v>18.85</v>
      </c>
    </row>
    <row r="45">
      <c r="B45" s="4">
        <v>44.0</v>
      </c>
      <c r="C45" s="5">
        <v>26.2</v>
      </c>
      <c r="D45" s="5">
        <v>21.55</v>
      </c>
      <c r="E45" s="5">
        <v>21.73</v>
      </c>
    </row>
    <row r="46">
      <c r="B46" s="4">
        <v>45.0</v>
      </c>
      <c r="C46" s="5">
        <v>26.54</v>
      </c>
      <c r="D46" s="5">
        <v>22.6</v>
      </c>
      <c r="E46" s="5">
        <v>22.34</v>
      </c>
    </row>
    <row r="47">
      <c r="B47" s="4">
        <v>46.0</v>
      </c>
      <c r="C47" s="5">
        <v>33.04</v>
      </c>
      <c r="D47" s="5">
        <v>22.63</v>
      </c>
      <c r="E47" s="5">
        <v>22.66</v>
      </c>
    </row>
    <row r="48">
      <c r="B48" s="4">
        <v>47.0</v>
      </c>
      <c r="C48" s="5">
        <v>33.97</v>
      </c>
      <c r="D48" s="5">
        <v>23.23</v>
      </c>
      <c r="E48" s="5">
        <v>23.9</v>
      </c>
    </row>
    <row r="49">
      <c r="B49" s="4">
        <v>48.0</v>
      </c>
      <c r="C49" s="5">
        <v>35.43</v>
      </c>
      <c r="D49" s="5">
        <v>25.03</v>
      </c>
      <c r="E49" s="5">
        <v>24.3</v>
      </c>
    </row>
    <row r="50">
      <c r="B50" s="4">
        <v>49.0</v>
      </c>
      <c r="C50" s="5">
        <v>37.32</v>
      </c>
      <c r="D50" s="5">
        <v>27.85</v>
      </c>
      <c r="E50" s="5">
        <v>24.91</v>
      </c>
    </row>
    <row r="51">
      <c r="B51" s="4">
        <v>50.0</v>
      </c>
      <c r="C51" s="5">
        <v>38.25</v>
      </c>
      <c r="D51" s="5">
        <v>31.63</v>
      </c>
      <c r="E51" s="5">
        <v>29.04</v>
      </c>
    </row>
    <row r="52">
      <c r="B52" s="4">
        <v>51.0</v>
      </c>
      <c r="C52" s="5">
        <v>39.63</v>
      </c>
      <c r="D52" s="5">
        <v>33.84</v>
      </c>
      <c r="E52" s="5">
        <v>29.07</v>
      </c>
    </row>
    <row r="53">
      <c r="B53" s="4">
        <v>52.0</v>
      </c>
      <c r="C53" s="5">
        <v>41.99</v>
      </c>
      <c r="D53" s="5">
        <v>34.19</v>
      </c>
      <c r="E53" s="5">
        <v>33.96</v>
      </c>
    </row>
    <row r="54">
      <c r="B54" s="4">
        <v>53.0</v>
      </c>
      <c r="C54" s="5">
        <v>42.48</v>
      </c>
      <c r="D54" s="5">
        <v>34.51</v>
      </c>
      <c r="E54" s="5">
        <v>34.87</v>
      </c>
    </row>
    <row r="55">
      <c r="B55" s="4">
        <v>54.0</v>
      </c>
      <c r="C55" s="5">
        <v>48.75</v>
      </c>
      <c r="D55" s="5">
        <v>37.92</v>
      </c>
      <c r="E55" s="5">
        <v>36.62</v>
      </c>
    </row>
    <row r="56">
      <c r="B56" s="4">
        <v>55.0</v>
      </c>
      <c r="C56" s="5">
        <v>53.64</v>
      </c>
      <c r="D56" s="5">
        <v>39.05</v>
      </c>
      <c r="E56" s="5">
        <v>38.21</v>
      </c>
    </row>
    <row r="57">
      <c r="B57" s="4">
        <v>56.0</v>
      </c>
      <c r="C57" s="5">
        <v>57.8</v>
      </c>
      <c r="D57" s="5">
        <v>40.4</v>
      </c>
      <c r="E57" s="5">
        <v>44.57</v>
      </c>
    </row>
    <row r="58">
      <c r="B58" s="4">
        <v>57.0</v>
      </c>
      <c r="C58" s="5">
        <v>67.01</v>
      </c>
      <c r="D58" s="5">
        <v>41.61</v>
      </c>
      <c r="E58" s="5">
        <v>45.23</v>
      </c>
    </row>
    <row r="59">
      <c r="B59" s="4">
        <v>58.0</v>
      </c>
      <c r="C59" s="5">
        <v>71.36</v>
      </c>
      <c r="D59" s="5">
        <v>41.94</v>
      </c>
      <c r="E59" s="5">
        <v>48.11</v>
      </c>
    </row>
    <row r="60">
      <c r="B60" s="4">
        <v>59.0</v>
      </c>
      <c r="C60" s="5">
        <v>72.42</v>
      </c>
      <c r="D60" s="5">
        <v>46.04</v>
      </c>
      <c r="E60" s="5">
        <v>52.0</v>
      </c>
    </row>
    <row r="61">
      <c r="B61" s="4">
        <v>60.0</v>
      </c>
      <c r="C61" s="5">
        <v>78.44</v>
      </c>
      <c r="D61" s="5">
        <v>47.79</v>
      </c>
      <c r="E61" s="5">
        <v>53.03</v>
      </c>
    </row>
    <row r="62">
      <c r="B62" s="4">
        <v>61.0</v>
      </c>
      <c r="C62" s="5">
        <v>78.78</v>
      </c>
      <c r="D62" s="5">
        <v>49.79</v>
      </c>
      <c r="E62" s="5">
        <v>53.77</v>
      </c>
    </row>
    <row r="63">
      <c r="B63" s="4">
        <v>62.0</v>
      </c>
      <c r="C63" s="5">
        <v>85.72</v>
      </c>
      <c r="D63" s="5">
        <v>51.49</v>
      </c>
      <c r="E63" s="5">
        <v>55.45</v>
      </c>
    </row>
    <row r="64">
      <c r="B64" s="4">
        <v>63.0</v>
      </c>
      <c r="C64" s="5">
        <v>96.95</v>
      </c>
      <c r="D64" s="5">
        <v>54.34</v>
      </c>
      <c r="E64" s="5">
        <v>62.24</v>
      </c>
    </row>
    <row r="65">
      <c r="B65" s="4">
        <v>64.0</v>
      </c>
      <c r="C65" s="5">
        <v>106.6</v>
      </c>
      <c r="D65" s="5">
        <v>57.09</v>
      </c>
      <c r="E65" s="5">
        <v>63.92</v>
      </c>
    </row>
    <row r="66">
      <c r="B66" s="4">
        <v>65.0</v>
      </c>
      <c r="C66" s="5">
        <v>113.08</v>
      </c>
      <c r="D66" s="5">
        <v>61.67</v>
      </c>
      <c r="E66" s="5">
        <v>80.66</v>
      </c>
    </row>
    <row r="67">
      <c r="B67" s="4">
        <v>66.0</v>
      </c>
      <c r="C67" s="5">
        <v>113.19</v>
      </c>
      <c r="D67" s="5">
        <v>68.35</v>
      </c>
      <c r="E67" s="5">
        <v>81.76</v>
      </c>
    </row>
    <row r="68">
      <c r="B68" s="4">
        <v>67.0</v>
      </c>
      <c r="C68" s="5">
        <v>113.36</v>
      </c>
      <c r="D68" s="5">
        <v>70.82</v>
      </c>
      <c r="E68" s="5">
        <v>82.19</v>
      </c>
    </row>
    <row r="69">
      <c r="B69" s="4">
        <v>68.0</v>
      </c>
      <c r="C69" s="5">
        <v>115.27</v>
      </c>
      <c r="D69" s="5">
        <v>76.97</v>
      </c>
      <c r="E69" s="5">
        <v>86.83</v>
      </c>
    </row>
    <row r="70">
      <c r="B70" s="4">
        <v>69.0</v>
      </c>
      <c r="C70" s="5">
        <v>116.42</v>
      </c>
      <c r="D70" s="5">
        <v>85.49</v>
      </c>
      <c r="E70" s="5">
        <v>89.86</v>
      </c>
    </row>
    <row r="71">
      <c r="B71" s="4">
        <v>70.0</v>
      </c>
      <c r="C71" s="5">
        <v>118.93</v>
      </c>
      <c r="D71" s="5">
        <v>86.48</v>
      </c>
      <c r="E71" s="5">
        <v>95.03</v>
      </c>
    </row>
    <row r="72">
      <c r="B72" s="4">
        <v>71.0</v>
      </c>
      <c r="C72" s="5">
        <v>124.0</v>
      </c>
      <c r="D72" s="5">
        <v>87.82</v>
      </c>
      <c r="E72" s="5">
        <v>108.77</v>
      </c>
    </row>
    <row r="73">
      <c r="B73" s="4">
        <v>72.0</v>
      </c>
      <c r="C73" s="5">
        <v>132.45</v>
      </c>
      <c r="D73" s="5">
        <v>88.04</v>
      </c>
      <c r="E73" s="5">
        <v>118.15</v>
      </c>
    </row>
    <row r="74">
      <c r="B74" s="4">
        <v>73.0</v>
      </c>
      <c r="C74" s="5">
        <v>135.31</v>
      </c>
      <c r="D74" s="5">
        <v>94.93</v>
      </c>
      <c r="E74" s="5">
        <v>126.0</v>
      </c>
    </row>
    <row r="75">
      <c r="B75" s="4">
        <v>74.0</v>
      </c>
      <c r="C75" s="5">
        <v>141.45</v>
      </c>
      <c r="D75" s="5">
        <v>106.91</v>
      </c>
      <c r="E75" s="5">
        <v>126.38</v>
      </c>
    </row>
    <row r="76">
      <c r="B76" s="4">
        <v>75.0</v>
      </c>
      <c r="C76" s="5">
        <v>145.05</v>
      </c>
      <c r="D76" s="5">
        <v>111.28</v>
      </c>
      <c r="E76" s="5">
        <v>126.55</v>
      </c>
    </row>
    <row r="77">
      <c r="B77" s="4">
        <v>76.0</v>
      </c>
      <c r="C77" s="5">
        <v>151.28</v>
      </c>
      <c r="D77" s="5">
        <v>113.1</v>
      </c>
      <c r="E77" s="5">
        <v>132.77</v>
      </c>
    </row>
    <row r="78">
      <c r="B78" s="4">
        <v>77.0</v>
      </c>
      <c r="C78" s="5">
        <v>165.69</v>
      </c>
      <c r="D78" s="5">
        <v>116.25</v>
      </c>
      <c r="E78" s="5">
        <v>149.25</v>
      </c>
    </row>
    <row r="79">
      <c r="B79" s="4">
        <v>78.0</v>
      </c>
      <c r="C79" s="5">
        <v>167.68</v>
      </c>
      <c r="D79" s="5">
        <v>145.04</v>
      </c>
      <c r="E79" s="5">
        <v>150.54</v>
      </c>
    </row>
    <row r="80">
      <c r="B80" s="4">
        <v>79.0</v>
      </c>
      <c r="C80" s="5">
        <v>186.52</v>
      </c>
      <c r="D80" s="5">
        <v>159.61</v>
      </c>
      <c r="E80" s="5">
        <v>160.0</v>
      </c>
    </row>
    <row r="81">
      <c r="B81" s="4">
        <v>80.0</v>
      </c>
      <c r="C81" s="5">
        <v>199.19</v>
      </c>
      <c r="D81" s="5">
        <v>164.48</v>
      </c>
      <c r="E81" s="5">
        <v>165.91</v>
      </c>
    </row>
    <row r="82">
      <c r="B82" s="4">
        <v>81.0</v>
      </c>
      <c r="C82" s="5">
        <v>202.13</v>
      </c>
      <c r="D82" s="5">
        <v>179.66</v>
      </c>
      <c r="E82" s="5">
        <v>167.12</v>
      </c>
    </row>
    <row r="83">
      <c r="B83" s="4">
        <v>82.0</v>
      </c>
      <c r="C83" s="5">
        <v>220.34</v>
      </c>
      <c r="D83" s="5">
        <v>184.13</v>
      </c>
      <c r="E83" s="5">
        <v>168.1</v>
      </c>
    </row>
    <row r="84">
      <c r="B84" s="4">
        <v>83.0</v>
      </c>
      <c r="C84" s="5">
        <v>228.67</v>
      </c>
      <c r="D84" s="5">
        <v>184.82</v>
      </c>
      <c r="E84" s="5">
        <v>170.29</v>
      </c>
    </row>
    <row r="85">
      <c r="B85" s="4">
        <v>84.0</v>
      </c>
      <c r="C85" s="5">
        <v>247.74</v>
      </c>
      <c r="D85" s="5">
        <v>185.17</v>
      </c>
      <c r="E85" s="5">
        <v>173.31</v>
      </c>
    </row>
    <row r="86">
      <c r="B86" s="4">
        <v>85.0</v>
      </c>
      <c r="C86" s="5">
        <v>248.93</v>
      </c>
      <c r="D86" s="5">
        <v>193.39</v>
      </c>
      <c r="E86" s="5">
        <v>179.8</v>
      </c>
    </row>
    <row r="87">
      <c r="B87" s="4">
        <v>86.0</v>
      </c>
      <c r="C87" s="5">
        <v>253.2</v>
      </c>
      <c r="D87" s="5">
        <v>193.64</v>
      </c>
      <c r="E87" s="5">
        <v>185.96</v>
      </c>
    </row>
    <row r="88">
      <c r="B88" s="4">
        <v>87.0</v>
      </c>
      <c r="C88" s="5">
        <v>267.49</v>
      </c>
      <c r="D88" s="5">
        <v>222.16</v>
      </c>
      <c r="E88" s="5">
        <v>188.52</v>
      </c>
    </row>
    <row r="89">
      <c r="B89" s="4">
        <v>88.0</v>
      </c>
      <c r="C89" s="5">
        <v>280.31</v>
      </c>
      <c r="D89" s="5">
        <v>225.82</v>
      </c>
      <c r="E89" s="5">
        <v>191.43</v>
      </c>
    </row>
    <row r="90">
      <c r="B90" s="4">
        <v>89.0</v>
      </c>
      <c r="C90" s="5">
        <v>290.68</v>
      </c>
      <c r="D90" s="5">
        <v>242.22</v>
      </c>
      <c r="E90" s="5">
        <v>202.15</v>
      </c>
    </row>
    <row r="91">
      <c r="B91" s="4">
        <v>90.0</v>
      </c>
      <c r="C91" s="5">
        <v>308.38</v>
      </c>
      <c r="D91" s="5">
        <v>258.48</v>
      </c>
      <c r="E91" s="5">
        <v>213.86</v>
      </c>
    </row>
    <row r="92">
      <c r="B92" s="4">
        <v>91.0</v>
      </c>
      <c r="C92" s="5">
        <v>311.09</v>
      </c>
      <c r="D92" s="5">
        <v>272.69</v>
      </c>
      <c r="E92" s="5">
        <v>214.68</v>
      </c>
    </row>
    <row r="93">
      <c r="B93" s="4">
        <v>92.0</v>
      </c>
      <c r="C93" s="5">
        <v>316.04</v>
      </c>
      <c r="D93" s="5">
        <v>278.42</v>
      </c>
      <c r="E93" s="5">
        <v>219.62</v>
      </c>
    </row>
    <row r="94">
      <c r="B94" s="4">
        <v>93.0</v>
      </c>
      <c r="C94" s="5">
        <v>325.62</v>
      </c>
      <c r="D94" s="5">
        <v>299.14</v>
      </c>
      <c r="E94" s="5">
        <v>224.69</v>
      </c>
    </row>
    <row r="95">
      <c r="B95" s="4">
        <v>94.0</v>
      </c>
      <c r="C95" s="5">
        <v>342.28</v>
      </c>
      <c r="D95" s="5">
        <v>326.87</v>
      </c>
      <c r="E95" s="5">
        <v>226.74</v>
      </c>
    </row>
    <row r="96">
      <c r="B96" s="4">
        <v>95.0</v>
      </c>
      <c r="C96" s="5">
        <v>394.35</v>
      </c>
      <c r="D96" s="5">
        <v>351.18</v>
      </c>
      <c r="E96" s="5">
        <v>245.34</v>
      </c>
    </row>
    <row r="97">
      <c r="B97" s="4">
        <v>96.0</v>
      </c>
      <c r="C97" s="5">
        <v>427.83</v>
      </c>
      <c r="D97" s="5">
        <v>385.66</v>
      </c>
      <c r="E97" s="5">
        <v>253.48</v>
      </c>
    </row>
    <row r="98">
      <c r="B98" s="4">
        <v>97.0</v>
      </c>
      <c r="C98" s="5">
        <v>432.82</v>
      </c>
      <c r="D98" s="5">
        <v>386.39</v>
      </c>
      <c r="E98" s="5">
        <v>271.72</v>
      </c>
    </row>
    <row r="99">
      <c r="B99" s="4">
        <v>98.0</v>
      </c>
      <c r="C99" s="5">
        <v>434.37</v>
      </c>
      <c r="D99" s="5">
        <v>418.89</v>
      </c>
      <c r="E99" s="5">
        <v>278.63</v>
      </c>
    </row>
    <row r="100">
      <c r="B100" s="4">
        <v>99.0</v>
      </c>
      <c r="C100" s="5">
        <v>446.15</v>
      </c>
      <c r="D100" s="5">
        <v>419.94</v>
      </c>
      <c r="E100" s="5">
        <v>279.45</v>
      </c>
    </row>
    <row r="101">
      <c r="B101" s="4">
        <v>100.0</v>
      </c>
      <c r="C101" s="5">
        <v>473.6</v>
      </c>
      <c r="D101" s="5">
        <v>431.91</v>
      </c>
      <c r="E101" s="5">
        <v>291.55</v>
      </c>
    </row>
    <row r="102">
      <c r="B102" s="4">
        <v>101.0</v>
      </c>
      <c r="C102" s="5">
        <v>477.66</v>
      </c>
      <c r="D102" s="5">
        <v>456.4</v>
      </c>
      <c r="E102" s="5">
        <v>300.07</v>
      </c>
    </row>
    <row r="103">
      <c r="B103" s="4">
        <v>102.0</v>
      </c>
      <c r="C103" s="5">
        <v>520.88</v>
      </c>
      <c r="D103" s="5">
        <v>462.24</v>
      </c>
      <c r="E103" s="5">
        <v>303.3</v>
      </c>
    </row>
    <row r="104">
      <c r="B104" s="4">
        <v>103.0</v>
      </c>
      <c r="C104" s="5">
        <v>530.24</v>
      </c>
      <c r="D104" s="5">
        <v>477.99</v>
      </c>
      <c r="E104" s="5">
        <v>345.27</v>
      </c>
    </row>
    <row r="105">
      <c r="B105" s="4">
        <v>104.0</v>
      </c>
      <c r="C105" s="5">
        <v>534.51</v>
      </c>
      <c r="D105" s="5">
        <v>493.14</v>
      </c>
      <c r="E105" s="5">
        <v>346.61</v>
      </c>
    </row>
    <row r="106">
      <c r="B106" s="4">
        <v>105.0</v>
      </c>
      <c r="C106" s="5">
        <v>562.44</v>
      </c>
      <c r="D106" s="5">
        <v>493.53</v>
      </c>
      <c r="E106" s="5">
        <v>348.61</v>
      </c>
    </row>
    <row r="107">
      <c r="B107" s="4">
        <v>106.0</v>
      </c>
      <c r="C107" s="5">
        <v>575.81</v>
      </c>
      <c r="D107" s="5">
        <v>521.33</v>
      </c>
      <c r="E107" s="5">
        <v>384.33</v>
      </c>
    </row>
    <row r="108">
      <c r="B108" s="4">
        <v>107.0</v>
      </c>
      <c r="C108" s="5">
        <v>576.94</v>
      </c>
      <c r="D108" s="5">
        <v>542.9</v>
      </c>
      <c r="E108" s="5">
        <v>401.25</v>
      </c>
    </row>
    <row r="109">
      <c r="B109" s="4">
        <v>108.0</v>
      </c>
      <c r="C109" s="5">
        <v>613.88</v>
      </c>
      <c r="D109" s="5">
        <v>551.17</v>
      </c>
      <c r="E109" s="5">
        <v>433.74</v>
      </c>
    </row>
    <row r="110">
      <c r="B110" s="4">
        <v>109.0</v>
      </c>
      <c r="C110" s="5">
        <v>616.24</v>
      </c>
      <c r="D110" s="5">
        <v>566.39</v>
      </c>
      <c r="E110" s="5">
        <v>440.8</v>
      </c>
    </row>
    <row r="111">
      <c r="B111" s="4">
        <v>110.0</v>
      </c>
      <c r="C111" s="5">
        <v>627.48</v>
      </c>
      <c r="D111" s="5">
        <v>575.39</v>
      </c>
      <c r="E111" s="5">
        <v>474.14</v>
      </c>
    </row>
    <row r="112">
      <c r="B112" s="4">
        <v>111.0</v>
      </c>
      <c r="C112" s="5">
        <v>632.91</v>
      </c>
      <c r="D112" s="5">
        <v>587.47</v>
      </c>
      <c r="E112" s="5">
        <v>479.03</v>
      </c>
    </row>
    <row r="113">
      <c r="B113" s="4">
        <v>112.0</v>
      </c>
      <c r="C113" s="5">
        <v>662.5</v>
      </c>
      <c r="D113" s="5">
        <v>594.98</v>
      </c>
      <c r="E113" s="5">
        <v>504.72</v>
      </c>
    </row>
    <row r="114">
      <c r="B114" s="4">
        <v>113.0</v>
      </c>
      <c r="C114" s="5">
        <v>667.0</v>
      </c>
      <c r="D114" s="5">
        <v>598.16</v>
      </c>
      <c r="E114" s="5">
        <v>507.61</v>
      </c>
    </row>
    <row r="115">
      <c r="B115" s="4">
        <v>114.0</v>
      </c>
      <c r="C115" s="5">
        <v>698.88</v>
      </c>
      <c r="D115" s="5">
        <v>624.31</v>
      </c>
      <c r="E115" s="5">
        <v>508.76</v>
      </c>
    </row>
    <row r="116">
      <c r="B116" s="4">
        <v>115.0</v>
      </c>
      <c r="C116" s="5">
        <v>719.65</v>
      </c>
      <c r="D116" s="5">
        <v>624.89</v>
      </c>
      <c r="E116" s="5">
        <v>509.72</v>
      </c>
    </row>
    <row r="117">
      <c r="B117" s="4">
        <v>116.0</v>
      </c>
      <c r="C117" s="5">
        <v>736.69</v>
      </c>
      <c r="D117" s="5">
        <v>625.55</v>
      </c>
      <c r="E117" s="5">
        <v>516.01</v>
      </c>
    </row>
    <row r="118">
      <c r="B118" s="4">
        <v>117.0</v>
      </c>
      <c r="C118" s="5">
        <v>738.41</v>
      </c>
      <c r="D118" s="5">
        <v>631.07</v>
      </c>
      <c r="E118" s="5">
        <v>528.43</v>
      </c>
    </row>
    <row r="119">
      <c r="B119" s="4">
        <v>118.0</v>
      </c>
      <c r="C119" s="5">
        <v>742.35</v>
      </c>
      <c r="D119" s="5">
        <v>639.71</v>
      </c>
      <c r="E119" s="5">
        <v>528.5</v>
      </c>
    </row>
    <row r="120">
      <c r="B120" s="4">
        <v>119.0</v>
      </c>
      <c r="C120" s="5">
        <v>782.33</v>
      </c>
      <c r="D120" s="5">
        <v>671.54</v>
      </c>
      <c r="E120" s="5">
        <v>545.24</v>
      </c>
    </row>
    <row r="121">
      <c r="B121" s="4">
        <v>120.0</v>
      </c>
      <c r="C121" s="5">
        <v>896.98</v>
      </c>
      <c r="D121" s="5">
        <v>689.59</v>
      </c>
      <c r="E121" s="5">
        <v>554.6</v>
      </c>
    </row>
    <row r="122">
      <c r="B122" s="4">
        <v>121.0</v>
      </c>
      <c r="C122" s="5">
        <v>925.9</v>
      </c>
      <c r="D122" s="5">
        <v>722.9</v>
      </c>
      <c r="E122" s="5">
        <v>558.69</v>
      </c>
    </row>
    <row r="123">
      <c r="B123" s="4">
        <v>122.0</v>
      </c>
      <c r="C123" s="5">
        <v>952.54</v>
      </c>
      <c r="D123" s="5">
        <v>746.98</v>
      </c>
      <c r="E123" s="5">
        <v>566.26</v>
      </c>
    </row>
    <row r="124">
      <c r="B124" s="4">
        <v>123.0</v>
      </c>
      <c r="C124" s="5">
        <v>982.76</v>
      </c>
      <c r="D124" s="5">
        <v>774.45</v>
      </c>
      <c r="E124" s="5">
        <v>585.01</v>
      </c>
    </row>
    <row r="125">
      <c r="B125" s="4">
        <v>124.0</v>
      </c>
      <c r="C125" s="5">
        <v>991.79</v>
      </c>
      <c r="D125" s="5">
        <v>777.83</v>
      </c>
      <c r="E125" s="5">
        <v>599.01</v>
      </c>
    </row>
    <row r="126">
      <c r="B126" s="4">
        <v>125.0</v>
      </c>
      <c r="C126" s="5">
        <v>1008.73</v>
      </c>
      <c r="D126" s="5">
        <v>821.16</v>
      </c>
      <c r="E126" s="5">
        <v>619.15</v>
      </c>
    </row>
    <row r="127">
      <c r="B127" s="4">
        <v>126.0</v>
      </c>
      <c r="C127" s="5">
        <v>1020.22</v>
      </c>
      <c r="D127" s="5">
        <v>821.78</v>
      </c>
      <c r="E127" s="5">
        <v>624.13</v>
      </c>
    </row>
    <row r="128">
      <c r="B128" s="4">
        <v>127.0</v>
      </c>
      <c r="C128" s="5">
        <v>1044.38</v>
      </c>
      <c r="D128" s="5">
        <v>851.82</v>
      </c>
      <c r="E128" s="5">
        <v>647.64</v>
      </c>
    </row>
    <row r="129">
      <c r="B129" s="4">
        <v>128.0</v>
      </c>
      <c r="C129" s="5">
        <v>1049.92</v>
      </c>
      <c r="D129" s="5">
        <v>857.1</v>
      </c>
      <c r="E129" s="5">
        <v>649.39</v>
      </c>
    </row>
    <row r="130">
      <c r="B130" s="4">
        <v>129.0</v>
      </c>
      <c r="C130" s="5">
        <v>1055.3</v>
      </c>
      <c r="D130" s="5">
        <v>869.26</v>
      </c>
      <c r="E130" s="5">
        <v>713.33</v>
      </c>
    </row>
    <row r="131">
      <c r="B131" s="4">
        <v>130.0</v>
      </c>
      <c r="C131" s="5">
        <v>1070.93</v>
      </c>
      <c r="D131" s="5">
        <v>872.15</v>
      </c>
      <c r="E131" s="5">
        <v>724.02</v>
      </c>
    </row>
    <row r="132">
      <c r="B132" s="4">
        <v>131.0</v>
      </c>
      <c r="C132" s="5">
        <v>1075.58</v>
      </c>
      <c r="D132" s="5">
        <v>918.03</v>
      </c>
      <c r="E132" s="5">
        <v>829.34</v>
      </c>
    </row>
    <row r="133">
      <c r="B133" s="4">
        <v>132.0</v>
      </c>
      <c r="C133" s="5">
        <v>1100.06</v>
      </c>
      <c r="D133" s="5">
        <v>936.42</v>
      </c>
      <c r="E133" s="5">
        <v>834.2</v>
      </c>
    </row>
    <row r="134">
      <c r="B134" s="4">
        <v>133.0</v>
      </c>
      <c r="C134" s="5">
        <v>1180.91</v>
      </c>
      <c r="D134" s="5">
        <v>954.0</v>
      </c>
      <c r="E134" s="5">
        <v>861.88</v>
      </c>
    </row>
    <row r="135">
      <c r="B135" s="4">
        <v>134.0</v>
      </c>
      <c r="C135" s="5">
        <v>1205.92</v>
      </c>
      <c r="D135" s="5">
        <v>956.02</v>
      </c>
      <c r="E135" s="5">
        <v>883.15</v>
      </c>
    </row>
    <row r="136">
      <c r="B136" s="4">
        <v>135.0</v>
      </c>
      <c r="C136" s="5">
        <v>1279.25</v>
      </c>
      <c r="D136" s="5">
        <v>988.54</v>
      </c>
      <c r="E136" s="5">
        <v>891.08</v>
      </c>
    </row>
    <row r="137">
      <c r="B137" s="4">
        <v>136.0</v>
      </c>
      <c r="C137" s="5">
        <v>1321.59</v>
      </c>
      <c r="D137" s="5">
        <v>994.03</v>
      </c>
      <c r="E137" s="5">
        <v>905.72</v>
      </c>
    </row>
    <row r="138">
      <c r="B138" s="4">
        <v>137.0</v>
      </c>
      <c r="C138" s="5">
        <v>1373.54</v>
      </c>
      <c r="D138" s="5">
        <v>1003.25</v>
      </c>
      <c r="E138" s="5">
        <v>940.08</v>
      </c>
    </row>
    <row r="139">
      <c r="B139" s="4">
        <v>138.0</v>
      </c>
      <c r="C139" s="5">
        <v>1423.83</v>
      </c>
      <c r="D139" s="5">
        <v>1007.5</v>
      </c>
      <c r="E139" s="5">
        <v>953.68</v>
      </c>
    </row>
    <row r="140">
      <c r="B140" s="4">
        <v>139.0</v>
      </c>
      <c r="C140" s="5">
        <v>1486.26</v>
      </c>
      <c r="D140" s="5">
        <v>1009.16</v>
      </c>
      <c r="E140" s="5">
        <v>958.19</v>
      </c>
    </row>
    <row r="141">
      <c r="B141" s="4">
        <v>140.0</v>
      </c>
      <c r="C141" s="5">
        <v>1518.78</v>
      </c>
      <c r="D141" s="5">
        <v>1118.03</v>
      </c>
      <c r="E141" s="5">
        <v>961.8</v>
      </c>
    </row>
    <row r="142">
      <c r="B142" s="4">
        <v>141.0</v>
      </c>
      <c r="C142" s="5">
        <v>1579.53</v>
      </c>
      <c r="D142" s="5">
        <v>1127.91</v>
      </c>
      <c r="E142" s="5">
        <v>1031.13</v>
      </c>
    </row>
    <row r="143">
      <c r="B143" s="4">
        <v>142.0</v>
      </c>
      <c r="C143" s="5">
        <v>1593.61</v>
      </c>
      <c r="D143" s="5">
        <v>1131.45</v>
      </c>
      <c r="E143" s="5">
        <v>1041.08</v>
      </c>
    </row>
    <row r="144">
      <c r="B144" s="4">
        <v>143.0</v>
      </c>
      <c r="C144" s="5">
        <v>1599.45</v>
      </c>
      <c r="D144" s="5">
        <v>1141.92</v>
      </c>
      <c r="E144" s="5">
        <v>1048.95</v>
      </c>
    </row>
    <row r="145">
      <c r="B145" s="4">
        <v>144.0</v>
      </c>
      <c r="C145" s="5">
        <v>1624.25</v>
      </c>
      <c r="D145" s="5">
        <v>1297.76</v>
      </c>
      <c r="E145" s="5">
        <v>1138.02</v>
      </c>
    </row>
    <row r="146">
      <c r="B146" s="4">
        <v>145.0</v>
      </c>
      <c r="C146" s="5">
        <v>1628.59</v>
      </c>
      <c r="D146" s="5">
        <v>1368.14</v>
      </c>
      <c r="E146" s="5">
        <v>1156.58</v>
      </c>
    </row>
    <row r="147">
      <c r="B147" s="4">
        <v>146.0</v>
      </c>
      <c r="C147" s="5">
        <v>1652.93</v>
      </c>
      <c r="D147" s="5">
        <v>1528.45</v>
      </c>
      <c r="E147" s="5">
        <v>1172.13</v>
      </c>
    </row>
    <row r="148">
      <c r="B148" s="4">
        <v>147.0</v>
      </c>
      <c r="C148" s="5">
        <v>1655.43</v>
      </c>
      <c r="D148" s="5">
        <v>1551.71</v>
      </c>
      <c r="E148" s="5">
        <v>1172.47</v>
      </c>
    </row>
    <row r="149">
      <c r="B149" s="4">
        <v>148.0</v>
      </c>
      <c r="C149" s="5">
        <v>1665.81</v>
      </c>
      <c r="D149" s="5">
        <v>1634.59</v>
      </c>
      <c r="E149" s="5">
        <v>1182.14</v>
      </c>
    </row>
    <row r="150">
      <c r="B150" s="4">
        <v>149.0</v>
      </c>
      <c r="C150" s="5">
        <v>1691.18</v>
      </c>
      <c r="D150" s="5">
        <v>1648.65</v>
      </c>
      <c r="E150" s="5">
        <v>1220.53</v>
      </c>
    </row>
    <row r="151">
      <c r="B151" s="4">
        <v>150.0</v>
      </c>
      <c r="C151" s="5">
        <v>1729.11</v>
      </c>
      <c r="D151" s="5">
        <v>1729.72</v>
      </c>
      <c r="E151" s="5">
        <v>1350.48</v>
      </c>
    </row>
    <row r="152">
      <c r="B152" s="4">
        <v>151.0</v>
      </c>
      <c r="C152" s="5">
        <v>1814.21</v>
      </c>
      <c r="D152" s="5">
        <v>1753.22</v>
      </c>
      <c r="E152" s="5">
        <v>1424.63</v>
      </c>
    </row>
    <row r="153">
      <c r="B153" s="4">
        <v>152.0</v>
      </c>
      <c r="C153" s="5">
        <v>1821.95</v>
      </c>
      <c r="D153" s="5">
        <v>1981.52</v>
      </c>
      <c r="E153" s="5">
        <v>1430.91</v>
      </c>
    </row>
    <row r="154">
      <c r="B154" s="4">
        <v>153.0</v>
      </c>
      <c r="C154" s="5">
        <v>1920.3</v>
      </c>
      <c r="D154" s="5">
        <v>2006.85</v>
      </c>
      <c r="E154" s="5">
        <v>1506.65</v>
      </c>
    </row>
    <row r="155">
      <c r="B155" s="4">
        <v>154.0</v>
      </c>
      <c r="C155" s="5">
        <v>1940.39</v>
      </c>
      <c r="D155" s="5">
        <v>2145.55</v>
      </c>
      <c r="E155" s="5">
        <v>1511.25</v>
      </c>
    </row>
    <row r="156">
      <c r="B156" s="4">
        <v>155.0</v>
      </c>
      <c r="C156" s="5">
        <v>2000.81</v>
      </c>
      <c r="D156" s="5">
        <v>2198.45</v>
      </c>
      <c r="E156" s="5">
        <v>1589.36</v>
      </c>
    </row>
    <row r="157">
      <c r="B157" s="4">
        <v>156.0</v>
      </c>
      <c r="C157" s="5">
        <v>2004.94</v>
      </c>
      <c r="D157" s="5">
        <v>2214.42</v>
      </c>
      <c r="E157" s="5">
        <v>1758.74</v>
      </c>
    </row>
    <row r="158">
      <c r="B158" s="4">
        <v>157.0</v>
      </c>
      <c r="C158" s="5">
        <v>2083.15</v>
      </c>
      <c r="D158" s="5">
        <v>2250.22</v>
      </c>
      <c r="E158" s="5">
        <v>1999.15</v>
      </c>
    </row>
    <row r="159">
      <c r="B159" s="4">
        <v>158.0</v>
      </c>
      <c r="C159" s="5">
        <v>2140.96</v>
      </c>
      <c r="D159" s="5">
        <v>2269.72</v>
      </c>
      <c r="E159" s="5">
        <v>2004.87</v>
      </c>
    </row>
    <row r="160">
      <c r="B160" s="4">
        <v>159.0</v>
      </c>
      <c r="C160" s="5">
        <v>2492.3</v>
      </c>
      <c r="D160" s="5">
        <v>2361.76</v>
      </c>
      <c r="E160" s="5">
        <v>2097.19</v>
      </c>
    </row>
    <row r="161">
      <c r="B161" s="4">
        <v>160.0</v>
      </c>
      <c r="C161" s="5">
        <v>2519.54</v>
      </c>
      <c r="D161" s="5">
        <v>2411.28</v>
      </c>
      <c r="E161" s="5">
        <v>2101.13</v>
      </c>
    </row>
    <row r="162">
      <c r="B162" s="4">
        <v>161.0</v>
      </c>
      <c r="C162" s="5">
        <v>2532.91</v>
      </c>
      <c r="D162" s="5">
        <v>2422.56</v>
      </c>
      <c r="E162" s="5">
        <v>2124.35</v>
      </c>
    </row>
    <row r="163">
      <c r="B163" s="4">
        <v>162.0</v>
      </c>
      <c r="C163" s="5">
        <v>2564.42</v>
      </c>
      <c r="D163" s="5">
        <v>2465.61</v>
      </c>
      <c r="E163" s="5">
        <v>2222.24</v>
      </c>
    </row>
    <row r="164">
      <c r="B164" s="4">
        <v>163.0</v>
      </c>
      <c r="C164" s="5">
        <v>2612.53</v>
      </c>
      <c r="D164" s="5">
        <v>2598.05</v>
      </c>
      <c r="E164" s="5">
        <v>2343.43</v>
      </c>
    </row>
    <row r="165">
      <c r="B165" s="4">
        <v>164.0</v>
      </c>
      <c r="C165" s="5">
        <v>2619.21</v>
      </c>
      <c r="D165" s="5">
        <v>2755.95</v>
      </c>
      <c r="E165" s="5">
        <v>2572.53</v>
      </c>
    </row>
    <row r="166">
      <c r="B166" s="4">
        <v>165.0</v>
      </c>
      <c r="C166" s="5">
        <v>2632.58</v>
      </c>
      <c r="D166" s="5">
        <v>2757.08</v>
      </c>
      <c r="E166" s="5">
        <v>2705.52</v>
      </c>
    </row>
    <row r="167">
      <c r="B167" s="4">
        <v>166.0</v>
      </c>
      <c r="C167" s="5">
        <v>2646.61</v>
      </c>
      <c r="D167" s="5">
        <v>2779.38</v>
      </c>
      <c r="E167" s="5">
        <v>2779.32</v>
      </c>
    </row>
    <row r="168">
      <c r="B168" s="4">
        <v>167.0</v>
      </c>
      <c r="C168" s="5">
        <v>2693.36</v>
      </c>
      <c r="D168" s="5">
        <v>2905.81</v>
      </c>
      <c r="E168" s="5">
        <v>2785.93</v>
      </c>
    </row>
    <row r="169">
      <c r="B169" s="4">
        <v>168.0</v>
      </c>
      <c r="C169" s="5">
        <v>2734.63</v>
      </c>
      <c r="D169" s="5">
        <v>2934.35</v>
      </c>
      <c r="E169" s="5">
        <v>2854.67</v>
      </c>
    </row>
    <row r="170">
      <c r="B170" s="4">
        <v>169.0</v>
      </c>
      <c r="C170" s="5">
        <v>2950.26</v>
      </c>
      <c r="D170" s="5">
        <v>2966.62</v>
      </c>
      <c r="E170" s="5">
        <v>2867.3</v>
      </c>
    </row>
    <row r="171">
      <c r="B171" s="4">
        <v>170.0</v>
      </c>
      <c r="C171" s="5">
        <v>3138.31</v>
      </c>
      <c r="D171" s="5">
        <v>2982.69</v>
      </c>
      <c r="E171" s="5">
        <v>2888.27</v>
      </c>
    </row>
    <row r="172">
      <c r="B172" s="4">
        <v>171.0</v>
      </c>
      <c r="C172" s="5">
        <v>3198.22</v>
      </c>
      <c r="D172" s="5">
        <v>3012.23</v>
      </c>
      <c r="E172" s="5">
        <v>2897.58</v>
      </c>
    </row>
    <row r="173">
      <c r="B173" s="4">
        <v>172.0</v>
      </c>
      <c r="C173" s="5">
        <v>3478.18</v>
      </c>
      <c r="D173" s="5">
        <v>3071.75</v>
      </c>
      <c r="E173" s="5">
        <v>2989.48</v>
      </c>
    </row>
    <row r="174">
      <c r="B174" s="4">
        <v>173.0</v>
      </c>
      <c r="C174" s="5">
        <v>3503.63</v>
      </c>
      <c r="D174" s="5">
        <v>3079.87</v>
      </c>
      <c r="E174" s="5">
        <v>3109.25</v>
      </c>
    </row>
    <row r="175">
      <c r="B175" s="4">
        <v>174.0</v>
      </c>
      <c r="C175" s="5">
        <v>3530.91</v>
      </c>
      <c r="D175" s="5">
        <v>3112.98</v>
      </c>
      <c r="E175" s="5">
        <v>3125.54</v>
      </c>
    </row>
    <row r="176">
      <c r="B176" s="4">
        <v>175.0</v>
      </c>
      <c r="C176" s="5">
        <v>3588.69</v>
      </c>
      <c r="D176" s="5">
        <v>3141.4</v>
      </c>
      <c r="E176" s="5">
        <v>3147.09</v>
      </c>
    </row>
    <row r="177">
      <c r="B177" s="4">
        <v>176.0</v>
      </c>
      <c r="C177" s="5">
        <v>3611.05</v>
      </c>
      <c r="D177" s="5">
        <v>3144.33</v>
      </c>
      <c r="E177" s="5">
        <v>3372.89</v>
      </c>
    </row>
    <row r="178">
      <c r="B178" s="4">
        <v>177.0</v>
      </c>
      <c r="C178" s="5">
        <v>3636.46</v>
      </c>
      <c r="D178" s="5">
        <v>3250.18</v>
      </c>
      <c r="E178" s="5">
        <v>3607.86</v>
      </c>
    </row>
    <row r="179">
      <c r="B179" s="4">
        <v>178.0</v>
      </c>
      <c r="C179" s="5">
        <v>3668.12</v>
      </c>
      <c r="D179" s="5">
        <v>3328.2</v>
      </c>
      <c r="E179" s="5">
        <v>3668.93</v>
      </c>
    </row>
    <row r="180">
      <c r="B180" s="4">
        <v>179.0</v>
      </c>
      <c r="C180" s="5">
        <v>3868.25</v>
      </c>
      <c r="D180" s="5">
        <v>3360.11</v>
      </c>
      <c r="E180" s="5">
        <v>3842.59</v>
      </c>
    </row>
    <row r="181">
      <c r="B181" s="4">
        <v>180.0</v>
      </c>
      <c r="C181" s="5">
        <v>3942.05</v>
      </c>
      <c r="D181" s="5">
        <v>3385.14</v>
      </c>
      <c r="E181" s="5">
        <v>3930.05</v>
      </c>
    </row>
    <row r="182">
      <c r="B182" s="4">
        <v>181.0</v>
      </c>
      <c r="C182" s="5">
        <v>4153.38</v>
      </c>
      <c r="D182" s="5">
        <v>3581.38</v>
      </c>
      <c r="E182" s="5">
        <v>4466.75</v>
      </c>
    </row>
    <row r="183">
      <c r="B183" s="4">
        <v>182.0</v>
      </c>
      <c r="C183" s="5">
        <v>4173.18</v>
      </c>
      <c r="D183" s="5">
        <v>3685.57</v>
      </c>
      <c r="E183" s="5">
        <v>4473.21</v>
      </c>
    </row>
    <row r="184">
      <c r="B184" s="4">
        <v>183.0</v>
      </c>
      <c r="C184" s="5">
        <v>4188.68</v>
      </c>
      <c r="D184" s="5">
        <v>3798.87</v>
      </c>
      <c r="E184" s="5">
        <v>4505.11</v>
      </c>
    </row>
    <row r="185">
      <c r="B185" s="4">
        <v>184.0</v>
      </c>
      <c r="C185" s="5">
        <v>4213.42</v>
      </c>
      <c r="D185" s="5">
        <v>3870.13</v>
      </c>
      <c r="E185" s="5">
        <v>4524.71</v>
      </c>
    </row>
    <row r="186">
      <c r="B186" s="4">
        <v>185.0</v>
      </c>
      <c r="C186" s="5">
        <v>4363.76</v>
      </c>
      <c r="D186" s="5">
        <v>4066.49</v>
      </c>
      <c r="E186" s="5">
        <v>4566.63</v>
      </c>
    </row>
    <row r="187">
      <c r="B187" s="4">
        <v>186.0</v>
      </c>
      <c r="C187" s="5">
        <v>4489.34</v>
      </c>
      <c r="D187" s="5">
        <v>4105.03</v>
      </c>
      <c r="E187" s="5">
        <v>4595.67</v>
      </c>
    </row>
    <row r="188">
      <c r="B188" s="4">
        <v>187.0</v>
      </c>
      <c r="C188" s="5">
        <v>4684.57</v>
      </c>
      <c r="E188" s="5">
        <v>4672.61</v>
      </c>
    </row>
    <row r="189">
      <c r="B189" s="4">
        <v>188.0</v>
      </c>
      <c r="C189" s="5">
        <v>4764.95</v>
      </c>
      <c r="E189" s="5">
        <v>4838.71</v>
      </c>
    </row>
    <row r="190">
      <c r="B190" s="4">
        <v>189.0</v>
      </c>
      <c r="C190" s="5">
        <v>4865.23</v>
      </c>
      <c r="E190" s="5">
        <v>4987.47</v>
      </c>
    </row>
    <row r="191">
      <c r="B191" s="4">
        <v>190.0</v>
      </c>
      <c r="C191" s="5">
        <v>5001.7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255</v>
      </c>
      <c r="C2" s="4" t="s">
        <v>829</v>
      </c>
      <c r="D2" s="4" t="s">
        <v>6</v>
      </c>
    </row>
    <row r="3">
      <c r="B3" s="4" t="s">
        <v>20</v>
      </c>
      <c r="C3" s="4" t="s">
        <v>829</v>
      </c>
      <c r="D3" s="4" t="s">
        <v>6</v>
      </c>
    </row>
    <row r="4">
      <c r="B4" s="4" t="s">
        <v>262</v>
      </c>
      <c r="C4" s="4" t="s">
        <v>830</v>
      </c>
      <c r="D4" s="4" t="s">
        <v>263</v>
      </c>
    </row>
    <row r="5">
      <c r="B5" s="4" t="s">
        <v>264</v>
      </c>
      <c r="C5" s="4" t="s">
        <v>830</v>
      </c>
      <c r="D5" s="4" t="s">
        <v>263</v>
      </c>
    </row>
    <row r="6">
      <c r="B6" s="4" t="s">
        <v>265</v>
      </c>
      <c r="C6" s="4" t="s">
        <v>830</v>
      </c>
      <c r="D6" s="4" t="s">
        <v>263</v>
      </c>
    </row>
    <row r="7">
      <c r="B7" s="4" t="s">
        <v>183</v>
      </c>
      <c r="C7" s="4" t="s">
        <v>829</v>
      </c>
      <c r="D7" s="4" t="s">
        <v>6</v>
      </c>
    </row>
    <row r="8">
      <c r="B8" s="4" t="s">
        <v>266</v>
      </c>
      <c r="C8" s="4" t="s">
        <v>829</v>
      </c>
      <c r="D8" s="4" t="s">
        <v>6</v>
      </c>
    </row>
    <row r="9">
      <c r="B9" s="4" t="s">
        <v>267</v>
      </c>
      <c r="C9" s="4" t="s">
        <v>830</v>
      </c>
      <c r="D9" s="4" t="s">
        <v>263</v>
      </c>
    </row>
    <row r="10">
      <c r="B10" s="4" t="s">
        <v>268</v>
      </c>
      <c r="C10" s="4" t="s">
        <v>830</v>
      </c>
      <c r="D10" s="4" t="s">
        <v>263</v>
      </c>
    </row>
    <row r="11">
      <c r="B11" s="4" t="s">
        <v>190</v>
      </c>
      <c r="C11" s="4" t="s">
        <v>829</v>
      </c>
      <c r="D11" s="4" t="s">
        <v>6</v>
      </c>
    </row>
    <row r="12">
      <c r="B12" s="4" t="s">
        <v>269</v>
      </c>
      <c r="C12" s="4" t="s">
        <v>829</v>
      </c>
      <c r="D12" s="4" t="s">
        <v>9</v>
      </c>
    </row>
    <row r="13">
      <c r="B13" s="4" t="s">
        <v>41</v>
      </c>
      <c r="C13" s="4" t="s">
        <v>829</v>
      </c>
      <c r="D13" s="4" t="s">
        <v>6</v>
      </c>
    </row>
    <row r="14">
      <c r="B14" s="4" t="s">
        <v>27</v>
      </c>
      <c r="C14" s="4" t="s">
        <v>829</v>
      </c>
      <c r="D14" s="4" t="s">
        <v>6</v>
      </c>
    </row>
    <row r="15">
      <c r="B15" s="4" t="s">
        <v>270</v>
      </c>
      <c r="C15" s="4" t="s">
        <v>830</v>
      </c>
      <c r="D15" s="4" t="s">
        <v>263</v>
      </c>
    </row>
    <row r="16">
      <c r="B16" s="4" t="s">
        <v>54</v>
      </c>
      <c r="C16" s="4" t="s">
        <v>829</v>
      </c>
      <c r="D16" s="4" t="s">
        <v>6</v>
      </c>
    </row>
    <row r="17">
      <c r="B17" s="4" t="s">
        <v>271</v>
      </c>
      <c r="C17" s="4" t="s">
        <v>830</v>
      </c>
      <c r="D17" s="4" t="s">
        <v>263</v>
      </c>
    </row>
    <row r="18">
      <c r="B18" s="4" t="s">
        <v>272</v>
      </c>
      <c r="C18" s="4" t="s">
        <v>830</v>
      </c>
      <c r="D18" s="4" t="s">
        <v>263</v>
      </c>
    </row>
    <row r="19">
      <c r="B19" s="4" t="s">
        <v>273</v>
      </c>
      <c r="C19" s="4" t="s">
        <v>830</v>
      </c>
      <c r="D19" s="4" t="s">
        <v>263</v>
      </c>
    </row>
    <row r="20">
      <c r="B20" s="4" t="s">
        <v>237</v>
      </c>
      <c r="C20" s="4" t="s">
        <v>830</v>
      </c>
      <c r="D20" s="4" t="s">
        <v>263</v>
      </c>
    </row>
    <row r="21">
      <c r="B21" s="4" t="s">
        <v>133</v>
      </c>
      <c r="C21" s="4" t="s">
        <v>829</v>
      </c>
      <c r="D21" s="4" t="s">
        <v>9</v>
      </c>
    </row>
    <row r="22">
      <c r="B22" s="4" t="s">
        <v>19</v>
      </c>
      <c r="C22" s="4" t="s">
        <v>829</v>
      </c>
      <c r="D22" s="4" t="s">
        <v>9</v>
      </c>
    </row>
    <row r="23">
      <c r="B23" s="4" t="s">
        <v>226</v>
      </c>
      <c r="C23" s="4" t="s">
        <v>829</v>
      </c>
      <c r="D23" s="4" t="s">
        <v>9</v>
      </c>
    </row>
    <row r="24">
      <c r="B24" s="4" t="s">
        <v>18</v>
      </c>
      <c r="C24" s="4" t="s">
        <v>829</v>
      </c>
      <c r="D24" s="4" t="s">
        <v>9</v>
      </c>
    </row>
    <row r="25">
      <c r="B25" s="4" t="s">
        <v>8</v>
      </c>
      <c r="C25" s="4" t="s">
        <v>829</v>
      </c>
      <c r="D25" s="4" t="s">
        <v>9</v>
      </c>
    </row>
    <row r="26">
      <c r="B26" s="4" t="s">
        <v>166</v>
      </c>
      <c r="C26" s="4" t="s">
        <v>829</v>
      </c>
      <c r="D26" s="4" t="s">
        <v>9</v>
      </c>
    </row>
    <row r="27">
      <c r="B27" s="4" t="s">
        <v>50</v>
      </c>
      <c r="C27" s="4" t="s">
        <v>829</v>
      </c>
      <c r="D27" s="4" t="s">
        <v>6</v>
      </c>
    </row>
    <row r="28">
      <c r="B28" s="4" t="s">
        <v>232</v>
      </c>
      <c r="C28" s="4" t="s">
        <v>829</v>
      </c>
      <c r="D28" s="4" t="s">
        <v>9</v>
      </c>
    </row>
    <row r="29">
      <c r="B29" s="4" t="s">
        <v>177</v>
      </c>
      <c r="C29" s="4" t="s">
        <v>829</v>
      </c>
      <c r="D29" s="4" t="s">
        <v>9</v>
      </c>
    </row>
    <row r="30">
      <c r="B30" s="4" t="s">
        <v>23</v>
      </c>
      <c r="C30" s="4" t="s">
        <v>829</v>
      </c>
      <c r="D30" s="4" t="s">
        <v>6</v>
      </c>
    </row>
    <row r="31">
      <c r="B31" s="4" t="s">
        <v>154</v>
      </c>
      <c r="C31" s="4" t="s">
        <v>829</v>
      </c>
      <c r="D31" s="4" t="s">
        <v>9</v>
      </c>
    </row>
    <row r="32">
      <c r="B32" s="4" t="s">
        <v>84</v>
      </c>
      <c r="C32" s="4" t="s">
        <v>829</v>
      </c>
      <c r="D32" s="4" t="s">
        <v>9</v>
      </c>
    </row>
    <row r="33">
      <c r="B33" s="4" t="s">
        <v>130</v>
      </c>
      <c r="C33" s="4" t="s">
        <v>829</v>
      </c>
      <c r="D33" s="4" t="s">
        <v>9</v>
      </c>
    </row>
    <row r="34">
      <c r="B34" s="4" t="s">
        <v>179</v>
      </c>
      <c r="C34" s="4" t="s">
        <v>829</v>
      </c>
      <c r="D34" s="4" t="s">
        <v>6</v>
      </c>
    </row>
    <row r="35">
      <c r="B35" s="4" t="s">
        <v>238</v>
      </c>
      <c r="C35" s="4" t="s">
        <v>830</v>
      </c>
      <c r="D35" s="4" t="s">
        <v>263</v>
      </c>
    </row>
    <row r="36">
      <c r="B36" s="4" t="s">
        <v>146</v>
      </c>
      <c r="C36" s="4" t="s">
        <v>829</v>
      </c>
      <c r="D36" s="4" t="s">
        <v>6</v>
      </c>
    </row>
    <row r="37">
      <c r="B37" s="4" t="s">
        <v>274</v>
      </c>
      <c r="C37" s="4" t="s">
        <v>829</v>
      </c>
      <c r="D37" s="4" t="s">
        <v>6</v>
      </c>
    </row>
    <row r="38">
      <c r="B38" s="4" t="s">
        <v>85</v>
      </c>
      <c r="C38" s="4" t="s">
        <v>829</v>
      </c>
      <c r="D38" s="4" t="s">
        <v>6</v>
      </c>
    </row>
    <row r="39">
      <c r="B39" s="4" t="s">
        <v>152</v>
      </c>
      <c r="C39" s="4" t="s">
        <v>829</v>
      </c>
      <c r="D39" s="4" t="s">
        <v>9</v>
      </c>
    </row>
    <row r="40">
      <c r="B40" s="4" t="s">
        <v>275</v>
      </c>
      <c r="C40" s="4" t="s">
        <v>830</v>
      </c>
      <c r="D40" s="4" t="s">
        <v>263</v>
      </c>
    </row>
    <row r="41">
      <c r="B41" s="4" t="s">
        <v>276</v>
      </c>
      <c r="C41" s="4" t="s">
        <v>830</v>
      </c>
      <c r="D41" s="4" t="s">
        <v>263</v>
      </c>
    </row>
    <row r="42">
      <c r="B42" s="4" t="s">
        <v>191</v>
      </c>
      <c r="C42" s="4" t="s">
        <v>829</v>
      </c>
      <c r="D42" s="4" t="s">
        <v>6</v>
      </c>
    </row>
    <row r="43">
      <c r="B43" s="4" t="s">
        <v>277</v>
      </c>
      <c r="C43" s="4" t="s">
        <v>830</v>
      </c>
      <c r="D43" s="4" t="s">
        <v>263</v>
      </c>
    </row>
    <row r="44">
      <c r="B44" s="4" t="s">
        <v>185</v>
      </c>
      <c r="C44" s="4" t="s">
        <v>829</v>
      </c>
      <c r="D44" s="4" t="s">
        <v>6</v>
      </c>
    </row>
    <row r="45">
      <c r="B45" s="4" t="s">
        <v>81</v>
      </c>
      <c r="C45" s="4" t="s">
        <v>829</v>
      </c>
      <c r="D45" s="4" t="s">
        <v>6</v>
      </c>
    </row>
    <row r="46">
      <c r="B46" s="4" t="s">
        <v>149</v>
      </c>
      <c r="C46" s="4" t="s">
        <v>829</v>
      </c>
      <c r="D46" s="4" t="s">
        <v>6</v>
      </c>
    </row>
    <row r="47">
      <c r="B47" s="4" t="s">
        <v>171</v>
      </c>
      <c r="C47" s="4" t="s">
        <v>829</v>
      </c>
      <c r="D47" s="4" t="s">
        <v>6</v>
      </c>
    </row>
    <row r="48">
      <c r="B48" s="4" t="s">
        <v>195</v>
      </c>
      <c r="C48" s="4" t="s">
        <v>829</v>
      </c>
      <c r="D48" s="4" t="s">
        <v>6</v>
      </c>
    </row>
    <row r="49">
      <c r="B49" s="4" t="s">
        <v>167</v>
      </c>
      <c r="C49" s="4" t="s">
        <v>829</v>
      </c>
      <c r="D49" s="4" t="s">
        <v>9</v>
      </c>
    </row>
    <row r="50">
      <c r="B50" s="4" t="s">
        <v>61</v>
      </c>
      <c r="C50" s="4" t="s">
        <v>829</v>
      </c>
      <c r="D50" s="4" t="s">
        <v>6</v>
      </c>
    </row>
    <row r="51">
      <c r="B51" s="4" t="s">
        <v>132</v>
      </c>
      <c r="C51" s="4" t="s">
        <v>829</v>
      </c>
      <c r="D51" s="4" t="s">
        <v>6</v>
      </c>
    </row>
    <row r="52">
      <c r="B52" s="4" t="s">
        <v>220</v>
      </c>
      <c r="C52" s="4" t="s">
        <v>829</v>
      </c>
      <c r="D52" s="4" t="s">
        <v>9</v>
      </c>
    </row>
    <row r="53">
      <c r="B53" s="4" t="s">
        <v>110</v>
      </c>
      <c r="C53" s="4" t="s">
        <v>829</v>
      </c>
      <c r="D53" s="4" t="s">
        <v>6</v>
      </c>
    </row>
    <row r="54">
      <c r="B54" s="4" t="s">
        <v>30</v>
      </c>
      <c r="C54" s="4" t="s">
        <v>829</v>
      </c>
      <c r="D54" s="4" t="s">
        <v>6</v>
      </c>
    </row>
    <row r="55">
      <c r="B55" s="4" t="s">
        <v>214</v>
      </c>
      <c r="C55" s="4" t="s">
        <v>829</v>
      </c>
      <c r="D55" s="4" t="s">
        <v>9</v>
      </c>
    </row>
    <row r="56">
      <c r="B56" s="4" t="s">
        <v>260</v>
      </c>
      <c r="C56" s="4" t="s">
        <v>829</v>
      </c>
      <c r="D56" s="4" t="s">
        <v>6</v>
      </c>
    </row>
    <row r="57">
      <c r="B57" s="4" t="s">
        <v>142</v>
      </c>
      <c r="C57" s="4" t="s">
        <v>829</v>
      </c>
      <c r="D57" s="4" t="s">
        <v>6</v>
      </c>
    </row>
    <row r="58">
      <c r="B58" s="4" t="s">
        <v>278</v>
      </c>
      <c r="C58" s="4" t="s">
        <v>830</v>
      </c>
      <c r="D58" s="4" t="s">
        <v>263</v>
      </c>
    </row>
    <row r="59">
      <c r="B59" s="4" t="s">
        <v>256</v>
      </c>
      <c r="C59" s="4" t="s">
        <v>829</v>
      </c>
      <c r="D59" s="4" t="s">
        <v>6</v>
      </c>
    </row>
    <row r="60">
      <c r="B60" s="4" t="s">
        <v>279</v>
      </c>
      <c r="C60" s="4" t="s">
        <v>830</v>
      </c>
      <c r="D60" s="4" t="s">
        <v>263</v>
      </c>
    </row>
    <row r="61">
      <c r="B61" s="4" t="s">
        <v>247</v>
      </c>
      <c r="C61" s="4" t="s">
        <v>830</v>
      </c>
      <c r="D61" s="4" t="s">
        <v>263</v>
      </c>
    </row>
    <row r="62">
      <c r="B62" s="4" t="s">
        <v>280</v>
      </c>
      <c r="C62" s="4" t="s">
        <v>830</v>
      </c>
      <c r="D62" s="4" t="s">
        <v>263</v>
      </c>
    </row>
    <row r="63">
      <c r="B63" s="4" t="s">
        <v>155</v>
      </c>
      <c r="C63" s="4" t="s">
        <v>829</v>
      </c>
      <c r="D63" s="4" t="s">
        <v>6</v>
      </c>
    </row>
    <row r="64">
      <c r="B64" s="4" t="s">
        <v>161</v>
      </c>
      <c r="C64" s="4" t="s">
        <v>829</v>
      </c>
      <c r="D64" s="4" t="s">
        <v>9</v>
      </c>
    </row>
    <row r="65">
      <c r="B65" s="4" t="s">
        <v>10</v>
      </c>
      <c r="C65" s="4" t="s">
        <v>829</v>
      </c>
      <c r="D65" s="4" t="s">
        <v>6</v>
      </c>
    </row>
    <row r="66">
      <c r="B66" s="4" t="s">
        <v>209</v>
      </c>
      <c r="C66" s="4" t="s">
        <v>829</v>
      </c>
      <c r="D66" s="4" t="s">
        <v>9</v>
      </c>
    </row>
    <row r="67">
      <c r="B67" s="4" t="s">
        <v>219</v>
      </c>
      <c r="C67" s="4" t="s">
        <v>830</v>
      </c>
      <c r="D67" s="4" t="s">
        <v>263</v>
      </c>
    </row>
    <row r="68">
      <c r="B68" s="4" t="s">
        <v>188</v>
      </c>
      <c r="C68" s="4" t="s">
        <v>829</v>
      </c>
      <c r="D68" s="4" t="s">
        <v>9</v>
      </c>
    </row>
    <row r="69">
      <c r="B69" s="4" t="s">
        <v>212</v>
      </c>
      <c r="C69" s="4" t="s">
        <v>829</v>
      </c>
      <c r="D69" s="4" t="s">
        <v>9</v>
      </c>
    </row>
    <row r="70">
      <c r="B70" s="4" t="s">
        <v>182</v>
      </c>
      <c r="C70" s="4" t="s">
        <v>829</v>
      </c>
      <c r="D70" s="4" t="s">
        <v>9</v>
      </c>
    </row>
    <row r="71">
      <c r="B71" s="4" t="s">
        <v>21</v>
      </c>
      <c r="C71" s="4" t="s">
        <v>829</v>
      </c>
      <c r="D71" s="4" t="s">
        <v>9</v>
      </c>
    </row>
    <row r="72">
      <c r="B72" s="4" t="s">
        <v>51</v>
      </c>
      <c r="C72" s="4" t="s">
        <v>829</v>
      </c>
      <c r="D72" s="4" t="s">
        <v>6</v>
      </c>
    </row>
    <row r="73">
      <c r="B73" s="4" t="s">
        <v>32</v>
      </c>
      <c r="C73" s="4" t="s">
        <v>829</v>
      </c>
      <c r="D73" s="4" t="s">
        <v>6</v>
      </c>
    </row>
    <row r="74">
      <c r="B74" s="4" t="s">
        <v>187</v>
      </c>
      <c r="C74" s="4" t="s">
        <v>829</v>
      </c>
      <c r="D74" s="4" t="s">
        <v>6</v>
      </c>
    </row>
    <row r="75">
      <c r="B75" s="4" t="s">
        <v>251</v>
      </c>
      <c r="C75" s="4" t="s">
        <v>830</v>
      </c>
      <c r="D75" s="4" t="s">
        <v>263</v>
      </c>
    </row>
    <row r="76">
      <c r="B76" s="4" t="s">
        <v>281</v>
      </c>
      <c r="C76" s="4" t="s">
        <v>830</v>
      </c>
      <c r="D76" s="4" t="s">
        <v>263</v>
      </c>
    </row>
    <row r="77">
      <c r="B77" s="4" t="s">
        <v>79</v>
      </c>
      <c r="C77" s="4" t="s">
        <v>829</v>
      </c>
      <c r="D77" s="4" t="s">
        <v>9</v>
      </c>
    </row>
    <row r="78">
      <c r="B78" s="4" t="s">
        <v>282</v>
      </c>
      <c r="C78" s="4" t="s">
        <v>829</v>
      </c>
      <c r="D78" s="4" t="s">
        <v>9</v>
      </c>
    </row>
    <row r="79">
      <c r="B79" s="4" t="s">
        <v>139</v>
      </c>
      <c r="C79" s="4" t="s">
        <v>829</v>
      </c>
      <c r="D79" s="4" t="s">
        <v>6</v>
      </c>
    </row>
    <row r="80">
      <c r="B80" s="4" t="s">
        <v>57</v>
      </c>
      <c r="C80" s="4" t="s">
        <v>829</v>
      </c>
      <c r="D80" s="4" t="s">
        <v>9</v>
      </c>
    </row>
    <row r="81">
      <c r="B81" s="4" t="s">
        <v>97</v>
      </c>
      <c r="C81" s="4" t="s">
        <v>829</v>
      </c>
      <c r="D81" s="4" t="s">
        <v>9</v>
      </c>
    </row>
    <row r="82">
      <c r="B82" s="4" t="s">
        <v>196</v>
      </c>
      <c r="C82" s="4" t="s">
        <v>829</v>
      </c>
      <c r="D82" s="4" t="s">
        <v>9</v>
      </c>
    </row>
    <row r="83">
      <c r="B83" s="4" t="s">
        <v>244</v>
      </c>
      <c r="C83" s="4" t="s">
        <v>829</v>
      </c>
      <c r="D83" s="4" t="s">
        <v>9</v>
      </c>
    </row>
    <row r="84">
      <c r="B84" s="4" t="s">
        <v>283</v>
      </c>
      <c r="C84" s="4" t="s">
        <v>830</v>
      </c>
      <c r="D84" s="4" t="s">
        <v>263</v>
      </c>
    </row>
    <row r="85">
      <c r="B85" s="4" t="s">
        <v>215</v>
      </c>
      <c r="C85" s="4" t="s">
        <v>829</v>
      </c>
      <c r="D85" s="4" t="s">
        <v>9</v>
      </c>
    </row>
    <row r="86">
      <c r="B86" s="4" t="s">
        <v>213</v>
      </c>
      <c r="C86" s="4" t="s">
        <v>829</v>
      </c>
      <c r="D86" s="4" t="s">
        <v>9</v>
      </c>
    </row>
    <row r="87">
      <c r="B87" s="4" t="s">
        <v>284</v>
      </c>
      <c r="C87" s="4" t="s">
        <v>830</v>
      </c>
      <c r="D87" s="4" t="s">
        <v>263</v>
      </c>
    </row>
    <row r="88">
      <c r="B88" s="4" t="s">
        <v>285</v>
      </c>
      <c r="C88" s="4" t="s">
        <v>830</v>
      </c>
      <c r="D88" s="4" t="s">
        <v>263</v>
      </c>
    </row>
    <row r="89">
      <c r="B89" s="4" t="s">
        <v>286</v>
      </c>
      <c r="C89" s="4" t="s">
        <v>830</v>
      </c>
      <c r="D89" s="4" t="s">
        <v>263</v>
      </c>
    </row>
    <row r="90">
      <c r="B90" s="4" t="s">
        <v>53</v>
      </c>
      <c r="C90" s="4" t="s">
        <v>829</v>
      </c>
      <c r="D90" s="4" t="s">
        <v>9</v>
      </c>
    </row>
    <row r="91">
      <c r="B91" s="4" t="s">
        <v>64</v>
      </c>
      <c r="C91" s="4" t="s">
        <v>829</v>
      </c>
      <c r="D91" s="4" t="s">
        <v>9</v>
      </c>
    </row>
    <row r="92">
      <c r="B92" s="4" t="s">
        <v>172</v>
      </c>
      <c r="C92" s="4" t="s">
        <v>829</v>
      </c>
      <c r="D92" s="4" t="s">
        <v>6</v>
      </c>
    </row>
    <row r="93">
      <c r="B93" s="4" t="s">
        <v>287</v>
      </c>
      <c r="C93" s="4" t="s">
        <v>830</v>
      </c>
      <c r="D93" s="4" t="s">
        <v>263</v>
      </c>
    </row>
    <row r="94">
      <c r="B94" s="4" t="s">
        <v>288</v>
      </c>
      <c r="C94" s="4" t="s">
        <v>830</v>
      </c>
      <c r="D94" s="4" t="s">
        <v>263</v>
      </c>
    </row>
    <row r="95">
      <c r="B95" s="4" t="s">
        <v>289</v>
      </c>
      <c r="C95" s="4" t="s">
        <v>830</v>
      </c>
      <c r="D95" s="4" t="s">
        <v>263</v>
      </c>
    </row>
    <row r="96">
      <c r="B96" s="4" t="s">
        <v>290</v>
      </c>
      <c r="C96" s="4" t="s">
        <v>830</v>
      </c>
      <c r="D96" s="4" t="s">
        <v>263</v>
      </c>
    </row>
    <row r="97">
      <c r="B97" s="4" t="s">
        <v>291</v>
      </c>
      <c r="C97" s="4" t="s">
        <v>830</v>
      </c>
      <c r="D97" s="4" t="s">
        <v>263</v>
      </c>
    </row>
    <row r="98">
      <c r="B98" s="4" t="s">
        <v>292</v>
      </c>
      <c r="C98" s="4" t="s">
        <v>830</v>
      </c>
      <c r="D98" s="4" t="s">
        <v>263</v>
      </c>
    </row>
    <row r="99">
      <c r="B99" s="4" t="s">
        <v>137</v>
      </c>
      <c r="C99" s="4" t="s">
        <v>829</v>
      </c>
      <c r="D99" s="4" t="s">
        <v>9</v>
      </c>
    </row>
    <row r="100">
      <c r="B100" s="4" t="s">
        <v>77</v>
      </c>
      <c r="C100" s="4" t="s">
        <v>829</v>
      </c>
      <c r="D100" s="4" t="s">
        <v>9</v>
      </c>
    </row>
    <row r="101">
      <c r="B101" s="4" t="s">
        <v>293</v>
      </c>
      <c r="C101" s="4" t="s">
        <v>830</v>
      </c>
      <c r="D101" s="4" t="s">
        <v>263</v>
      </c>
    </row>
    <row r="102">
      <c r="B102" s="4" t="s">
        <v>294</v>
      </c>
      <c r="C102" s="4" t="s">
        <v>830</v>
      </c>
      <c r="D102" s="4" t="s">
        <v>263</v>
      </c>
    </row>
    <row r="103">
      <c r="B103" s="4" t="s">
        <v>295</v>
      </c>
      <c r="C103" s="4" t="s">
        <v>830</v>
      </c>
      <c r="D103" s="4" t="s">
        <v>263</v>
      </c>
    </row>
    <row r="104">
      <c r="B104" s="4" t="s">
        <v>296</v>
      </c>
      <c r="C104" s="4" t="s">
        <v>830</v>
      </c>
      <c r="D104" s="4" t="s">
        <v>263</v>
      </c>
    </row>
    <row r="105">
      <c r="B105" s="4" t="s">
        <v>136</v>
      </c>
      <c r="C105" s="4" t="s">
        <v>829</v>
      </c>
      <c r="D105" s="4" t="s">
        <v>9</v>
      </c>
    </row>
    <row r="106">
      <c r="B106" s="4" t="s">
        <v>25</v>
      </c>
      <c r="C106" s="4" t="s">
        <v>829</v>
      </c>
      <c r="D106" s="4" t="s">
        <v>9</v>
      </c>
    </row>
    <row r="107">
      <c r="B107" s="4" t="s">
        <v>126</v>
      </c>
      <c r="C107" s="4" t="s">
        <v>829</v>
      </c>
      <c r="D107" s="4" t="s">
        <v>9</v>
      </c>
    </row>
    <row r="108">
      <c r="B108" s="4" t="s">
        <v>109</v>
      </c>
      <c r="C108" s="4" t="s">
        <v>829</v>
      </c>
      <c r="D108" s="4" t="s">
        <v>9</v>
      </c>
    </row>
    <row r="109">
      <c r="B109" s="4" t="s">
        <v>297</v>
      </c>
      <c r="C109" s="4" t="s">
        <v>830</v>
      </c>
      <c r="D109" s="4" t="s">
        <v>263</v>
      </c>
    </row>
    <row r="110">
      <c r="B110" s="4" t="s">
        <v>298</v>
      </c>
      <c r="C110" s="4" t="s">
        <v>830</v>
      </c>
      <c r="D110" s="4" t="s">
        <v>263</v>
      </c>
    </row>
    <row r="111">
      <c r="B111" s="4" t="s">
        <v>299</v>
      </c>
      <c r="C111" s="4" t="s">
        <v>830</v>
      </c>
      <c r="D111" s="4" t="s">
        <v>263</v>
      </c>
    </row>
    <row r="112">
      <c r="B112" s="4" t="s">
        <v>300</v>
      </c>
      <c r="C112" s="4" t="s">
        <v>830</v>
      </c>
      <c r="D112" s="4" t="s">
        <v>263</v>
      </c>
    </row>
    <row r="113">
      <c r="B113" s="4" t="s">
        <v>301</v>
      </c>
      <c r="C113" s="4" t="s">
        <v>830</v>
      </c>
      <c r="D113" s="4" t="s">
        <v>263</v>
      </c>
    </row>
    <row r="114">
      <c r="B114" s="4" t="s">
        <v>302</v>
      </c>
      <c r="C114" s="4" t="s">
        <v>830</v>
      </c>
      <c r="D114" s="4" t="s">
        <v>263</v>
      </c>
    </row>
    <row r="115">
      <c r="B115" s="4" t="s">
        <v>303</v>
      </c>
      <c r="C115" s="4" t="s">
        <v>830</v>
      </c>
      <c r="D115" s="4" t="s">
        <v>263</v>
      </c>
    </row>
    <row r="116">
      <c r="B116" s="4" t="s">
        <v>304</v>
      </c>
      <c r="C116" s="4" t="s">
        <v>830</v>
      </c>
      <c r="D116" s="4" t="s">
        <v>263</v>
      </c>
    </row>
    <row r="117">
      <c r="B117" s="4" t="s">
        <v>305</v>
      </c>
      <c r="C117" s="4" t="s">
        <v>830</v>
      </c>
      <c r="D117" s="4" t="s">
        <v>263</v>
      </c>
    </row>
    <row r="118">
      <c r="B118" s="4" t="s">
        <v>306</v>
      </c>
      <c r="C118" s="4" t="s">
        <v>830</v>
      </c>
      <c r="D118" s="4" t="s">
        <v>263</v>
      </c>
    </row>
    <row r="119">
      <c r="B119" s="4" t="s">
        <v>160</v>
      </c>
      <c r="C119" s="4" t="s">
        <v>829</v>
      </c>
      <c r="D119" s="4" t="s">
        <v>9</v>
      </c>
    </row>
    <row r="120">
      <c r="B120" s="4" t="s">
        <v>33</v>
      </c>
      <c r="C120" s="4" t="s">
        <v>829</v>
      </c>
      <c r="D120" s="4" t="s">
        <v>6</v>
      </c>
    </row>
    <row r="121">
      <c r="B121" s="4" t="s">
        <v>72</v>
      </c>
      <c r="C121" s="4" t="s">
        <v>829</v>
      </c>
      <c r="D121" s="4" t="s">
        <v>6</v>
      </c>
    </row>
    <row r="122">
      <c r="B122" s="4" t="s">
        <v>307</v>
      </c>
      <c r="C122" s="4" t="s">
        <v>829</v>
      </c>
      <c r="D122" s="4" t="s">
        <v>9</v>
      </c>
    </row>
    <row r="123">
      <c r="B123" s="4" t="s">
        <v>308</v>
      </c>
      <c r="C123" s="4" t="s">
        <v>830</v>
      </c>
      <c r="D123" s="4" t="s">
        <v>263</v>
      </c>
    </row>
    <row r="124">
      <c r="B124" s="4" t="s">
        <v>227</v>
      </c>
      <c r="C124" s="4" t="s">
        <v>830</v>
      </c>
      <c r="D124" s="4" t="s">
        <v>263</v>
      </c>
    </row>
    <row r="125">
      <c r="B125" s="4" t="s">
        <v>248</v>
      </c>
      <c r="C125" s="4" t="s">
        <v>829</v>
      </c>
      <c r="D125" s="4" t="s">
        <v>6</v>
      </c>
    </row>
    <row r="126">
      <c r="B126" s="4" t="s">
        <v>115</v>
      </c>
      <c r="C126" s="4" t="s">
        <v>829</v>
      </c>
      <c r="D126" s="4" t="s">
        <v>6</v>
      </c>
    </row>
    <row r="127">
      <c r="B127" s="4" t="s">
        <v>71</v>
      </c>
      <c r="C127" s="4" t="s">
        <v>829</v>
      </c>
      <c r="D127" s="4" t="s">
        <v>6</v>
      </c>
    </row>
    <row r="128">
      <c r="B128" s="4" t="s">
        <v>148</v>
      </c>
      <c r="C128" s="4" t="s">
        <v>829</v>
      </c>
      <c r="D128" s="4" t="s">
        <v>9</v>
      </c>
    </row>
    <row r="129">
      <c r="B129" s="4" t="s">
        <v>16</v>
      </c>
      <c r="C129" s="4" t="s">
        <v>829</v>
      </c>
      <c r="D129" s="4" t="s">
        <v>9</v>
      </c>
    </row>
    <row r="130">
      <c r="B130" s="4" t="s">
        <v>11</v>
      </c>
      <c r="C130" s="4" t="s">
        <v>829</v>
      </c>
      <c r="D130" s="4" t="s">
        <v>6</v>
      </c>
    </row>
    <row r="131">
      <c r="B131" s="4" t="s">
        <v>309</v>
      </c>
      <c r="C131" s="4" t="s">
        <v>830</v>
      </c>
      <c r="D131" s="4" t="s">
        <v>263</v>
      </c>
    </row>
    <row r="132">
      <c r="B132" s="4" t="s">
        <v>80</v>
      </c>
      <c r="C132" s="4" t="s">
        <v>829</v>
      </c>
      <c r="D132" s="4" t="s">
        <v>9</v>
      </c>
    </row>
    <row r="133">
      <c r="B133" s="4" t="s">
        <v>100</v>
      </c>
      <c r="C133" s="4" t="s">
        <v>829</v>
      </c>
      <c r="D133" s="4" t="s">
        <v>6</v>
      </c>
    </row>
    <row r="134">
      <c r="B134" s="4" t="s">
        <v>36</v>
      </c>
      <c r="C134" s="4" t="s">
        <v>829</v>
      </c>
      <c r="D134" s="4" t="s">
        <v>6</v>
      </c>
    </row>
    <row r="135">
      <c r="B135" s="4" t="s">
        <v>83</v>
      </c>
      <c r="C135" s="4" t="s">
        <v>829</v>
      </c>
      <c r="D135" s="4" t="s">
        <v>6</v>
      </c>
    </row>
    <row r="136">
      <c r="B136" s="4" t="s">
        <v>221</v>
      </c>
      <c r="C136" s="4" t="s">
        <v>829</v>
      </c>
      <c r="D136" s="4" t="s">
        <v>9</v>
      </c>
    </row>
    <row r="137">
      <c r="B137" s="4" t="s">
        <v>170</v>
      </c>
      <c r="C137" s="4" t="s">
        <v>829</v>
      </c>
      <c r="D137" s="4" t="s">
        <v>6</v>
      </c>
    </row>
    <row r="138">
      <c r="B138" s="4" t="s">
        <v>127</v>
      </c>
      <c r="C138" s="4" t="s">
        <v>829</v>
      </c>
      <c r="D138" s="4" t="s">
        <v>9</v>
      </c>
    </row>
    <row r="139">
      <c r="B139" s="4" t="s">
        <v>184</v>
      </c>
      <c r="C139" s="4" t="s">
        <v>829</v>
      </c>
      <c r="D139" s="4" t="s">
        <v>6</v>
      </c>
    </row>
    <row r="140">
      <c r="B140" s="4" t="s">
        <v>310</v>
      </c>
      <c r="C140" s="4" t="s">
        <v>830</v>
      </c>
      <c r="D140" s="4" t="s">
        <v>263</v>
      </c>
    </row>
    <row r="141">
      <c r="B141" s="4" t="s">
        <v>134</v>
      </c>
      <c r="C141" s="4" t="s">
        <v>829</v>
      </c>
      <c r="D141" s="4" t="s">
        <v>9</v>
      </c>
    </row>
    <row r="142">
      <c r="B142" s="4" t="s">
        <v>311</v>
      </c>
      <c r="C142" s="4" t="s">
        <v>830</v>
      </c>
      <c r="D142" s="4" t="s">
        <v>263</v>
      </c>
    </row>
    <row r="143">
      <c r="B143" s="4" t="s">
        <v>235</v>
      </c>
      <c r="C143" s="4" t="s">
        <v>829</v>
      </c>
      <c r="D143" s="4" t="s">
        <v>9</v>
      </c>
    </row>
    <row r="144">
      <c r="B144" s="4" t="s">
        <v>312</v>
      </c>
      <c r="C144" s="4" t="s">
        <v>829</v>
      </c>
      <c r="D144" s="4" t="s">
        <v>9</v>
      </c>
    </row>
    <row r="145">
      <c r="B145" s="4" t="s">
        <v>313</v>
      </c>
      <c r="C145" s="4" t="s">
        <v>830</v>
      </c>
      <c r="D145" s="4" t="s">
        <v>263</v>
      </c>
    </row>
    <row r="146">
      <c r="B146" s="4" t="s">
        <v>151</v>
      </c>
      <c r="C146" s="4" t="s">
        <v>829</v>
      </c>
      <c r="D146" s="4" t="s">
        <v>6</v>
      </c>
    </row>
    <row r="147">
      <c r="B147" s="4" t="s">
        <v>150</v>
      </c>
      <c r="C147" s="4" t="s">
        <v>829</v>
      </c>
      <c r="D147" s="4" t="s">
        <v>6</v>
      </c>
    </row>
    <row r="148">
      <c r="B148" s="4" t="s">
        <v>159</v>
      </c>
      <c r="C148" s="4" t="s">
        <v>829</v>
      </c>
      <c r="D148" s="4" t="s">
        <v>6</v>
      </c>
    </row>
    <row r="149">
      <c r="B149" s="4" t="s">
        <v>242</v>
      </c>
      <c r="C149" s="4" t="s">
        <v>829</v>
      </c>
      <c r="D149" s="4" t="s">
        <v>6</v>
      </c>
    </row>
    <row r="150">
      <c r="B150" s="4" t="s">
        <v>261</v>
      </c>
      <c r="C150" s="4" t="s">
        <v>829</v>
      </c>
      <c r="D150" s="4" t="s">
        <v>6</v>
      </c>
    </row>
    <row r="151">
      <c r="B151" s="4" t="s">
        <v>314</v>
      </c>
      <c r="C151" s="4" t="s">
        <v>830</v>
      </c>
      <c r="D151" s="4" t="s">
        <v>263</v>
      </c>
    </row>
    <row r="152">
      <c r="B152" s="4" t="s">
        <v>315</v>
      </c>
      <c r="C152" s="4" t="s">
        <v>830</v>
      </c>
      <c r="D152" s="4" t="s">
        <v>263</v>
      </c>
    </row>
    <row r="153">
      <c r="B153" s="4" t="s">
        <v>7</v>
      </c>
      <c r="C153" s="4" t="s">
        <v>829</v>
      </c>
      <c r="D153" s="4" t="s">
        <v>6</v>
      </c>
    </row>
    <row r="154">
      <c r="B154" s="4" t="s">
        <v>316</v>
      </c>
      <c r="C154" s="4" t="s">
        <v>830</v>
      </c>
      <c r="D154" s="4" t="s">
        <v>263</v>
      </c>
    </row>
    <row r="155">
      <c r="B155" s="4" t="s">
        <v>317</v>
      </c>
      <c r="C155" s="4" t="s">
        <v>830</v>
      </c>
      <c r="D155" s="4" t="s">
        <v>263</v>
      </c>
    </row>
    <row r="156">
      <c r="B156" s="4" t="s">
        <v>318</v>
      </c>
      <c r="C156" s="4" t="s">
        <v>830</v>
      </c>
      <c r="D156" s="4" t="s">
        <v>263</v>
      </c>
    </row>
    <row r="157">
      <c r="B157" s="4" t="s">
        <v>319</v>
      </c>
      <c r="C157" s="4" t="s">
        <v>830</v>
      </c>
      <c r="D157" s="4" t="s">
        <v>263</v>
      </c>
    </row>
    <row r="158">
      <c r="B158" s="4" t="s">
        <v>320</v>
      </c>
      <c r="C158" s="4" t="s">
        <v>830</v>
      </c>
      <c r="D158" s="4" t="s">
        <v>263</v>
      </c>
    </row>
    <row r="159">
      <c r="B159" s="4" t="s">
        <v>321</v>
      </c>
      <c r="C159" s="4" t="s">
        <v>830</v>
      </c>
      <c r="D159" s="4" t="s">
        <v>263</v>
      </c>
    </row>
    <row r="160">
      <c r="B160" s="4" t="s">
        <v>15</v>
      </c>
      <c r="C160" s="4" t="s">
        <v>829</v>
      </c>
      <c r="D160" s="4" t="s">
        <v>6</v>
      </c>
    </row>
    <row r="161">
      <c r="B161" s="4" t="s">
        <v>46</v>
      </c>
      <c r="C161" s="4" t="s">
        <v>829</v>
      </c>
      <c r="D161" s="4" t="s">
        <v>6</v>
      </c>
    </row>
    <row r="162">
      <c r="B162" s="4" t="s">
        <v>93</v>
      </c>
      <c r="C162" s="4" t="s">
        <v>830</v>
      </c>
      <c r="D162" s="4" t="s">
        <v>263</v>
      </c>
    </row>
    <row r="163">
      <c r="B163" s="4" t="s">
        <v>203</v>
      </c>
      <c r="C163" s="4" t="s">
        <v>829</v>
      </c>
      <c r="D163" s="4" t="s">
        <v>9</v>
      </c>
    </row>
    <row r="164">
      <c r="B164" s="4" t="s">
        <v>178</v>
      </c>
      <c r="C164" s="4" t="s">
        <v>829</v>
      </c>
      <c r="D164" s="4" t="s">
        <v>9</v>
      </c>
    </row>
    <row r="165">
      <c r="B165" s="4" t="s">
        <v>175</v>
      </c>
      <c r="C165" s="4" t="s">
        <v>829</v>
      </c>
      <c r="D165" s="4" t="s">
        <v>9</v>
      </c>
    </row>
    <row r="166">
      <c r="B166" s="4" t="s">
        <v>158</v>
      </c>
      <c r="C166" s="4" t="s">
        <v>829</v>
      </c>
      <c r="D166" s="4" t="s">
        <v>9</v>
      </c>
    </row>
    <row r="167">
      <c r="B167" s="4" t="s">
        <v>257</v>
      </c>
      <c r="C167" s="4" t="s">
        <v>829</v>
      </c>
      <c r="D167" s="4" t="s">
        <v>9</v>
      </c>
    </row>
    <row r="168">
      <c r="B168" s="4" t="s">
        <v>322</v>
      </c>
      <c r="C168" s="4" t="s">
        <v>830</v>
      </c>
      <c r="D168" s="4" t="s">
        <v>263</v>
      </c>
    </row>
    <row r="169">
      <c r="B169" s="4" t="s">
        <v>323</v>
      </c>
      <c r="C169" s="4" t="s">
        <v>830</v>
      </c>
      <c r="D169" s="4" t="s">
        <v>263</v>
      </c>
    </row>
    <row r="170">
      <c r="B170" s="4" t="s">
        <v>59</v>
      </c>
      <c r="C170" s="4" t="s">
        <v>829</v>
      </c>
      <c r="D170" s="4" t="s">
        <v>6</v>
      </c>
    </row>
    <row r="171">
      <c r="B171" s="4" t="s">
        <v>259</v>
      </c>
      <c r="C171" s="4" t="s">
        <v>830</v>
      </c>
      <c r="D171" s="4" t="s">
        <v>263</v>
      </c>
    </row>
    <row r="172">
      <c r="B172" s="4" t="s">
        <v>324</v>
      </c>
      <c r="C172" s="4" t="s">
        <v>830</v>
      </c>
      <c r="D172" s="4" t="s">
        <v>263</v>
      </c>
    </row>
    <row r="173">
      <c r="B173" s="4" t="s">
        <v>325</v>
      </c>
      <c r="C173" s="4" t="s">
        <v>830</v>
      </c>
      <c r="D173" s="4" t="s">
        <v>263</v>
      </c>
    </row>
    <row r="174">
      <c r="B174" s="4" t="s">
        <v>326</v>
      </c>
      <c r="C174" s="4" t="s">
        <v>830</v>
      </c>
      <c r="D174" s="4" t="s">
        <v>263</v>
      </c>
    </row>
    <row r="175">
      <c r="B175" s="4" t="s">
        <v>327</v>
      </c>
      <c r="C175" s="4" t="s">
        <v>830</v>
      </c>
      <c r="D175" s="4" t="s">
        <v>263</v>
      </c>
    </row>
    <row r="176">
      <c r="B176" s="4" t="s">
        <v>328</v>
      </c>
      <c r="C176" s="4" t="s">
        <v>830</v>
      </c>
      <c r="D176" s="4" t="s">
        <v>263</v>
      </c>
    </row>
    <row r="177">
      <c r="B177" s="4" t="s">
        <v>241</v>
      </c>
      <c r="C177" s="4" t="s">
        <v>829</v>
      </c>
      <c r="D177" s="4" t="s">
        <v>9</v>
      </c>
    </row>
    <row r="178">
      <c r="B178" s="4" t="s">
        <v>145</v>
      </c>
      <c r="C178" s="4" t="s">
        <v>829</v>
      </c>
      <c r="D178" s="4" t="s">
        <v>6</v>
      </c>
    </row>
    <row r="179">
      <c r="B179" s="4" t="s">
        <v>249</v>
      </c>
      <c r="C179" s="4" t="s">
        <v>829</v>
      </c>
      <c r="D179" s="4" t="s">
        <v>6</v>
      </c>
    </row>
    <row r="180">
      <c r="B180" s="4" t="s">
        <v>329</v>
      </c>
      <c r="C180" s="4" t="s">
        <v>830</v>
      </c>
      <c r="D180" s="4" t="s">
        <v>263</v>
      </c>
    </row>
    <row r="181">
      <c r="B181" s="4" t="s">
        <v>330</v>
      </c>
      <c r="C181" s="4" t="s">
        <v>830</v>
      </c>
      <c r="D181" s="4" t="s">
        <v>263</v>
      </c>
    </row>
    <row r="182">
      <c r="B182" s="4" t="s">
        <v>331</v>
      </c>
      <c r="C182" s="4" t="s">
        <v>830</v>
      </c>
      <c r="D182" s="4" t="s">
        <v>263</v>
      </c>
    </row>
    <row r="183">
      <c r="B183" s="4" t="s">
        <v>162</v>
      </c>
      <c r="C183" s="4" t="s">
        <v>829</v>
      </c>
      <c r="D183" s="4" t="s">
        <v>6</v>
      </c>
    </row>
    <row r="184">
      <c r="B184" s="4" t="s">
        <v>193</v>
      </c>
      <c r="C184" s="4" t="s">
        <v>829</v>
      </c>
      <c r="D184" s="4" t="s">
        <v>9</v>
      </c>
    </row>
    <row r="185">
      <c r="B185" s="4" t="s">
        <v>5</v>
      </c>
      <c r="C185" s="4" t="s">
        <v>829</v>
      </c>
      <c r="D185" s="4" t="s">
        <v>6</v>
      </c>
    </row>
    <row r="186">
      <c r="B186" s="4" t="s">
        <v>14</v>
      </c>
      <c r="C186" s="4" t="s">
        <v>829</v>
      </c>
      <c r="D186" s="4" t="s">
        <v>6</v>
      </c>
    </row>
    <row r="187">
      <c r="B187" s="4" t="s">
        <v>192</v>
      </c>
      <c r="C187" s="4" t="s">
        <v>829</v>
      </c>
      <c r="D187" s="4" t="s">
        <v>6</v>
      </c>
    </row>
    <row r="188">
      <c r="B188" s="4" t="s">
        <v>66</v>
      </c>
      <c r="C188" s="4" t="s">
        <v>829</v>
      </c>
      <c r="D188" s="4" t="s">
        <v>6</v>
      </c>
    </row>
    <row r="189">
      <c r="B189" s="4" t="s">
        <v>40</v>
      </c>
      <c r="C189" s="4" t="s">
        <v>829</v>
      </c>
      <c r="D189" s="4" t="s">
        <v>9</v>
      </c>
    </row>
    <row r="190">
      <c r="B190" s="4" t="s">
        <v>332</v>
      </c>
      <c r="C190" s="4" t="s">
        <v>830</v>
      </c>
      <c r="D190" s="4" t="s">
        <v>263</v>
      </c>
    </row>
    <row r="191">
      <c r="B191" s="4" t="s">
        <v>333</v>
      </c>
      <c r="C191" s="4" t="s">
        <v>830</v>
      </c>
      <c r="D191" s="4" t="s">
        <v>263</v>
      </c>
    </row>
    <row r="192">
      <c r="B192" s="4" t="s">
        <v>157</v>
      </c>
      <c r="C192" s="4" t="s">
        <v>829</v>
      </c>
      <c r="D192" s="4" t="s">
        <v>6</v>
      </c>
    </row>
    <row r="193">
      <c r="B193" s="4" t="s">
        <v>199</v>
      </c>
      <c r="C193" s="4" t="s">
        <v>829</v>
      </c>
      <c r="D193" s="4" t="s">
        <v>9</v>
      </c>
    </row>
    <row r="194">
      <c r="B194" s="4" t="s">
        <v>111</v>
      </c>
      <c r="C194" s="4" t="s">
        <v>829</v>
      </c>
      <c r="D194" s="4" t="s">
        <v>6</v>
      </c>
    </row>
    <row r="195">
      <c r="B195" s="4" t="s">
        <v>163</v>
      </c>
      <c r="C195" s="4" t="s">
        <v>829</v>
      </c>
      <c r="D195" s="4" t="s">
        <v>9</v>
      </c>
    </row>
    <row r="196">
      <c r="B196" s="4" t="s">
        <v>189</v>
      </c>
      <c r="C196" s="4" t="s">
        <v>829</v>
      </c>
      <c r="D196" s="4" t="s">
        <v>9</v>
      </c>
    </row>
    <row r="197">
      <c r="B197" s="4" t="s">
        <v>334</v>
      </c>
      <c r="C197" s="4" t="s">
        <v>830</v>
      </c>
      <c r="D197" s="4" t="s">
        <v>263</v>
      </c>
    </row>
    <row r="198">
      <c r="B198" s="4" t="s">
        <v>335</v>
      </c>
      <c r="C198" s="4" t="s">
        <v>830</v>
      </c>
      <c r="D198" s="4" t="s">
        <v>263</v>
      </c>
    </row>
    <row r="199">
      <c r="B199" s="4" t="s">
        <v>336</v>
      </c>
      <c r="C199" s="4" t="s">
        <v>830</v>
      </c>
      <c r="D199" s="4" t="s">
        <v>263</v>
      </c>
    </row>
    <row r="200">
      <c r="B200" s="4" t="s">
        <v>337</v>
      </c>
      <c r="C200" s="4" t="s">
        <v>830</v>
      </c>
      <c r="D200" s="4" t="s">
        <v>263</v>
      </c>
    </row>
    <row r="201">
      <c r="B201" s="4" t="s">
        <v>338</v>
      </c>
      <c r="C201" s="4" t="s">
        <v>830</v>
      </c>
      <c r="D201" s="4" t="s">
        <v>263</v>
      </c>
    </row>
    <row r="202">
      <c r="B202" s="4" t="s">
        <v>339</v>
      </c>
      <c r="C202" s="4" t="s">
        <v>830</v>
      </c>
      <c r="D202" s="4" t="s">
        <v>263</v>
      </c>
    </row>
    <row r="203">
      <c r="B203" s="4" t="s">
        <v>340</v>
      </c>
      <c r="C203" s="4" t="s">
        <v>830</v>
      </c>
      <c r="D203" s="4" t="s">
        <v>263</v>
      </c>
    </row>
    <row r="204">
      <c r="B204" s="4" t="s">
        <v>341</v>
      </c>
      <c r="C204" s="4" t="s">
        <v>830</v>
      </c>
      <c r="D204" s="4" t="s">
        <v>263</v>
      </c>
    </row>
    <row r="205">
      <c r="B205" s="4" t="s">
        <v>342</v>
      </c>
      <c r="C205" s="4" t="s">
        <v>830</v>
      </c>
      <c r="D205" s="4" t="s">
        <v>263</v>
      </c>
    </row>
    <row r="206">
      <c r="B206" s="4" t="s">
        <v>343</v>
      </c>
      <c r="C206" s="4" t="s">
        <v>830</v>
      </c>
      <c r="D206" s="4" t="s">
        <v>263</v>
      </c>
    </row>
    <row r="207">
      <c r="B207" s="4" t="s">
        <v>344</v>
      </c>
      <c r="C207" s="4" t="s">
        <v>830</v>
      </c>
      <c r="D207" s="4" t="s">
        <v>263</v>
      </c>
    </row>
    <row r="208">
      <c r="B208" s="4" t="s">
        <v>345</v>
      </c>
      <c r="C208" s="4" t="s">
        <v>830</v>
      </c>
      <c r="D208" s="4" t="s">
        <v>263</v>
      </c>
    </row>
    <row r="209">
      <c r="B209" s="4" t="s">
        <v>346</v>
      </c>
      <c r="C209" s="4" t="s">
        <v>830</v>
      </c>
      <c r="D209" s="4" t="s">
        <v>263</v>
      </c>
    </row>
    <row r="210">
      <c r="B210" s="4" t="s">
        <v>347</v>
      </c>
      <c r="C210" s="4" t="s">
        <v>830</v>
      </c>
      <c r="D210" s="4" t="s">
        <v>263</v>
      </c>
    </row>
    <row r="211">
      <c r="B211" s="4" t="s">
        <v>348</v>
      </c>
      <c r="C211" s="4" t="s">
        <v>830</v>
      </c>
      <c r="D211" s="4" t="s">
        <v>263</v>
      </c>
    </row>
    <row r="212">
      <c r="B212" s="4" t="s">
        <v>349</v>
      </c>
      <c r="C212" s="4" t="s">
        <v>830</v>
      </c>
      <c r="D212" s="4" t="s">
        <v>263</v>
      </c>
    </row>
    <row r="213">
      <c r="B213" s="4" t="s">
        <v>350</v>
      </c>
      <c r="C213" s="4" t="s">
        <v>830</v>
      </c>
      <c r="D213" s="4" t="s">
        <v>263</v>
      </c>
    </row>
    <row r="214">
      <c r="B214" s="4" t="s">
        <v>351</v>
      </c>
      <c r="C214" s="4" t="s">
        <v>830</v>
      </c>
      <c r="D214" s="4" t="s">
        <v>263</v>
      </c>
    </row>
    <row r="215">
      <c r="B215" s="4" t="s">
        <v>352</v>
      </c>
      <c r="C215" s="4" t="s">
        <v>830</v>
      </c>
      <c r="D215" s="4" t="s">
        <v>263</v>
      </c>
    </row>
    <row r="216">
      <c r="B216" s="4" t="s">
        <v>353</v>
      </c>
      <c r="C216" s="4" t="s">
        <v>830</v>
      </c>
      <c r="D216" s="4" t="s">
        <v>263</v>
      </c>
    </row>
    <row r="217">
      <c r="B217" s="4" t="s">
        <v>354</v>
      </c>
      <c r="C217" s="4" t="s">
        <v>830</v>
      </c>
      <c r="D217" s="4" t="s">
        <v>263</v>
      </c>
    </row>
    <row r="218">
      <c r="B218" s="4" t="s">
        <v>355</v>
      </c>
      <c r="C218" s="4" t="s">
        <v>830</v>
      </c>
      <c r="D218" s="4" t="s">
        <v>263</v>
      </c>
    </row>
    <row r="219">
      <c r="B219" s="4" t="s">
        <v>99</v>
      </c>
      <c r="C219" s="4" t="s">
        <v>829</v>
      </c>
      <c r="D219" s="4" t="s">
        <v>9</v>
      </c>
    </row>
    <row r="220">
      <c r="B220" s="4" t="s">
        <v>174</v>
      </c>
      <c r="C220" s="4" t="s">
        <v>829</v>
      </c>
      <c r="D220" s="4" t="s">
        <v>9</v>
      </c>
    </row>
    <row r="221">
      <c r="B221" s="4" t="s">
        <v>17</v>
      </c>
      <c r="C221" s="4" t="s">
        <v>830</v>
      </c>
      <c r="D221" s="4" t="s">
        <v>263</v>
      </c>
    </row>
    <row r="222">
      <c r="B222" s="4" t="s">
        <v>12</v>
      </c>
      <c r="C222" s="4" t="s">
        <v>829</v>
      </c>
      <c r="D222" s="4" t="s">
        <v>6</v>
      </c>
    </row>
    <row r="223">
      <c r="B223" s="4" t="s">
        <v>106</v>
      </c>
      <c r="C223" s="4" t="s">
        <v>829</v>
      </c>
      <c r="D223" s="4" t="s">
        <v>6</v>
      </c>
    </row>
    <row r="224">
      <c r="B224" s="4" t="s">
        <v>356</v>
      </c>
      <c r="C224" s="4" t="s">
        <v>830</v>
      </c>
      <c r="D224" s="4" t="s">
        <v>263</v>
      </c>
    </row>
    <row r="225">
      <c r="B225" s="4" t="s">
        <v>217</v>
      </c>
      <c r="C225" s="4" t="s">
        <v>829</v>
      </c>
      <c r="D225" s="4" t="s">
        <v>9</v>
      </c>
    </row>
    <row r="226">
      <c r="B226" s="4" t="s">
        <v>246</v>
      </c>
      <c r="C226" s="4" t="s">
        <v>829</v>
      </c>
      <c r="D226" s="4" t="s">
        <v>9</v>
      </c>
    </row>
    <row r="227">
      <c r="B227" s="4" t="s">
        <v>58</v>
      </c>
      <c r="C227" s="4" t="s">
        <v>829</v>
      </c>
      <c r="D227" s="4" t="s">
        <v>6</v>
      </c>
    </row>
    <row r="228">
      <c r="B228" s="4" t="s">
        <v>357</v>
      </c>
      <c r="C228" s="4" t="s">
        <v>830</v>
      </c>
      <c r="D228" s="4" t="s">
        <v>263</v>
      </c>
    </row>
    <row r="229">
      <c r="B229" s="4" t="s">
        <v>24</v>
      </c>
      <c r="C229" s="4" t="s">
        <v>829</v>
      </c>
      <c r="D229" s="4" t="s">
        <v>6</v>
      </c>
    </row>
    <row r="230">
      <c r="B230" s="4" t="s">
        <v>358</v>
      </c>
      <c r="C230" s="4" t="s">
        <v>830</v>
      </c>
      <c r="D230" s="4" t="s">
        <v>263</v>
      </c>
    </row>
    <row r="231">
      <c r="B231" s="4" t="s">
        <v>359</v>
      </c>
      <c r="C231" s="4" t="s">
        <v>830</v>
      </c>
      <c r="D231" s="4" t="s">
        <v>263</v>
      </c>
    </row>
    <row r="232">
      <c r="B232" s="4" t="s">
        <v>186</v>
      </c>
      <c r="C232" s="4" t="s">
        <v>829</v>
      </c>
      <c r="D232" s="4" t="s">
        <v>6</v>
      </c>
    </row>
    <row r="233">
      <c r="B233" s="4" t="s">
        <v>360</v>
      </c>
      <c r="C233" s="4" t="s">
        <v>830</v>
      </c>
      <c r="D233" s="4" t="s">
        <v>263</v>
      </c>
    </row>
    <row r="234">
      <c r="B234" s="4" t="s">
        <v>361</v>
      </c>
      <c r="C234" s="4" t="s">
        <v>830</v>
      </c>
      <c r="D234" s="4" t="s">
        <v>263</v>
      </c>
    </row>
    <row r="235">
      <c r="B235" s="4" t="s">
        <v>147</v>
      </c>
      <c r="C235" s="4" t="s">
        <v>829</v>
      </c>
      <c r="D235" s="4" t="s">
        <v>6</v>
      </c>
    </row>
    <row r="236">
      <c r="B236" s="4" t="s">
        <v>362</v>
      </c>
      <c r="C236" s="4" t="s">
        <v>830</v>
      </c>
      <c r="D236" s="4" t="s">
        <v>263</v>
      </c>
    </row>
    <row r="237">
      <c r="B237" s="4" t="s">
        <v>86</v>
      </c>
      <c r="C237" s="4" t="s">
        <v>829</v>
      </c>
      <c r="D237" s="4" t="s">
        <v>9</v>
      </c>
    </row>
    <row r="238">
      <c r="B238" s="4" t="s">
        <v>363</v>
      </c>
      <c r="C238" s="4" t="s">
        <v>830</v>
      </c>
      <c r="D238" s="4" t="s">
        <v>263</v>
      </c>
    </row>
    <row r="239">
      <c r="B239" s="4" t="s">
        <v>364</v>
      </c>
      <c r="C239" s="4" t="s">
        <v>830</v>
      </c>
      <c r="D239" s="4" t="s">
        <v>263</v>
      </c>
    </row>
    <row r="240">
      <c r="B240" s="4" t="s">
        <v>365</v>
      </c>
      <c r="C240" s="4" t="s">
        <v>830</v>
      </c>
      <c r="D240" s="4" t="s">
        <v>263</v>
      </c>
    </row>
    <row r="241">
      <c r="B241" s="4" t="s">
        <v>180</v>
      </c>
      <c r="C241" s="4" t="s">
        <v>829</v>
      </c>
      <c r="D241" s="4" t="s">
        <v>9</v>
      </c>
    </row>
    <row r="242">
      <c r="B242" s="4" t="s">
        <v>43</v>
      </c>
      <c r="C242" s="4" t="s">
        <v>829</v>
      </c>
      <c r="D242" s="4" t="s">
        <v>9</v>
      </c>
    </row>
    <row r="243">
      <c r="B243" s="4" t="s">
        <v>101</v>
      </c>
      <c r="C243" s="4" t="s">
        <v>829</v>
      </c>
      <c r="D243" s="4" t="s">
        <v>9</v>
      </c>
    </row>
    <row r="244">
      <c r="B244" s="4" t="s">
        <v>366</v>
      </c>
      <c r="C244" s="4" t="s">
        <v>830</v>
      </c>
      <c r="D244" s="4" t="s">
        <v>263</v>
      </c>
    </row>
    <row r="245">
      <c r="B245" s="4" t="s">
        <v>165</v>
      </c>
      <c r="C245" s="4" t="s">
        <v>829</v>
      </c>
      <c r="D245" s="4" t="s">
        <v>6</v>
      </c>
    </row>
    <row r="246">
      <c r="B246" s="4" t="s">
        <v>367</v>
      </c>
      <c r="C246" s="4" t="s">
        <v>830</v>
      </c>
      <c r="D246" s="4" t="s">
        <v>263</v>
      </c>
    </row>
    <row r="247">
      <c r="B247" s="4" t="s">
        <v>368</v>
      </c>
      <c r="C247" s="4" t="s">
        <v>830</v>
      </c>
      <c r="D247" s="4" t="s">
        <v>263</v>
      </c>
    </row>
    <row r="248">
      <c r="B248" s="4" t="s">
        <v>369</v>
      </c>
      <c r="C248" s="4" t="s">
        <v>830</v>
      </c>
      <c r="D248" s="4" t="s">
        <v>263</v>
      </c>
    </row>
    <row r="249">
      <c r="B249" s="4" t="s">
        <v>370</v>
      </c>
      <c r="C249" s="4" t="s">
        <v>830</v>
      </c>
      <c r="D249" s="4" t="s">
        <v>263</v>
      </c>
    </row>
    <row r="250">
      <c r="B250" s="4" t="s">
        <v>49</v>
      </c>
      <c r="C250" s="4" t="s">
        <v>829</v>
      </c>
      <c r="D250" s="4" t="s">
        <v>6</v>
      </c>
    </row>
    <row r="251">
      <c r="B251" s="4" t="s">
        <v>371</v>
      </c>
      <c r="C251" s="4" t="s">
        <v>830</v>
      </c>
      <c r="D251" s="4" t="s">
        <v>263</v>
      </c>
    </row>
    <row r="252">
      <c r="B252" s="4" t="s">
        <v>372</v>
      </c>
      <c r="C252" s="4" t="s">
        <v>830</v>
      </c>
      <c r="D252" s="4" t="s">
        <v>263</v>
      </c>
    </row>
    <row r="253">
      <c r="B253" s="4" t="s">
        <v>373</v>
      </c>
      <c r="C253" s="4" t="s">
        <v>830</v>
      </c>
      <c r="D253" s="4" t="s">
        <v>263</v>
      </c>
    </row>
    <row r="254">
      <c r="B254" s="4" t="s">
        <v>252</v>
      </c>
      <c r="C254" s="4" t="s">
        <v>829</v>
      </c>
      <c r="D254" s="4" t="s">
        <v>9</v>
      </c>
    </row>
    <row r="255">
      <c r="B255" s="4" t="s">
        <v>374</v>
      </c>
      <c r="C255" s="4" t="s">
        <v>830</v>
      </c>
      <c r="D255" s="4" t="s">
        <v>263</v>
      </c>
    </row>
    <row r="256">
      <c r="B256" s="4" t="s">
        <v>375</v>
      </c>
      <c r="C256" s="4" t="s">
        <v>830</v>
      </c>
      <c r="D256" s="4" t="s">
        <v>263</v>
      </c>
    </row>
    <row r="257">
      <c r="B257" s="4" t="s">
        <v>13</v>
      </c>
      <c r="C257" s="4" t="s">
        <v>829</v>
      </c>
      <c r="D257" s="4" t="s">
        <v>6</v>
      </c>
    </row>
    <row r="258">
      <c r="B258" s="4" t="s">
        <v>92</v>
      </c>
      <c r="C258" s="4" t="s">
        <v>829</v>
      </c>
      <c r="D258" s="4" t="s">
        <v>9</v>
      </c>
    </row>
    <row r="259">
      <c r="B259" s="4" t="s">
        <v>200</v>
      </c>
      <c r="C259" s="4" t="s">
        <v>829</v>
      </c>
      <c r="D259" s="4" t="s">
        <v>9</v>
      </c>
    </row>
    <row r="260">
      <c r="B260" s="4" t="s">
        <v>156</v>
      </c>
      <c r="C260" s="4" t="s">
        <v>829</v>
      </c>
      <c r="D260" s="4" t="s">
        <v>6</v>
      </c>
    </row>
    <row r="261">
      <c r="B261" s="4" t="s">
        <v>376</v>
      </c>
      <c r="C261" s="4" t="s">
        <v>830</v>
      </c>
      <c r="D261" s="4" t="s">
        <v>263</v>
      </c>
    </row>
    <row r="262">
      <c r="B262" s="4" t="s">
        <v>236</v>
      </c>
      <c r="C262" s="4" t="s">
        <v>829</v>
      </c>
      <c r="D262" s="4" t="s">
        <v>6</v>
      </c>
    </row>
    <row r="263">
      <c r="B263" s="4" t="s">
        <v>377</v>
      </c>
      <c r="C263" s="4" t="s">
        <v>830</v>
      </c>
      <c r="D263" s="4" t="s">
        <v>263</v>
      </c>
    </row>
    <row r="264">
      <c r="B264" s="4" t="s">
        <v>112</v>
      </c>
      <c r="C264" s="4" t="s">
        <v>829</v>
      </c>
      <c r="D264" s="4" t="s">
        <v>9</v>
      </c>
    </row>
    <row r="265">
      <c r="B265" s="4" t="s">
        <v>233</v>
      </c>
      <c r="C265" s="4" t="s">
        <v>830</v>
      </c>
      <c r="D265" s="4" t="s">
        <v>263</v>
      </c>
    </row>
    <row r="266">
      <c r="B266" s="4" t="s">
        <v>176</v>
      </c>
      <c r="C266" s="4" t="s">
        <v>829</v>
      </c>
      <c r="D266" s="4" t="s">
        <v>6</v>
      </c>
    </row>
    <row r="267">
      <c r="B267" s="4" t="s">
        <v>239</v>
      </c>
      <c r="C267" s="4" t="s">
        <v>829</v>
      </c>
      <c r="D267" s="4" t="s">
        <v>6</v>
      </c>
    </row>
    <row r="268">
      <c r="B268" s="4" t="s">
        <v>223</v>
      </c>
      <c r="C268" s="4" t="s">
        <v>829</v>
      </c>
      <c r="D268" s="4" t="s">
        <v>6</v>
      </c>
    </row>
    <row r="269">
      <c r="B269" s="4" t="s">
        <v>208</v>
      </c>
      <c r="C269" s="4" t="s">
        <v>829</v>
      </c>
      <c r="D269" s="4" t="s">
        <v>6</v>
      </c>
    </row>
    <row r="270">
      <c r="B270" s="4" t="s">
        <v>207</v>
      </c>
      <c r="C270" s="4" t="s">
        <v>829</v>
      </c>
      <c r="D270" s="4" t="s">
        <v>6</v>
      </c>
    </row>
    <row r="271">
      <c r="B271" s="4" t="s">
        <v>234</v>
      </c>
      <c r="C271" s="4" t="s">
        <v>829</v>
      </c>
      <c r="D271" s="4" t="s">
        <v>6</v>
      </c>
    </row>
    <row r="272">
      <c r="B272" s="4" t="s">
        <v>68</v>
      </c>
      <c r="C272" s="4" t="s">
        <v>830</v>
      </c>
      <c r="D272" s="4" t="s">
        <v>263</v>
      </c>
    </row>
    <row r="273">
      <c r="B273" s="4" t="s">
        <v>225</v>
      </c>
      <c r="C273" s="4" t="s">
        <v>829</v>
      </c>
      <c r="D273" s="4" t="s">
        <v>6</v>
      </c>
    </row>
    <row r="274">
      <c r="B274" s="4" t="s">
        <v>230</v>
      </c>
      <c r="C274" s="4" t="s">
        <v>829</v>
      </c>
      <c r="D274" s="4" t="s">
        <v>6</v>
      </c>
    </row>
    <row r="275">
      <c r="B275" s="4" t="s">
        <v>229</v>
      </c>
      <c r="C275" s="4" t="s">
        <v>829</v>
      </c>
      <c r="D275" s="4" t="s">
        <v>6</v>
      </c>
    </row>
    <row r="276">
      <c r="B276" s="4" t="s">
        <v>48</v>
      </c>
      <c r="C276" s="4" t="s">
        <v>829</v>
      </c>
      <c r="D276" s="4" t="s">
        <v>6</v>
      </c>
    </row>
    <row r="277">
      <c r="B277" s="4" t="s">
        <v>129</v>
      </c>
      <c r="C277" s="4" t="s">
        <v>829</v>
      </c>
      <c r="D277" s="4" t="s">
        <v>6</v>
      </c>
    </row>
    <row r="278">
      <c r="B278" s="4" t="s">
        <v>22</v>
      </c>
      <c r="C278" s="4" t="s">
        <v>829</v>
      </c>
      <c r="D278" s="4" t="s">
        <v>6</v>
      </c>
    </row>
    <row r="279">
      <c r="B279" s="4" t="s">
        <v>78</v>
      </c>
      <c r="C279" s="4" t="s">
        <v>829</v>
      </c>
      <c r="D279" s="4" t="s">
        <v>6</v>
      </c>
    </row>
    <row r="280">
      <c r="B280" s="4" t="s">
        <v>138</v>
      </c>
      <c r="C280" s="4" t="s">
        <v>829</v>
      </c>
      <c r="D280" s="4" t="s">
        <v>6</v>
      </c>
    </row>
    <row r="281">
      <c r="B281" s="4" t="s">
        <v>140</v>
      </c>
      <c r="C281" s="4" t="s">
        <v>829</v>
      </c>
      <c r="D281" s="4" t="s">
        <v>6</v>
      </c>
    </row>
    <row r="282">
      <c r="B282" s="4" t="s">
        <v>94</v>
      </c>
      <c r="C282" s="4" t="s">
        <v>829</v>
      </c>
      <c r="D282" s="4" t="s">
        <v>6</v>
      </c>
    </row>
    <row r="283">
      <c r="B283" s="4" t="s">
        <v>144</v>
      </c>
      <c r="C283" s="4" t="s">
        <v>829</v>
      </c>
      <c r="D283" s="4" t="s">
        <v>6</v>
      </c>
    </row>
    <row r="284">
      <c r="B284" s="4" t="s">
        <v>119</v>
      </c>
      <c r="C284" s="4" t="s">
        <v>829</v>
      </c>
      <c r="D284" s="4" t="s">
        <v>6</v>
      </c>
    </row>
    <row r="285">
      <c r="B285" s="4" t="s">
        <v>73</v>
      </c>
      <c r="C285" s="4" t="s">
        <v>829</v>
      </c>
      <c r="D285" s="4" t="s">
        <v>6</v>
      </c>
    </row>
    <row r="286">
      <c r="B286" s="4" t="s">
        <v>378</v>
      </c>
      <c r="C286" s="4" t="s">
        <v>830</v>
      </c>
      <c r="D286" s="4" t="s">
        <v>263</v>
      </c>
    </row>
    <row r="287">
      <c r="B287" s="4" t="s">
        <v>379</v>
      </c>
      <c r="C287" s="4" t="s">
        <v>830</v>
      </c>
      <c r="D287" s="4" t="s">
        <v>263</v>
      </c>
    </row>
    <row r="288">
      <c r="B288" s="4" t="s">
        <v>74</v>
      </c>
      <c r="C288" s="4" t="s">
        <v>829</v>
      </c>
      <c r="D288" s="4" t="s">
        <v>9</v>
      </c>
    </row>
    <row r="289">
      <c r="B289" s="4" t="s">
        <v>131</v>
      </c>
      <c r="C289" s="4" t="s">
        <v>829</v>
      </c>
      <c r="D289" s="4" t="s">
        <v>9</v>
      </c>
    </row>
    <row r="290">
      <c r="B290" s="4" t="s">
        <v>121</v>
      </c>
      <c r="C290" s="4" t="s">
        <v>829</v>
      </c>
      <c r="D290" s="4" t="s">
        <v>9</v>
      </c>
    </row>
    <row r="291">
      <c r="B291" s="4" t="s">
        <v>120</v>
      </c>
      <c r="C291" s="4" t="s">
        <v>829</v>
      </c>
      <c r="D291" s="4" t="s">
        <v>9</v>
      </c>
    </row>
    <row r="292">
      <c r="B292" s="4" t="s">
        <v>104</v>
      </c>
      <c r="C292" s="4" t="s">
        <v>829</v>
      </c>
      <c r="D292" s="4" t="s">
        <v>9</v>
      </c>
    </row>
    <row r="293">
      <c r="B293" s="4" t="s">
        <v>65</v>
      </c>
      <c r="C293" s="4" t="s">
        <v>829</v>
      </c>
      <c r="D293" s="4" t="s">
        <v>9</v>
      </c>
    </row>
    <row r="294">
      <c r="B294" s="4" t="s">
        <v>113</v>
      </c>
      <c r="C294" s="4" t="s">
        <v>829</v>
      </c>
      <c r="D294" s="4" t="s">
        <v>9</v>
      </c>
    </row>
    <row r="295">
      <c r="B295" s="4" t="s">
        <v>118</v>
      </c>
      <c r="C295" s="4" t="s">
        <v>829</v>
      </c>
      <c r="D295" s="4" t="s">
        <v>9</v>
      </c>
    </row>
    <row r="296">
      <c r="B296" s="4" t="s">
        <v>380</v>
      </c>
      <c r="C296" s="4" t="s">
        <v>829</v>
      </c>
      <c r="D296" s="4" t="s">
        <v>6</v>
      </c>
    </row>
    <row r="297">
      <c r="B297" s="4" t="s">
        <v>222</v>
      </c>
      <c r="C297" s="4" t="s">
        <v>829</v>
      </c>
      <c r="D297" s="4" t="s">
        <v>6</v>
      </c>
    </row>
    <row r="298">
      <c r="B298" s="4" t="s">
        <v>231</v>
      </c>
      <c r="C298" s="4" t="s">
        <v>829</v>
      </c>
      <c r="D298" s="4" t="s">
        <v>6</v>
      </c>
    </row>
    <row r="299">
      <c r="B299" s="4" t="s">
        <v>197</v>
      </c>
      <c r="C299" s="4" t="s">
        <v>829</v>
      </c>
      <c r="D299" s="4" t="s">
        <v>6</v>
      </c>
    </row>
    <row r="300">
      <c r="B300" s="4" t="s">
        <v>204</v>
      </c>
      <c r="C300" s="4" t="s">
        <v>829</v>
      </c>
      <c r="D300" s="4" t="s">
        <v>6</v>
      </c>
    </row>
    <row r="301">
      <c r="B301" s="4" t="s">
        <v>381</v>
      </c>
      <c r="C301" s="4" t="s">
        <v>829</v>
      </c>
      <c r="D301" s="4" t="s">
        <v>6</v>
      </c>
    </row>
    <row r="302">
      <c r="B302" s="4" t="s">
        <v>224</v>
      </c>
      <c r="C302" s="4" t="s">
        <v>829</v>
      </c>
      <c r="D302" s="4" t="s">
        <v>6</v>
      </c>
    </row>
    <row r="303">
      <c r="B303" s="4" t="s">
        <v>105</v>
      </c>
      <c r="C303" s="4" t="s">
        <v>829</v>
      </c>
      <c r="D303" s="4" t="s">
        <v>6</v>
      </c>
    </row>
    <row r="304">
      <c r="B304" s="4" t="s">
        <v>202</v>
      </c>
      <c r="C304" s="4" t="s">
        <v>829</v>
      </c>
      <c r="D304" s="4" t="s">
        <v>6</v>
      </c>
    </row>
    <row r="305">
      <c r="B305" s="4" t="s">
        <v>228</v>
      </c>
      <c r="C305" s="4" t="s">
        <v>830</v>
      </c>
      <c r="D305" s="4" t="s">
        <v>263</v>
      </c>
    </row>
    <row r="306">
      <c r="B306" s="4" t="s">
        <v>216</v>
      </c>
      <c r="C306" s="4" t="s">
        <v>829</v>
      </c>
      <c r="D306" s="4" t="s">
        <v>6</v>
      </c>
    </row>
    <row r="307">
      <c r="B307" s="4" t="s">
        <v>206</v>
      </c>
      <c r="C307" s="4" t="s">
        <v>829</v>
      </c>
      <c r="D307" s="4" t="s">
        <v>6</v>
      </c>
    </row>
    <row r="308">
      <c r="B308" s="4" t="s">
        <v>39</v>
      </c>
      <c r="C308" s="4" t="s">
        <v>829</v>
      </c>
      <c r="D308" s="4" t="s">
        <v>9</v>
      </c>
    </row>
    <row r="309">
      <c r="B309" s="4" t="s">
        <v>382</v>
      </c>
      <c r="C309" s="4" t="s">
        <v>830</v>
      </c>
      <c r="D309" s="4" t="s">
        <v>263</v>
      </c>
    </row>
    <row r="310">
      <c r="B310" s="4" t="s">
        <v>383</v>
      </c>
      <c r="C310" s="4" t="s">
        <v>830</v>
      </c>
      <c r="D310" s="4" t="s">
        <v>263</v>
      </c>
    </row>
    <row r="311">
      <c r="B311" s="4" t="s">
        <v>384</v>
      </c>
      <c r="C311" s="4" t="s">
        <v>830</v>
      </c>
      <c r="D311" s="4" t="s">
        <v>263</v>
      </c>
    </row>
    <row r="312">
      <c r="B312" s="4" t="s">
        <v>385</v>
      </c>
      <c r="C312" s="4" t="s">
        <v>830</v>
      </c>
      <c r="D312" s="4" t="s">
        <v>263</v>
      </c>
    </row>
    <row r="313">
      <c r="B313" s="4" t="s">
        <v>42</v>
      </c>
      <c r="C313" s="4" t="s">
        <v>829</v>
      </c>
      <c r="D313" s="4" t="s">
        <v>6</v>
      </c>
    </row>
    <row r="314">
      <c r="B314" s="4" t="s">
        <v>386</v>
      </c>
      <c r="C314" s="4" t="s">
        <v>829</v>
      </c>
      <c r="D314" s="4" t="s">
        <v>9</v>
      </c>
    </row>
    <row r="315">
      <c r="B315" s="4" t="s">
        <v>87</v>
      </c>
      <c r="C315" s="4" t="s">
        <v>829</v>
      </c>
      <c r="D315" s="4" t="s">
        <v>9</v>
      </c>
    </row>
    <row r="316">
      <c r="B316" s="4" t="s">
        <v>201</v>
      </c>
      <c r="C316" s="4" t="s">
        <v>829</v>
      </c>
      <c r="D316" s="4" t="s">
        <v>9</v>
      </c>
    </row>
    <row r="317">
      <c r="B317" s="4" t="s">
        <v>387</v>
      </c>
      <c r="C317" s="4" t="s">
        <v>830</v>
      </c>
      <c r="D317" s="4" t="s">
        <v>263</v>
      </c>
    </row>
    <row r="318">
      <c r="B318" s="4" t="s">
        <v>253</v>
      </c>
      <c r="C318" s="4" t="s">
        <v>829</v>
      </c>
      <c r="D318" s="4" t="s">
        <v>9</v>
      </c>
    </row>
    <row r="319">
      <c r="B319" s="4" t="s">
        <v>388</v>
      </c>
      <c r="C319" s="4" t="s">
        <v>830</v>
      </c>
      <c r="D319" s="4" t="s">
        <v>263</v>
      </c>
    </row>
    <row r="320">
      <c r="B320" s="4" t="s">
        <v>389</v>
      </c>
      <c r="C320" s="4" t="s">
        <v>830</v>
      </c>
      <c r="D320" s="4" t="s">
        <v>263</v>
      </c>
    </row>
    <row r="321">
      <c r="B321" s="4" t="s">
        <v>181</v>
      </c>
      <c r="C321" s="4" t="s">
        <v>829</v>
      </c>
      <c r="D321" s="4" t="s">
        <v>9</v>
      </c>
    </row>
    <row r="322">
      <c r="B322" s="4" t="s">
        <v>390</v>
      </c>
      <c r="C322" s="4" t="s">
        <v>830</v>
      </c>
      <c r="D322" s="4" t="s">
        <v>263</v>
      </c>
    </row>
    <row r="323">
      <c r="B323" s="4" t="s">
        <v>391</v>
      </c>
      <c r="C323" s="4" t="s">
        <v>830</v>
      </c>
      <c r="D323" s="4" t="s">
        <v>263</v>
      </c>
    </row>
    <row r="324">
      <c r="B324" s="4" t="s">
        <v>392</v>
      </c>
      <c r="C324" s="4" t="s">
        <v>830</v>
      </c>
      <c r="D324" s="4" t="s">
        <v>263</v>
      </c>
    </row>
    <row r="325">
      <c r="B325" s="4" t="s">
        <v>393</v>
      </c>
      <c r="C325" s="4" t="s">
        <v>830</v>
      </c>
      <c r="D325" s="4" t="s">
        <v>263</v>
      </c>
    </row>
    <row r="326">
      <c r="B326" s="4" t="s">
        <v>394</v>
      </c>
      <c r="C326" s="4" t="s">
        <v>830</v>
      </c>
      <c r="D326" s="4" t="s">
        <v>263</v>
      </c>
    </row>
    <row r="327">
      <c r="B327" s="4" t="s">
        <v>395</v>
      </c>
      <c r="C327" s="4" t="s">
        <v>830</v>
      </c>
      <c r="D327" s="4" t="s">
        <v>263</v>
      </c>
    </row>
    <row r="328">
      <c r="B328" s="4" t="s">
        <v>396</v>
      </c>
      <c r="C328" s="4" t="s">
        <v>830</v>
      </c>
      <c r="D328" s="4" t="s">
        <v>263</v>
      </c>
    </row>
    <row r="329">
      <c r="B329" s="4" t="s">
        <v>55</v>
      </c>
      <c r="C329" s="4" t="s">
        <v>829</v>
      </c>
      <c r="D329" s="4" t="s">
        <v>6</v>
      </c>
    </row>
    <row r="330">
      <c r="B330" s="4" t="s">
        <v>164</v>
      </c>
      <c r="C330" s="4" t="s">
        <v>829</v>
      </c>
      <c r="D330" s="4" t="s">
        <v>9</v>
      </c>
    </row>
    <row r="331">
      <c r="B331" s="4" t="s">
        <v>397</v>
      </c>
      <c r="C331" s="4" t="s">
        <v>830</v>
      </c>
      <c r="D331" s="4" t="s">
        <v>263</v>
      </c>
    </row>
    <row r="332">
      <c r="B332" s="4" t="s">
        <v>245</v>
      </c>
      <c r="C332" s="4" t="s">
        <v>830</v>
      </c>
      <c r="D332" s="4" t="s">
        <v>263</v>
      </c>
    </row>
    <row r="333">
      <c r="B333" s="4" t="s">
        <v>398</v>
      </c>
      <c r="C333" s="4" t="s">
        <v>830</v>
      </c>
      <c r="D333" s="4" t="s">
        <v>263</v>
      </c>
    </row>
    <row r="334">
      <c r="B334" s="4" t="s">
        <v>254</v>
      </c>
      <c r="C334" s="4" t="s">
        <v>830</v>
      </c>
      <c r="D334" s="4" t="s">
        <v>263</v>
      </c>
    </row>
    <row r="335">
      <c r="B335" s="4" t="s">
        <v>258</v>
      </c>
      <c r="C335" s="4" t="s">
        <v>829</v>
      </c>
      <c r="D335" s="4" t="s">
        <v>9</v>
      </c>
    </row>
    <row r="336">
      <c r="B336" s="4" t="s">
        <v>89</v>
      </c>
      <c r="C336" s="4" t="s">
        <v>829</v>
      </c>
      <c r="D336" s="4" t="s">
        <v>6</v>
      </c>
    </row>
    <row r="337">
      <c r="B337" s="4" t="s">
        <v>44</v>
      </c>
      <c r="C337" s="4" t="s">
        <v>829</v>
      </c>
      <c r="D337" s="4" t="s">
        <v>6</v>
      </c>
    </row>
    <row r="338">
      <c r="B338" s="4" t="s">
        <v>28</v>
      </c>
      <c r="C338" s="4" t="s">
        <v>829</v>
      </c>
      <c r="D338" s="4" t="s">
        <v>6</v>
      </c>
    </row>
    <row r="339">
      <c r="B339" s="4" t="s">
        <v>218</v>
      </c>
      <c r="C339" s="4" t="s">
        <v>829</v>
      </c>
      <c r="D339" s="4" t="s">
        <v>6</v>
      </c>
    </row>
    <row r="340">
      <c r="B340" s="4" t="s">
        <v>108</v>
      </c>
      <c r="C340" s="4" t="s">
        <v>829</v>
      </c>
      <c r="D340" s="4" t="s">
        <v>6</v>
      </c>
    </row>
    <row r="341">
      <c r="B341" s="4" t="s">
        <v>103</v>
      </c>
      <c r="C341" s="4" t="s">
        <v>829</v>
      </c>
      <c r="D341" s="4" t="s">
        <v>9</v>
      </c>
    </row>
    <row r="342">
      <c r="B342" s="4" t="s">
        <v>102</v>
      </c>
      <c r="C342" s="4" t="s">
        <v>829</v>
      </c>
      <c r="D342" s="4" t="s">
        <v>9</v>
      </c>
    </row>
    <row r="343">
      <c r="B343" s="4" t="s">
        <v>91</v>
      </c>
      <c r="C343" s="4" t="s">
        <v>829</v>
      </c>
      <c r="D343" s="4" t="s">
        <v>9</v>
      </c>
    </row>
    <row r="344">
      <c r="B344" s="4" t="s">
        <v>60</v>
      </c>
      <c r="C344" s="4" t="s">
        <v>829</v>
      </c>
      <c r="D344" s="4" t="s">
        <v>6</v>
      </c>
    </row>
    <row r="345">
      <c r="B345" s="4" t="s">
        <v>67</v>
      </c>
      <c r="C345" s="4" t="s">
        <v>829</v>
      </c>
      <c r="D345" s="4" t="s">
        <v>6</v>
      </c>
    </row>
    <row r="346">
      <c r="B346" s="4" t="s">
        <v>168</v>
      </c>
      <c r="C346" s="4" t="s">
        <v>829</v>
      </c>
      <c r="D346" s="4" t="s">
        <v>6</v>
      </c>
    </row>
    <row r="347">
      <c r="B347" s="4" t="s">
        <v>125</v>
      </c>
      <c r="C347" s="4" t="s">
        <v>829</v>
      </c>
      <c r="D347" s="4" t="s">
        <v>6</v>
      </c>
    </row>
    <row r="348">
      <c r="B348" s="4" t="s">
        <v>82</v>
      </c>
      <c r="C348" s="4" t="s">
        <v>829</v>
      </c>
      <c r="D348" s="4" t="s">
        <v>6</v>
      </c>
    </row>
    <row r="349">
      <c r="B349" s="4" t="s">
        <v>210</v>
      </c>
      <c r="C349" s="4" t="s">
        <v>829</v>
      </c>
      <c r="D349" s="4" t="s">
        <v>6</v>
      </c>
    </row>
    <row r="350">
      <c r="B350" s="4" t="s">
        <v>47</v>
      </c>
      <c r="C350" s="4" t="s">
        <v>829</v>
      </c>
      <c r="D350" s="4" t="s">
        <v>6</v>
      </c>
    </row>
    <row r="351">
      <c r="B351" s="4" t="s">
        <v>194</v>
      </c>
      <c r="C351" s="4" t="s">
        <v>829</v>
      </c>
      <c r="D351" s="4" t="s">
        <v>6</v>
      </c>
    </row>
    <row r="352">
      <c r="B352" s="4" t="s">
        <v>26</v>
      </c>
      <c r="C352" s="4" t="s">
        <v>829</v>
      </c>
      <c r="D352" s="4" t="s">
        <v>9</v>
      </c>
    </row>
    <row r="353">
      <c r="B353" s="4" t="s">
        <v>63</v>
      </c>
      <c r="C353" s="4" t="s">
        <v>829</v>
      </c>
      <c r="D353" s="4" t="s">
        <v>9</v>
      </c>
    </row>
    <row r="354">
      <c r="B354" s="4" t="s">
        <v>143</v>
      </c>
      <c r="C354" s="4" t="s">
        <v>829</v>
      </c>
      <c r="D354" s="4" t="s">
        <v>6</v>
      </c>
    </row>
    <row r="355">
      <c r="B355" s="4" t="s">
        <v>198</v>
      </c>
      <c r="C355" s="4" t="s">
        <v>829</v>
      </c>
      <c r="D355" s="4" t="s">
        <v>9</v>
      </c>
    </row>
    <row r="356">
      <c r="B356" s="4" t="s">
        <v>98</v>
      </c>
      <c r="C356" s="4" t="s">
        <v>829</v>
      </c>
      <c r="D356" s="4" t="s">
        <v>6</v>
      </c>
    </row>
    <row r="357">
      <c r="B357" s="4" t="s">
        <v>29</v>
      </c>
      <c r="C357" s="4" t="s">
        <v>829</v>
      </c>
      <c r="D357" s="4" t="s">
        <v>6</v>
      </c>
    </row>
    <row r="358">
      <c r="B358" s="4" t="s">
        <v>52</v>
      </c>
      <c r="C358" s="4" t="s">
        <v>829</v>
      </c>
      <c r="D358" s="4" t="s">
        <v>6</v>
      </c>
    </row>
    <row r="359">
      <c r="B359" s="4" t="s">
        <v>399</v>
      </c>
      <c r="C359" s="4" t="s">
        <v>830</v>
      </c>
      <c r="D359" s="4" t="s">
        <v>263</v>
      </c>
    </row>
    <row r="360">
      <c r="B360" s="4" t="s">
        <v>400</v>
      </c>
      <c r="C360" s="4" t="s">
        <v>830</v>
      </c>
      <c r="D360" s="4" t="s">
        <v>263</v>
      </c>
    </row>
    <row r="361">
      <c r="B361" s="4" t="s">
        <v>37</v>
      </c>
      <c r="C361" s="4" t="s">
        <v>829</v>
      </c>
      <c r="D361" s="4" t="s">
        <v>6</v>
      </c>
    </row>
    <row r="362">
      <c r="B362" s="4" t="s">
        <v>401</v>
      </c>
      <c r="C362" s="4" t="s">
        <v>830</v>
      </c>
      <c r="D362" s="4" t="s">
        <v>263</v>
      </c>
    </row>
    <row r="363">
      <c r="B363" s="4" t="s">
        <v>56</v>
      </c>
      <c r="C363" s="4" t="s">
        <v>829</v>
      </c>
      <c r="D363" s="4" t="s">
        <v>6</v>
      </c>
    </row>
    <row r="364">
      <c r="B364" s="4" t="s">
        <v>31</v>
      </c>
      <c r="C364" s="4" t="s">
        <v>829</v>
      </c>
      <c r="D364" s="4" t="s">
        <v>6</v>
      </c>
    </row>
    <row r="365">
      <c r="B365" s="4" t="s">
        <v>38</v>
      </c>
      <c r="C365" s="4" t="s">
        <v>829</v>
      </c>
      <c r="D365" s="4" t="s">
        <v>6</v>
      </c>
    </row>
    <row r="366">
      <c r="B366" s="4" t="s">
        <v>35</v>
      </c>
      <c r="C366" s="4" t="s">
        <v>829</v>
      </c>
      <c r="D366" s="4" t="s">
        <v>6</v>
      </c>
    </row>
    <row r="367">
      <c r="B367" s="4" t="s">
        <v>70</v>
      </c>
      <c r="C367" s="4" t="s">
        <v>829</v>
      </c>
      <c r="D367" s="4" t="s">
        <v>6</v>
      </c>
    </row>
    <row r="368">
      <c r="B368" s="4" t="s">
        <v>75</v>
      </c>
      <c r="C368" s="4" t="s">
        <v>829</v>
      </c>
      <c r="D368" s="4" t="s">
        <v>6</v>
      </c>
    </row>
    <row r="369">
      <c r="B369" s="4" t="s">
        <v>95</v>
      </c>
      <c r="C369" s="4" t="s">
        <v>829</v>
      </c>
      <c r="D369" s="4" t="s">
        <v>6</v>
      </c>
    </row>
    <row r="370">
      <c r="B370" s="4" t="s">
        <v>122</v>
      </c>
      <c r="C370" s="4" t="s">
        <v>829</v>
      </c>
      <c r="D370" s="4" t="s">
        <v>6</v>
      </c>
    </row>
    <row r="371">
      <c r="B371" s="4" t="s">
        <v>96</v>
      </c>
      <c r="C371" s="4" t="s">
        <v>829</v>
      </c>
      <c r="D371" s="4" t="s">
        <v>6</v>
      </c>
    </row>
    <row r="372">
      <c r="B372" s="4" t="s">
        <v>76</v>
      </c>
      <c r="C372" s="4" t="s">
        <v>829</v>
      </c>
      <c r="D372" s="4" t="s">
        <v>6</v>
      </c>
    </row>
    <row r="373">
      <c r="B373" s="4" t="s">
        <v>141</v>
      </c>
      <c r="C373" s="4" t="s">
        <v>829</v>
      </c>
      <c r="D373" s="4" t="s">
        <v>6</v>
      </c>
    </row>
    <row r="374">
      <c r="B374" s="4" t="s">
        <v>69</v>
      </c>
      <c r="C374" s="4" t="s">
        <v>829</v>
      </c>
      <c r="D374" s="4" t="s">
        <v>6</v>
      </c>
    </row>
    <row r="375">
      <c r="B375" s="4" t="s">
        <v>117</v>
      </c>
      <c r="C375" s="4" t="s">
        <v>829</v>
      </c>
      <c r="D375" s="4" t="s">
        <v>6</v>
      </c>
    </row>
    <row r="376">
      <c r="B376" s="4" t="s">
        <v>107</v>
      </c>
      <c r="C376" s="4" t="s">
        <v>829</v>
      </c>
      <c r="D376" s="4" t="s">
        <v>6</v>
      </c>
    </row>
    <row r="377">
      <c r="B377" s="4" t="s">
        <v>153</v>
      </c>
      <c r="C377" s="4" t="s">
        <v>829</v>
      </c>
      <c r="D377" s="4" t="s">
        <v>6</v>
      </c>
    </row>
    <row r="378">
      <c r="B378" s="4" t="s">
        <v>45</v>
      </c>
      <c r="C378" s="4" t="s">
        <v>829</v>
      </c>
      <c r="D378" s="4" t="s">
        <v>6</v>
      </c>
    </row>
    <row r="379">
      <c r="B379" s="4" t="s">
        <v>124</v>
      </c>
      <c r="C379" s="4" t="s">
        <v>829</v>
      </c>
      <c r="D379" s="4" t="s">
        <v>6</v>
      </c>
    </row>
    <row r="380">
      <c r="B380" s="4" t="s">
        <v>123</v>
      </c>
      <c r="C380" s="4" t="s">
        <v>829</v>
      </c>
      <c r="D380" s="4" t="s">
        <v>6</v>
      </c>
    </row>
    <row r="381">
      <c r="B381" s="4" t="s">
        <v>240</v>
      </c>
      <c r="C381" s="4" t="s">
        <v>829</v>
      </c>
      <c r="D381" s="4" t="s">
        <v>6</v>
      </c>
    </row>
    <row r="382">
      <c r="B382" s="4" t="s">
        <v>211</v>
      </c>
      <c r="C382" s="4" t="s">
        <v>830</v>
      </c>
      <c r="D382" s="4" t="s">
        <v>263</v>
      </c>
    </row>
    <row r="383">
      <c r="B383" s="4" t="s">
        <v>62</v>
      </c>
      <c r="C383" s="4" t="s">
        <v>830</v>
      </c>
      <c r="D383" s="4" t="s">
        <v>263</v>
      </c>
    </row>
    <row r="384">
      <c r="B384" s="4" t="s">
        <v>402</v>
      </c>
      <c r="C384" s="4" t="s">
        <v>830</v>
      </c>
      <c r="D384" s="4" t="s">
        <v>263</v>
      </c>
    </row>
    <row r="385">
      <c r="B385" s="4" t="s">
        <v>205</v>
      </c>
      <c r="C385" s="4" t="s">
        <v>829</v>
      </c>
      <c r="D385" s="4" t="s">
        <v>6</v>
      </c>
    </row>
    <row r="386">
      <c r="B386" s="4" t="s">
        <v>250</v>
      </c>
      <c r="C386" s="4" t="s">
        <v>829</v>
      </c>
      <c r="D386" s="4" t="s">
        <v>9</v>
      </c>
    </row>
    <row r="387">
      <c r="B387" s="4" t="s">
        <v>116</v>
      </c>
      <c r="C387" s="4" t="s">
        <v>829</v>
      </c>
      <c r="D387" s="4" t="s">
        <v>6</v>
      </c>
    </row>
    <row r="388">
      <c r="B388" s="4" t="s">
        <v>169</v>
      </c>
      <c r="C388" s="4" t="s">
        <v>829</v>
      </c>
      <c r="D388" s="4" t="s">
        <v>9</v>
      </c>
    </row>
    <row r="389">
      <c r="B389" s="4" t="s">
        <v>403</v>
      </c>
      <c r="C389" s="4" t="s">
        <v>830</v>
      </c>
      <c r="D389" s="4" t="s">
        <v>263</v>
      </c>
    </row>
    <row r="390">
      <c r="B390" s="4" t="s">
        <v>114</v>
      </c>
      <c r="C390" s="4" t="s">
        <v>829</v>
      </c>
      <c r="D390" s="4" t="s">
        <v>6</v>
      </c>
    </row>
    <row r="391">
      <c r="B391" s="4" t="s">
        <v>34</v>
      </c>
      <c r="C391" s="4" t="s">
        <v>830</v>
      </c>
      <c r="D391" s="4" t="s">
        <v>263</v>
      </c>
    </row>
    <row r="392">
      <c r="B392" s="4" t="s">
        <v>404</v>
      </c>
      <c r="C392" s="4" t="s">
        <v>830</v>
      </c>
      <c r="D392" s="4" t="s">
        <v>263</v>
      </c>
    </row>
    <row r="393">
      <c r="B393" s="4" t="s">
        <v>90</v>
      </c>
      <c r="C393" s="4" t="s">
        <v>829</v>
      </c>
      <c r="D393" s="4" t="s">
        <v>6</v>
      </c>
    </row>
    <row r="394">
      <c r="B394" s="4" t="s">
        <v>128</v>
      </c>
      <c r="C394" s="4" t="s">
        <v>829</v>
      </c>
      <c r="D394" s="4" t="s">
        <v>9</v>
      </c>
    </row>
    <row r="395">
      <c r="B395" s="4" t="s">
        <v>88</v>
      </c>
      <c r="C395" s="4" t="s">
        <v>829</v>
      </c>
      <c r="D395" s="4" t="s">
        <v>6</v>
      </c>
    </row>
    <row r="396">
      <c r="B396" s="4" t="s">
        <v>135</v>
      </c>
      <c r="C396" s="4" t="s">
        <v>829</v>
      </c>
      <c r="D396" s="4" t="s">
        <v>9</v>
      </c>
    </row>
    <row r="397">
      <c r="B397" s="4" t="s">
        <v>173</v>
      </c>
      <c r="C397" s="4" t="s">
        <v>829</v>
      </c>
      <c r="D397" s="4" t="s">
        <v>6</v>
      </c>
    </row>
    <row r="398">
      <c r="B398" s="4" t="s">
        <v>243</v>
      </c>
      <c r="C398" s="4" t="s">
        <v>830</v>
      </c>
      <c r="D398" s="4" t="s">
        <v>263</v>
      </c>
    </row>
    <row r="399">
      <c r="B399" s="4" t="s">
        <v>405</v>
      </c>
      <c r="C399" s="4" t="s">
        <v>829</v>
      </c>
      <c r="D399" s="4" t="s">
        <v>6</v>
      </c>
    </row>
    <row r="400">
      <c r="B400" s="4" t="s">
        <v>406</v>
      </c>
      <c r="C400" s="4" t="s">
        <v>830</v>
      </c>
      <c r="D400" s="4" t="s">
        <v>263</v>
      </c>
    </row>
    <row r="401">
      <c r="B401" s="4" t="s">
        <v>407</v>
      </c>
      <c r="C401" s="4" t="s">
        <v>830</v>
      </c>
      <c r="D401" s="4" t="s">
        <v>263</v>
      </c>
    </row>
    <row r="403">
      <c r="C403" s="4" t="s">
        <v>409</v>
      </c>
      <c r="D403" s="5">
        <f>COUNTIF(D2:D401,"=SATISFIABLE")</f>
        <v>150</v>
      </c>
    </row>
    <row r="404">
      <c r="C404" s="4" t="s">
        <v>410</v>
      </c>
      <c r="D404" s="5">
        <f>COUNTIF(D2:D401,"=UNSATISFIABLE")</f>
        <v>97</v>
      </c>
    </row>
    <row r="405">
      <c r="C405" s="4" t="s">
        <v>411</v>
      </c>
      <c r="D405" s="5">
        <f>COUNTIF(D2:D401,"=UNKNOWN")</f>
        <v>153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  <col customWidth="1" min="8" max="8" width="8.13"/>
    <col customWidth="1" min="9" max="9" width="7.75"/>
    <col customWidth="1" min="10" max="10" width="6.63"/>
    <col customWidth="1" min="11" max="11" width="10.63"/>
    <col customWidth="1" min="12" max="12" width="10.5"/>
    <col customWidth="1" min="13" max="13" width="11.13"/>
    <col customWidth="1" min="14" max="14" width="10.5"/>
    <col customWidth="1" min="15" max="15" width="9.75"/>
    <col customWidth="1" min="16" max="16" width="10.63"/>
    <col customWidth="1" min="17" max="17" width="12.13"/>
  </cols>
  <sheetData>
    <row r="1" ht="22.5" customHeight="1">
      <c r="A1" s="1" t="s">
        <v>0</v>
      </c>
      <c r="B1" s="2" t="s">
        <v>1</v>
      </c>
      <c r="C1" s="6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419</v>
      </c>
      <c r="K1" s="2" t="s">
        <v>420</v>
      </c>
      <c r="L1" s="2" t="s">
        <v>421</v>
      </c>
      <c r="M1" s="2" t="s">
        <v>422</v>
      </c>
      <c r="N1" s="2" t="s">
        <v>423</v>
      </c>
      <c r="O1" s="2" t="s">
        <v>424</v>
      </c>
      <c r="P1" s="2" t="s">
        <v>2</v>
      </c>
      <c r="Q1" s="2" t="s">
        <v>3</v>
      </c>
      <c r="R1" s="1" t="s">
        <v>4</v>
      </c>
      <c r="S1" s="8" t="s">
        <v>831</v>
      </c>
      <c r="T1" s="8" t="s">
        <v>832</v>
      </c>
    </row>
    <row r="2" ht="22.5" customHeight="1">
      <c r="B2" s="7" t="s">
        <v>14</v>
      </c>
      <c r="C2" s="7">
        <v>35320.0</v>
      </c>
      <c r="D2" s="7">
        <v>1182493.0</v>
      </c>
      <c r="E2" s="7">
        <v>1082.0</v>
      </c>
      <c r="F2" s="7">
        <v>1069.0</v>
      </c>
      <c r="G2" s="7">
        <v>23463.0</v>
      </c>
      <c r="H2" s="7">
        <v>226033.0</v>
      </c>
      <c r="I2" s="7">
        <v>48.0</v>
      </c>
      <c r="J2" s="7">
        <v>47.0</v>
      </c>
      <c r="K2" s="7">
        <v>1.0</v>
      </c>
      <c r="L2" s="7">
        <v>19.18</v>
      </c>
      <c r="M2" s="7">
        <v>-0.15</v>
      </c>
      <c r="N2" s="7">
        <v>2.0</v>
      </c>
      <c r="O2" s="7">
        <v>10249.0</v>
      </c>
      <c r="P2" s="7" t="s">
        <v>409</v>
      </c>
      <c r="Q2" s="7">
        <v>1.08</v>
      </c>
      <c r="R2" s="3">
        <f t="shared" ref="R2:R401" si="1">IF(P2="IND", 10000, Q2)</f>
        <v>1.08</v>
      </c>
      <c r="S2" s="9">
        <v>8.44</v>
      </c>
      <c r="T2" s="10">
        <v>8.44</v>
      </c>
      <c r="V2" s="5">
        <f t="shared" ref="V2:V401" si="2">T2-R2</f>
        <v>7.36</v>
      </c>
    </row>
    <row r="3" ht="22.5" customHeight="1">
      <c r="B3" s="7" t="s">
        <v>5</v>
      </c>
      <c r="C3" s="7">
        <v>35945.0</v>
      </c>
      <c r="D3" s="7">
        <v>1218255.0</v>
      </c>
      <c r="E3" s="7">
        <v>1042.0</v>
      </c>
      <c r="F3" s="7">
        <v>1019.0</v>
      </c>
      <c r="G3" s="7">
        <v>17325.0</v>
      </c>
      <c r="H3" s="7">
        <v>175580.0</v>
      </c>
      <c r="I3" s="7">
        <v>36.0</v>
      </c>
      <c r="J3" s="7">
        <v>36.0</v>
      </c>
      <c r="K3" s="7">
        <v>0.0</v>
      </c>
      <c r="L3" s="7">
        <v>14.02</v>
      </c>
      <c r="M3" s="7">
        <v>-0.17</v>
      </c>
      <c r="N3" s="7">
        <v>1.0</v>
      </c>
      <c r="O3" s="7">
        <v>6689.0</v>
      </c>
      <c r="P3" s="7" t="s">
        <v>409</v>
      </c>
      <c r="Q3" s="7">
        <v>1.15</v>
      </c>
      <c r="R3" s="3">
        <f t="shared" si="1"/>
        <v>1.15</v>
      </c>
      <c r="S3" s="9">
        <v>0.87</v>
      </c>
      <c r="T3" s="10">
        <v>0.87</v>
      </c>
      <c r="V3" s="5">
        <f t="shared" si="2"/>
        <v>-0.28</v>
      </c>
    </row>
    <row r="4" ht="22.5" customHeight="1">
      <c r="B4" s="7" t="s">
        <v>13</v>
      </c>
      <c r="C4" s="7">
        <v>134780.0</v>
      </c>
      <c r="D4" s="7">
        <v>648622.0</v>
      </c>
      <c r="E4" s="7">
        <v>1012.0</v>
      </c>
      <c r="F4" s="7">
        <v>978.0</v>
      </c>
      <c r="G4" s="7">
        <v>30271.0</v>
      </c>
      <c r="H4" s="7">
        <v>1634482.0</v>
      </c>
      <c r="I4" s="7">
        <v>45.0</v>
      </c>
      <c r="J4" s="7">
        <v>45.0</v>
      </c>
      <c r="K4" s="7">
        <v>0.0</v>
      </c>
      <c r="L4" s="7">
        <v>26.63</v>
      </c>
      <c r="M4" s="7">
        <v>-0.24</v>
      </c>
      <c r="N4" s="7">
        <v>1.0</v>
      </c>
      <c r="O4" s="7">
        <v>4694.0</v>
      </c>
      <c r="P4" s="7" t="s">
        <v>409</v>
      </c>
      <c r="Q4" s="7">
        <v>1.23</v>
      </c>
      <c r="R4" s="3">
        <f t="shared" si="1"/>
        <v>1.23</v>
      </c>
      <c r="S4" s="9">
        <v>9.32</v>
      </c>
      <c r="T4" s="10">
        <v>9.32</v>
      </c>
      <c r="V4" s="5">
        <f t="shared" si="2"/>
        <v>8.09</v>
      </c>
    </row>
    <row r="5" ht="22.5" customHeight="1">
      <c r="B5" s="7" t="s">
        <v>7</v>
      </c>
      <c r="C5" s="7">
        <v>23345.0</v>
      </c>
      <c r="D5" s="7">
        <v>49263.0</v>
      </c>
      <c r="E5" s="7">
        <v>13088.0</v>
      </c>
      <c r="F5" s="7">
        <v>12727.0</v>
      </c>
      <c r="G5" s="7">
        <v>122347.0</v>
      </c>
      <c r="H5" s="7">
        <v>2998839.0</v>
      </c>
      <c r="I5" s="7">
        <v>697.0</v>
      </c>
      <c r="J5" s="7">
        <v>638.0</v>
      </c>
      <c r="K5" s="7">
        <v>59.0</v>
      </c>
      <c r="L5" s="7">
        <v>47.8</v>
      </c>
      <c r="M5" s="7">
        <v>-0.17</v>
      </c>
      <c r="N5" s="7">
        <v>85.0</v>
      </c>
      <c r="O5" s="7">
        <v>11075.0</v>
      </c>
      <c r="P5" s="7" t="s">
        <v>409</v>
      </c>
      <c r="Q5" s="7">
        <v>1.28</v>
      </c>
      <c r="R5" s="3">
        <f t="shared" si="1"/>
        <v>1.28</v>
      </c>
      <c r="S5" s="9">
        <v>8.64</v>
      </c>
      <c r="T5" s="10">
        <v>8.64</v>
      </c>
      <c r="V5" s="5">
        <f t="shared" si="2"/>
        <v>7.36</v>
      </c>
    </row>
    <row r="6" ht="22.5" customHeight="1">
      <c r="B6" s="7" t="s">
        <v>11</v>
      </c>
      <c r="C6" s="7">
        <v>760.0</v>
      </c>
      <c r="D6" s="7">
        <v>37548.0</v>
      </c>
      <c r="E6" s="7">
        <v>40216.0</v>
      </c>
      <c r="F6" s="7">
        <v>39023.0</v>
      </c>
      <c r="G6" s="7">
        <v>66157.0</v>
      </c>
      <c r="H6" s="7">
        <v>3633284.0</v>
      </c>
      <c r="I6" s="7">
        <v>1421.0</v>
      </c>
      <c r="J6" s="7">
        <v>1226.0</v>
      </c>
      <c r="K6" s="7">
        <v>195.0</v>
      </c>
      <c r="L6" s="7">
        <v>43.82</v>
      </c>
      <c r="M6" s="7">
        <v>-0.07</v>
      </c>
      <c r="N6" s="7">
        <v>252.0</v>
      </c>
      <c r="O6" s="7">
        <v>22503.0</v>
      </c>
      <c r="P6" s="7" t="s">
        <v>409</v>
      </c>
      <c r="Q6" s="7">
        <v>2.31</v>
      </c>
      <c r="R6" s="3">
        <f t="shared" si="1"/>
        <v>2.31</v>
      </c>
      <c r="S6" s="9">
        <v>2.12</v>
      </c>
      <c r="T6" s="10">
        <v>2.12</v>
      </c>
      <c r="V6" s="5">
        <f t="shared" si="2"/>
        <v>-0.19</v>
      </c>
    </row>
    <row r="7" ht="22.5" customHeight="1">
      <c r="B7" s="7" t="s">
        <v>10</v>
      </c>
      <c r="C7" s="7">
        <v>32852.0</v>
      </c>
      <c r="D7" s="7">
        <v>170331.0</v>
      </c>
      <c r="E7" s="7">
        <v>31554.0</v>
      </c>
      <c r="F7" s="7">
        <v>30273.0</v>
      </c>
      <c r="G7" s="7">
        <v>188695.0</v>
      </c>
      <c r="H7" s="7">
        <v>1.3578063E7</v>
      </c>
      <c r="I7" s="7">
        <v>3355.0</v>
      </c>
      <c r="J7" s="7">
        <v>3315.0</v>
      </c>
      <c r="K7" s="7">
        <v>40.0</v>
      </c>
      <c r="L7" s="7">
        <v>14.46</v>
      </c>
      <c r="M7" s="7">
        <v>-0.26</v>
      </c>
      <c r="N7" s="7">
        <v>75.0</v>
      </c>
      <c r="O7" s="7">
        <v>37041.0</v>
      </c>
      <c r="P7" s="7" t="s">
        <v>409</v>
      </c>
      <c r="Q7" s="7">
        <v>4.96</v>
      </c>
      <c r="R7" s="3">
        <f t="shared" si="1"/>
        <v>4.96</v>
      </c>
      <c r="S7" s="9">
        <v>4.56</v>
      </c>
      <c r="T7" s="10">
        <v>4.56</v>
      </c>
      <c r="V7" s="5">
        <f t="shared" si="2"/>
        <v>-0.4</v>
      </c>
    </row>
    <row r="8" ht="22.5" customHeight="1">
      <c r="B8" s="7" t="s">
        <v>12</v>
      </c>
      <c r="C8" s="7">
        <v>12197.0</v>
      </c>
      <c r="D8" s="7">
        <v>78363.0</v>
      </c>
      <c r="E8" s="7">
        <v>150147.0</v>
      </c>
      <c r="F8" s="7">
        <v>143941.0</v>
      </c>
      <c r="G8" s="7">
        <v>2708866.0</v>
      </c>
      <c r="H8" s="7">
        <v>1.8408188E7</v>
      </c>
      <c r="I8" s="7">
        <v>12276.0</v>
      </c>
      <c r="J8" s="7">
        <v>12120.0</v>
      </c>
      <c r="K8" s="7">
        <v>156.0</v>
      </c>
      <c r="L8" s="7">
        <v>10.41</v>
      </c>
      <c r="M8" s="7">
        <v>-0.29</v>
      </c>
      <c r="N8" s="7">
        <v>366.0</v>
      </c>
      <c r="O8" s="7">
        <v>422645.0</v>
      </c>
      <c r="P8" s="7" t="s">
        <v>409</v>
      </c>
      <c r="Q8" s="7">
        <v>8.04</v>
      </c>
      <c r="R8" s="3">
        <f t="shared" si="1"/>
        <v>8.04</v>
      </c>
      <c r="S8" s="9">
        <v>15.22</v>
      </c>
      <c r="T8" s="10">
        <v>15.22</v>
      </c>
      <c r="V8" s="5">
        <f t="shared" si="2"/>
        <v>7.18</v>
      </c>
    </row>
    <row r="9" ht="22.5" customHeight="1">
      <c r="B9" s="7" t="s">
        <v>15</v>
      </c>
      <c r="C9" s="7">
        <v>323138.0</v>
      </c>
      <c r="D9" s="7">
        <v>2.1567424E7</v>
      </c>
      <c r="E9" s="7">
        <v>42.0</v>
      </c>
      <c r="F9" s="7">
        <v>42.0</v>
      </c>
      <c r="G9" s="7">
        <v>488000.0</v>
      </c>
      <c r="H9" s="7">
        <v>577871.0</v>
      </c>
      <c r="I9" s="7">
        <v>0.0</v>
      </c>
      <c r="J9" s="7">
        <v>0.0</v>
      </c>
      <c r="K9" s="7">
        <v>0.0</v>
      </c>
      <c r="L9" s="7">
        <v>9.19</v>
      </c>
      <c r="M9" s="7">
        <v>-0.74</v>
      </c>
      <c r="N9" s="7">
        <v>0.0</v>
      </c>
      <c r="O9" s="7">
        <v>487781.0</v>
      </c>
      <c r="P9" s="7" t="s">
        <v>409</v>
      </c>
      <c r="Q9" s="7">
        <v>9.57</v>
      </c>
      <c r="R9" s="3">
        <f t="shared" si="1"/>
        <v>9.57</v>
      </c>
      <c r="S9" s="9">
        <v>15.53</v>
      </c>
      <c r="T9" s="10">
        <v>15.53</v>
      </c>
      <c r="V9" s="5">
        <f t="shared" si="2"/>
        <v>5.96</v>
      </c>
    </row>
    <row r="10" ht="22.5" customHeight="1">
      <c r="B10" s="7" t="s">
        <v>119</v>
      </c>
      <c r="C10" s="7">
        <v>3603.0</v>
      </c>
      <c r="D10" s="7">
        <v>14304.0</v>
      </c>
      <c r="E10" s="7">
        <v>143542.0</v>
      </c>
      <c r="F10" s="7">
        <v>140356.0</v>
      </c>
      <c r="G10" s="7">
        <v>367158.0</v>
      </c>
      <c r="H10" s="7">
        <v>2.2543318E7</v>
      </c>
      <c r="I10" s="7">
        <v>8653.0</v>
      </c>
      <c r="J10" s="7">
        <v>7988.0</v>
      </c>
      <c r="K10" s="7">
        <v>665.0</v>
      </c>
      <c r="L10" s="7">
        <v>30.51</v>
      </c>
      <c r="M10" s="7">
        <v>-0.12</v>
      </c>
      <c r="N10" s="7">
        <v>833.0</v>
      </c>
      <c r="O10" s="7">
        <v>73666.0</v>
      </c>
      <c r="P10" s="7" t="s">
        <v>409</v>
      </c>
      <c r="Q10" s="7">
        <v>10.75</v>
      </c>
      <c r="R10" s="3">
        <f t="shared" si="1"/>
        <v>10.75</v>
      </c>
      <c r="S10" s="9">
        <v>609.35</v>
      </c>
      <c r="T10" s="10">
        <v>609.35</v>
      </c>
      <c r="V10" s="5">
        <f t="shared" si="2"/>
        <v>598.6</v>
      </c>
    </row>
    <row r="11" ht="22.5" customHeight="1">
      <c r="B11" s="7" t="s">
        <v>31</v>
      </c>
      <c r="C11" s="7">
        <v>600.0</v>
      </c>
      <c r="D11" s="7">
        <v>16668.0</v>
      </c>
      <c r="E11" s="7">
        <v>186283.0</v>
      </c>
      <c r="F11" s="7">
        <v>184474.0</v>
      </c>
      <c r="G11" s="7">
        <v>322423.0</v>
      </c>
      <c r="H11" s="7">
        <v>1.2019453E7</v>
      </c>
      <c r="I11" s="7">
        <v>9822.0</v>
      </c>
      <c r="J11" s="7">
        <v>8456.0</v>
      </c>
      <c r="K11" s="7">
        <v>1366.0</v>
      </c>
      <c r="L11" s="7">
        <v>19.46</v>
      </c>
      <c r="M11" s="7">
        <v>-0.07</v>
      </c>
      <c r="N11" s="7">
        <v>1645.0</v>
      </c>
      <c r="O11" s="7">
        <v>68715.0</v>
      </c>
      <c r="P11" s="7" t="s">
        <v>409</v>
      </c>
      <c r="Q11" s="7">
        <v>13.66</v>
      </c>
      <c r="R11" s="3">
        <f t="shared" si="1"/>
        <v>13.66</v>
      </c>
      <c r="S11" s="9">
        <v>12.51</v>
      </c>
      <c r="T11" s="10">
        <v>12.51</v>
      </c>
      <c r="V11" s="5">
        <f t="shared" si="2"/>
        <v>-1.15</v>
      </c>
    </row>
    <row r="12" ht="22.5" customHeight="1">
      <c r="B12" s="7" t="s">
        <v>16</v>
      </c>
      <c r="C12" s="7">
        <v>190399.0</v>
      </c>
      <c r="D12" s="7">
        <v>564772.0</v>
      </c>
      <c r="E12" s="7">
        <v>71775.0</v>
      </c>
      <c r="F12" s="7">
        <v>70041.0</v>
      </c>
      <c r="G12" s="7">
        <v>421057.0</v>
      </c>
      <c r="H12" s="7">
        <v>1.7511418E7</v>
      </c>
      <c r="I12" s="7">
        <v>2736.0</v>
      </c>
      <c r="J12" s="7">
        <v>2468.0</v>
      </c>
      <c r="K12" s="7">
        <v>268.0</v>
      </c>
      <c r="L12" s="7">
        <v>25.27</v>
      </c>
      <c r="M12" s="7">
        <v>-0.11</v>
      </c>
      <c r="N12" s="7">
        <v>396.0</v>
      </c>
      <c r="O12" s="7">
        <v>95451.0</v>
      </c>
      <c r="P12" s="7" t="s">
        <v>410</v>
      </c>
      <c r="Q12" s="7">
        <v>13.99</v>
      </c>
      <c r="R12" s="3">
        <f t="shared" si="1"/>
        <v>13.99</v>
      </c>
      <c r="S12" s="9">
        <v>11.12</v>
      </c>
      <c r="T12" s="10">
        <v>11.12</v>
      </c>
      <c r="V12" s="5">
        <f t="shared" si="2"/>
        <v>-2.87</v>
      </c>
    </row>
    <row r="13" ht="22.5" customHeight="1">
      <c r="B13" s="7" t="s">
        <v>56</v>
      </c>
      <c r="C13" s="7">
        <v>600.0</v>
      </c>
      <c r="D13" s="7">
        <v>16790.0</v>
      </c>
      <c r="E13" s="7">
        <v>189184.0</v>
      </c>
      <c r="F13" s="7">
        <v>187614.0</v>
      </c>
      <c r="G13" s="7">
        <v>307908.0</v>
      </c>
      <c r="H13" s="7">
        <v>1.4372375E7</v>
      </c>
      <c r="I13" s="7">
        <v>9742.0</v>
      </c>
      <c r="J13" s="7">
        <v>8248.0</v>
      </c>
      <c r="K13" s="7">
        <v>1494.0</v>
      </c>
      <c r="L13" s="7">
        <v>20.64</v>
      </c>
      <c r="M13" s="7">
        <v>-0.07</v>
      </c>
      <c r="N13" s="7">
        <v>1777.0</v>
      </c>
      <c r="O13" s="7">
        <v>67699.0</v>
      </c>
      <c r="P13" s="7" t="s">
        <v>409</v>
      </c>
      <c r="Q13" s="7">
        <v>16.55</v>
      </c>
      <c r="R13" s="3">
        <f t="shared" si="1"/>
        <v>16.55</v>
      </c>
      <c r="S13" s="9">
        <v>102.09</v>
      </c>
      <c r="T13" s="10">
        <v>102.09</v>
      </c>
      <c r="V13" s="5">
        <f t="shared" si="2"/>
        <v>85.54</v>
      </c>
    </row>
    <row r="14" ht="22.5" customHeight="1">
      <c r="B14" s="7" t="s">
        <v>30</v>
      </c>
      <c r="C14" s="7">
        <v>9824.0</v>
      </c>
      <c r="D14" s="7">
        <v>153979.0</v>
      </c>
      <c r="E14" s="7">
        <v>206731.0</v>
      </c>
      <c r="F14" s="7">
        <v>202641.0</v>
      </c>
      <c r="G14" s="7">
        <v>469784.0</v>
      </c>
      <c r="H14" s="7">
        <v>3.9234355E7</v>
      </c>
      <c r="I14" s="7">
        <v>7224.0</v>
      </c>
      <c r="J14" s="7">
        <v>6039.0</v>
      </c>
      <c r="K14" s="7">
        <v>1185.0</v>
      </c>
      <c r="L14" s="7">
        <v>25.93</v>
      </c>
      <c r="M14" s="7">
        <v>-0.08</v>
      </c>
      <c r="N14" s="7">
        <v>1538.0</v>
      </c>
      <c r="O14" s="7">
        <v>86203.0</v>
      </c>
      <c r="P14" s="7" t="s">
        <v>409</v>
      </c>
      <c r="Q14" s="7">
        <v>18.42</v>
      </c>
      <c r="R14" s="3">
        <f t="shared" si="1"/>
        <v>18.42</v>
      </c>
      <c r="S14" s="9">
        <v>15.13</v>
      </c>
      <c r="T14" s="10">
        <v>15.13</v>
      </c>
      <c r="V14" s="5">
        <f t="shared" si="2"/>
        <v>-3.29</v>
      </c>
    </row>
    <row r="15" ht="22.5" customHeight="1">
      <c r="B15" s="7" t="s">
        <v>316</v>
      </c>
      <c r="C15" s="7">
        <v>41961.0</v>
      </c>
      <c r="D15" s="7">
        <v>70118.0</v>
      </c>
      <c r="E15" s="7">
        <v>141144.0</v>
      </c>
      <c r="F15" s="7">
        <v>136529.0</v>
      </c>
      <c r="G15" s="7">
        <v>2547170.0</v>
      </c>
      <c r="H15" s="7">
        <v>4.4510166E7</v>
      </c>
      <c r="I15" s="7">
        <v>14520.0</v>
      </c>
      <c r="J15" s="7">
        <v>14168.0</v>
      </c>
      <c r="K15" s="7">
        <v>352.0</v>
      </c>
      <c r="L15" s="7">
        <v>48.12</v>
      </c>
      <c r="M15" s="7">
        <v>-0.25</v>
      </c>
      <c r="N15" s="7">
        <v>524.0</v>
      </c>
      <c r="O15" s="7">
        <v>149147.0</v>
      </c>
      <c r="P15" s="7" t="s">
        <v>409</v>
      </c>
      <c r="Q15" s="7">
        <v>18.5</v>
      </c>
      <c r="R15" s="3">
        <f t="shared" si="1"/>
        <v>18.5</v>
      </c>
      <c r="S15" s="9">
        <v>4695.97</v>
      </c>
      <c r="T15" s="10">
        <v>4695.97</v>
      </c>
      <c r="V15" s="5">
        <f t="shared" si="2"/>
        <v>4677.47</v>
      </c>
    </row>
    <row r="16" ht="22.5" customHeight="1">
      <c r="B16" s="7" t="s">
        <v>207</v>
      </c>
      <c r="C16" s="7">
        <v>3836.0</v>
      </c>
      <c r="D16" s="7">
        <v>15071.0</v>
      </c>
      <c r="E16" s="7">
        <v>193627.0</v>
      </c>
      <c r="F16" s="7">
        <v>189563.0</v>
      </c>
      <c r="G16" s="7">
        <v>496951.0</v>
      </c>
      <c r="H16" s="7">
        <v>3.3493515E7</v>
      </c>
      <c r="I16" s="7">
        <v>11517.0</v>
      </c>
      <c r="J16" s="7">
        <v>10429.0</v>
      </c>
      <c r="K16" s="7">
        <v>1088.0</v>
      </c>
      <c r="L16" s="7">
        <v>35.08</v>
      </c>
      <c r="M16" s="7">
        <v>-0.12</v>
      </c>
      <c r="N16" s="7">
        <v>1402.0</v>
      </c>
      <c r="O16" s="7">
        <v>68059.0</v>
      </c>
      <c r="P16" s="7" t="s">
        <v>409</v>
      </c>
      <c r="Q16" s="7">
        <v>19.6</v>
      </c>
      <c r="R16" s="3">
        <f t="shared" si="1"/>
        <v>19.6</v>
      </c>
      <c r="S16" s="9">
        <v>2563.22</v>
      </c>
      <c r="T16" s="10">
        <v>2563.22</v>
      </c>
      <c r="V16" s="5">
        <f t="shared" si="2"/>
        <v>2543.62</v>
      </c>
    </row>
    <row r="17" ht="22.5" customHeight="1">
      <c r="B17" s="7" t="s">
        <v>37</v>
      </c>
      <c r="C17" s="7">
        <v>270120.0</v>
      </c>
      <c r="D17" s="7">
        <v>1227441.0</v>
      </c>
      <c r="E17" s="7">
        <v>27207.0</v>
      </c>
      <c r="F17" s="7">
        <v>22823.0</v>
      </c>
      <c r="G17" s="7">
        <v>185322.0</v>
      </c>
      <c r="H17" s="7">
        <v>8.7168593E7</v>
      </c>
      <c r="I17" s="7">
        <v>1081.0</v>
      </c>
      <c r="J17" s="7">
        <v>1008.0</v>
      </c>
      <c r="K17" s="7">
        <v>73.0</v>
      </c>
      <c r="L17" s="7">
        <v>166.89</v>
      </c>
      <c r="M17" s="7">
        <v>-0.11</v>
      </c>
      <c r="N17" s="7">
        <v>103.0</v>
      </c>
      <c r="O17" s="7">
        <v>46296.0</v>
      </c>
      <c r="P17" s="7" t="s">
        <v>409</v>
      </c>
      <c r="Q17" s="7">
        <v>20.81</v>
      </c>
      <c r="R17" s="3">
        <f t="shared" si="1"/>
        <v>20.81</v>
      </c>
      <c r="S17" s="9">
        <v>226.76</v>
      </c>
      <c r="T17" s="10">
        <v>226.76</v>
      </c>
      <c r="V17" s="5">
        <f t="shared" si="2"/>
        <v>205.95</v>
      </c>
    </row>
    <row r="18" ht="22.5" customHeight="1">
      <c r="B18" s="7" t="s">
        <v>33</v>
      </c>
      <c r="C18" s="7">
        <v>3298.0</v>
      </c>
      <c r="D18" s="7">
        <v>142629.0</v>
      </c>
      <c r="E18" s="7">
        <v>234833.0</v>
      </c>
      <c r="F18" s="7">
        <v>227722.0</v>
      </c>
      <c r="G18" s="7">
        <v>632796.0</v>
      </c>
      <c r="H18" s="7">
        <v>3.0696813E7</v>
      </c>
      <c r="I18" s="7">
        <v>10634.0</v>
      </c>
      <c r="J18" s="7">
        <v>9234.0</v>
      </c>
      <c r="K18" s="7">
        <v>1400.0</v>
      </c>
      <c r="L18" s="7">
        <v>64.22</v>
      </c>
      <c r="M18" s="7">
        <v>-0.1</v>
      </c>
      <c r="N18" s="7">
        <v>1834.0</v>
      </c>
      <c r="O18" s="7">
        <v>102763.0</v>
      </c>
      <c r="P18" s="7" t="s">
        <v>409</v>
      </c>
      <c r="Q18" s="7">
        <v>22.15</v>
      </c>
      <c r="R18" s="3">
        <f t="shared" si="1"/>
        <v>22.15</v>
      </c>
      <c r="S18" s="9">
        <v>47.64</v>
      </c>
      <c r="T18" s="10">
        <v>47.64</v>
      </c>
      <c r="V18" s="5">
        <f t="shared" si="2"/>
        <v>25.49</v>
      </c>
    </row>
    <row r="19" ht="22.5" customHeight="1">
      <c r="B19" s="7" t="s">
        <v>8</v>
      </c>
      <c r="C19" s="7">
        <v>6061.0</v>
      </c>
      <c r="D19" s="7">
        <v>17574.0</v>
      </c>
      <c r="E19" s="7">
        <v>362892.0</v>
      </c>
      <c r="F19" s="7">
        <v>358041.0</v>
      </c>
      <c r="G19" s="7">
        <v>964715.0</v>
      </c>
      <c r="H19" s="7">
        <v>3.4884621E7</v>
      </c>
      <c r="I19" s="7">
        <v>20781.0</v>
      </c>
      <c r="J19" s="7">
        <v>18442.0</v>
      </c>
      <c r="K19" s="7">
        <v>2339.0</v>
      </c>
      <c r="L19" s="7">
        <v>20.37</v>
      </c>
      <c r="M19" s="7">
        <v>-0.1</v>
      </c>
      <c r="N19" s="7">
        <v>2804.0</v>
      </c>
      <c r="O19" s="7">
        <v>178250.0</v>
      </c>
      <c r="P19" s="7" t="s">
        <v>410</v>
      </c>
      <c r="Q19" s="7">
        <v>23.53</v>
      </c>
      <c r="R19" s="3">
        <f t="shared" si="1"/>
        <v>23.53</v>
      </c>
      <c r="S19" s="9">
        <v>3.01</v>
      </c>
      <c r="T19" s="10">
        <v>3.01</v>
      </c>
      <c r="V19" s="5">
        <f t="shared" si="2"/>
        <v>-20.52</v>
      </c>
    </row>
    <row r="20" ht="22.5" customHeight="1">
      <c r="B20" s="7" t="s">
        <v>26</v>
      </c>
      <c r="C20" s="7">
        <v>26421.0</v>
      </c>
      <c r="D20" s="7">
        <v>122125.0</v>
      </c>
      <c r="E20" s="7">
        <v>30001.0</v>
      </c>
      <c r="F20" s="7">
        <v>28986.0</v>
      </c>
      <c r="G20" s="7">
        <v>76190.0</v>
      </c>
      <c r="H20" s="7">
        <v>1.0270863E8</v>
      </c>
      <c r="I20" s="7">
        <v>2864.0</v>
      </c>
      <c r="J20" s="7">
        <v>2774.0</v>
      </c>
      <c r="K20" s="7">
        <v>90.0</v>
      </c>
      <c r="L20" s="7">
        <v>139.5</v>
      </c>
      <c r="M20" s="7">
        <v>-0.11</v>
      </c>
      <c r="N20" s="7">
        <v>121.0</v>
      </c>
      <c r="O20" s="7">
        <v>17434.0</v>
      </c>
      <c r="P20" s="7" t="s">
        <v>410</v>
      </c>
      <c r="Q20" s="7">
        <v>25.75</v>
      </c>
      <c r="R20" s="3">
        <f t="shared" si="1"/>
        <v>25.75</v>
      </c>
      <c r="S20" s="9">
        <v>32.17</v>
      </c>
      <c r="T20" s="10">
        <v>32.17</v>
      </c>
      <c r="V20" s="5">
        <f t="shared" si="2"/>
        <v>6.42</v>
      </c>
    </row>
    <row r="21" ht="22.5" customHeight="1">
      <c r="B21" s="7" t="s">
        <v>18</v>
      </c>
      <c r="C21" s="7">
        <v>5448.0</v>
      </c>
      <c r="D21" s="7">
        <v>15992.0</v>
      </c>
      <c r="E21" s="7">
        <v>355464.0</v>
      </c>
      <c r="F21" s="7">
        <v>350267.0</v>
      </c>
      <c r="G21" s="7">
        <v>842337.0</v>
      </c>
      <c r="H21" s="7">
        <v>3.8617744E7</v>
      </c>
      <c r="I21" s="7">
        <v>16587.0</v>
      </c>
      <c r="J21" s="7">
        <v>14557.0</v>
      </c>
      <c r="K21" s="7">
        <v>2030.0</v>
      </c>
      <c r="L21" s="7">
        <v>25.96</v>
      </c>
      <c r="M21" s="7">
        <v>-0.09</v>
      </c>
      <c r="N21" s="7">
        <v>2508.0</v>
      </c>
      <c r="O21" s="7">
        <v>168496.0</v>
      </c>
      <c r="P21" s="7" t="s">
        <v>410</v>
      </c>
      <c r="Q21" s="7">
        <v>27.2</v>
      </c>
      <c r="R21" s="3">
        <f t="shared" si="1"/>
        <v>27.2</v>
      </c>
      <c r="S21" s="9">
        <v>17.42</v>
      </c>
      <c r="T21" s="10">
        <v>17.42</v>
      </c>
      <c r="V21" s="5">
        <f t="shared" si="2"/>
        <v>-9.78</v>
      </c>
    </row>
    <row r="22" ht="22.5" customHeight="1">
      <c r="B22" s="7" t="s">
        <v>95</v>
      </c>
      <c r="C22" s="7">
        <v>686.0</v>
      </c>
      <c r="D22" s="7">
        <v>19093.0</v>
      </c>
      <c r="E22" s="7">
        <v>308964.0</v>
      </c>
      <c r="F22" s="7">
        <v>306196.0</v>
      </c>
      <c r="G22" s="7">
        <v>520690.0</v>
      </c>
      <c r="H22" s="7">
        <v>2.6645751E7</v>
      </c>
      <c r="I22" s="7">
        <v>16952.0</v>
      </c>
      <c r="J22" s="7">
        <v>14325.0</v>
      </c>
      <c r="K22" s="7">
        <v>2627.0</v>
      </c>
      <c r="L22" s="7">
        <v>21.66</v>
      </c>
      <c r="M22" s="7">
        <v>-0.07</v>
      </c>
      <c r="N22" s="7">
        <v>3080.0</v>
      </c>
      <c r="O22" s="7">
        <v>109199.0</v>
      </c>
      <c r="P22" s="7" t="s">
        <v>409</v>
      </c>
      <c r="Q22" s="7">
        <v>32.16</v>
      </c>
      <c r="R22" s="3">
        <f t="shared" si="1"/>
        <v>32.16</v>
      </c>
      <c r="S22" s="9">
        <v>198.88</v>
      </c>
      <c r="T22" s="10">
        <v>198.88</v>
      </c>
      <c r="V22" s="5">
        <f t="shared" si="2"/>
        <v>166.72</v>
      </c>
    </row>
    <row r="23" ht="22.5" customHeight="1">
      <c r="B23" s="7" t="s">
        <v>32</v>
      </c>
      <c r="C23" s="7">
        <v>48941.0</v>
      </c>
      <c r="D23" s="7">
        <v>552747.0</v>
      </c>
      <c r="E23" s="7">
        <v>129396.0</v>
      </c>
      <c r="F23" s="7">
        <v>124769.0</v>
      </c>
      <c r="G23" s="7">
        <v>3575345.0</v>
      </c>
      <c r="H23" s="7">
        <v>8.3650576E7</v>
      </c>
      <c r="I23" s="7">
        <v>9370.0</v>
      </c>
      <c r="J23" s="7">
        <v>9240.0</v>
      </c>
      <c r="K23" s="7">
        <v>130.0</v>
      </c>
      <c r="L23" s="7">
        <v>10.43</v>
      </c>
      <c r="M23" s="7">
        <v>-0.29</v>
      </c>
      <c r="N23" s="7">
        <v>273.0</v>
      </c>
      <c r="O23" s="7">
        <v>689209.0</v>
      </c>
      <c r="P23" s="7" t="s">
        <v>409</v>
      </c>
      <c r="Q23" s="7">
        <v>32.21</v>
      </c>
      <c r="R23" s="3">
        <f t="shared" si="1"/>
        <v>32.21</v>
      </c>
      <c r="S23" s="9">
        <v>43.26</v>
      </c>
      <c r="T23" s="10">
        <v>43.26</v>
      </c>
      <c r="V23" s="5">
        <f t="shared" si="2"/>
        <v>11.05</v>
      </c>
    </row>
    <row r="24" ht="22.5" customHeight="1">
      <c r="B24" s="7" t="s">
        <v>40</v>
      </c>
      <c r="C24" s="7">
        <v>13240.0</v>
      </c>
      <c r="D24" s="7">
        <v>39135.0</v>
      </c>
      <c r="E24" s="7">
        <v>396873.0</v>
      </c>
      <c r="F24" s="7">
        <v>384430.0</v>
      </c>
      <c r="G24" s="7">
        <v>1438144.0</v>
      </c>
      <c r="H24" s="7">
        <v>6.3106211E7</v>
      </c>
      <c r="I24" s="7">
        <v>24922.0</v>
      </c>
      <c r="J24" s="7">
        <v>23658.0</v>
      </c>
      <c r="K24" s="7">
        <v>1264.0</v>
      </c>
      <c r="L24" s="7">
        <v>33.15</v>
      </c>
      <c r="M24" s="7">
        <v>-0.14</v>
      </c>
      <c r="N24" s="7">
        <v>1771.0</v>
      </c>
      <c r="O24" s="7">
        <v>246061.0</v>
      </c>
      <c r="P24" s="7" t="s">
        <v>410</v>
      </c>
      <c r="Q24" s="7">
        <v>32.98</v>
      </c>
      <c r="R24" s="3">
        <f t="shared" si="1"/>
        <v>32.98</v>
      </c>
      <c r="S24" s="9">
        <v>35.84</v>
      </c>
      <c r="T24" s="10">
        <v>35.84</v>
      </c>
      <c r="V24" s="5">
        <f t="shared" si="2"/>
        <v>2.86</v>
      </c>
    </row>
    <row r="25" ht="22.5" customHeight="1">
      <c r="B25" s="7" t="s">
        <v>28</v>
      </c>
      <c r="C25" s="7">
        <v>2633376.0</v>
      </c>
      <c r="D25" s="7">
        <v>1.2055676E7</v>
      </c>
      <c r="E25" s="7">
        <v>2030.0</v>
      </c>
      <c r="F25" s="7">
        <v>1887.0</v>
      </c>
      <c r="G25" s="7">
        <v>1284081.0</v>
      </c>
      <c r="H25" s="7">
        <v>2.3590746E7</v>
      </c>
      <c r="I25" s="7">
        <v>127.0</v>
      </c>
      <c r="J25" s="7">
        <v>126.0</v>
      </c>
      <c r="K25" s="7">
        <v>1.0</v>
      </c>
      <c r="L25" s="7">
        <v>120.11</v>
      </c>
      <c r="M25" s="7">
        <v>-0.26</v>
      </c>
      <c r="N25" s="7">
        <v>5.0</v>
      </c>
      <c r="O25" s="7">
        <v>9823.0</v>
      </c>
      <c r="P25" s="7" t="s">
        <v>409</v>
      </c>
      <c r="Q25" s="7">
        <v>35.68</v>
      </c>
      <c r="R25" s="3">
        <f t="shared" si="1"/>
        <v>35.68</v>
      </c>
      <c r="S25" s="9">
        <v>27.83</v>
      </c>
      <c r="T25" s="10">
        <v>27.83</v>
      </c>
      <c r="V25" s="5">
        <f t="shared" si="2"/>
        <v>-7.85</v>
      </c>
    </row>
    <row r="26" ht="22.5" customHeight="1">
      <c r="B26" s="7" t="s">
        <v>184</v>
      </c>
      <c r="C26" s="7">
        <v>31503.0</v>
      </c>
      <c r="D26" s="7">
        <v>94548.0</v>
      </c>
      <c r="E26" s="7">
        <v>16024.0</v>
      </c>
      <c r="F26" s="7">
        <v>15987.0</v>
      </c>
      <c r="G26" s="7">
        <v>18050.0</v>
      </c>
      <c r="H26" s="7">
        <v>1.22006774E8</v>
      </c>
      <c r="I26" s="7">
        <v>543.0</v>
      </c>
      <c r="J26" s="7">
        <v>328.0</v>
      </c>
      <c r="K26" s="7">
        <v>215.0</v>
      </c>
      <c r="L26" s="7">
        <v>33.9</v>
      </c>
      <c r="M26" s="7">
        <v>-0.01</v>
      </c>
      <c r="N26" s="7">
        <v>240.0</v>
      </c>
      <c r="O26" s="7">
        <v>5226.0</v>
      </c>
      <c r="P26" s="7" t="s">
        <v>409</v>
      </c>
      <c r="Q26" s="7">
        <v>36.63</v>
      </c>
      <c r="R26" s="3">
        <f t="shared" si="1"/>
        <v>36.63</v>
      </c>
      <c r="S26" s="9">
        <v>1108.66</v>
      </c>
      <c r="T26" s="10">
        <v>1108.66</v>
      </c>
      <c r="V26" s="5">
        <f t="shared" si="2"/>
        <v>1072.03</v>
      </c>
    </row>
    <row r="27" ht="22.5" customHeight="1">
      <c r="B27" s="7" t="s">
        <v>39</v>
      </c>
      <c r="C27" s="7">
        <v>19995.0</v>
      </c>
      <c r="D27" s="7">
        <v>62866.0</v>
      </c>
      <c r="E27" s="7">
        <v>366867.0</v>
      </c>
      <c r="F27" s="7">
        <v>357852.0</v>
      </c>
      <c r="G27" s="7">
        <v>819457.0</v>
      </c>
      <c r="H27" s="7">
        <v>8.3815518E7</v>
      </c>
      <c r="I27" s="7">
        <v>17495.0</v>
      </c>
      <c r="J27" s="7">
        <v>15631.0</v>
      </c>
      <c r="K27" s="7">
        <v>1864.0</v>
      </c>
      <c r="L27" s="7">
        <v>30.84</v>
      </c>
      <c r="M27" s="7">
        <v>-0.09</v>
      </c>
      <c r="N27" s="7">
        <v>2347.0</v>
      </c>
      <c r="O27" s="7">
        <v>169028.0</v>
      </c>
      <c r="P27" s="7" t="s">
        <v>410</v>
      </c>
      <c r="Q27" s="7">
        <v>36.93</v>
      </c>
      <c r="R27" s="3">
        <f t="shared" si="1"/>
        <v>36.93</v>
      </c>
      <c r="S27" s="9">
        <v>49.82</v>
      </c>
      <c r="T27" s="10">
        <v>49.82</v>
      </c>
      <c r="V27" s="5">
        <f t="shared" si="2"/>
        <v>12.89</v>
      </c>
    </row>
    <row r="28" ht="22.5" customHeight="1">
      <c r="B28" s="7" t="s">
        <v>17</v>
      </c>
      <c r="C28" s="7">
        <v>479.0</v>
      </c>
      <c r="D28" s="7">
        <v>123439.0</v>
      </c>
      <c r="E28" s="7">
        <v>516028.0</v>
      </c>
      <c r="F28" s="7">
        <v>505656.0</v>
      </c>
      <c r="G28" s="7">
        <v>2346802.0</v>
      </c>
      <c r="H28" s="7">
        <v>1.3434312E7</v>
      </c>
      <c r="I28" s="7">
        <v>47297.0</v>
      </c>
      <c r="J28" s="7">
        <v>46057.0</v>
      </c>
      <c r="K28" s="7">
        <v>1240.0</v>
      </c>
      <c r="L28" s="7">
        <v>18.28</v>
      </c>
      <c r="M28" s="7">
        <v>-0.17</v>
      </c>
      <c r="N28" s="7">
        <v>1767.0</v>
      </c>
      <c r="O28" s="7">
        <v>281554.0</v>
      </c>
      <c r="P28" s="7" t="s">
        <v>409</v>
      </c>
      <c r="Q28" s="7">
        <v>37.38</v>
      </c>
      <c r="R28" s="3">
        <f t="shared" si="1"/>
        <v>37.38</v>
      </c>
      <c r="S28" s="9">
        <v>44.94</v>
      </c>
      <c r="T28" s="10">
        <v>44.94</v>
      </c>
      <c r="V28" s="5">
        <f t="shared" si="2"/>
        <v>7.56</v>
      </c>
    </row>
    <row r="29" ht="22.5" customHeight="1">
      <c r="B29" s="7" t="s">
        <v>36</v>
      </c>
      <c r="C29" s="7">
        <v>1385.0</v>
      </c>
      <c r="D29" s="7">
        <v>27650.0</v>
      </c>
      <c r="E29" s="7">
        <v>396749.0</v>
      </c>
      <c r="F29" s="7">
        <v>388717.0</v>
      </c>
      <c r="G29" s="7">
        <v>857362.0</v>
      </c>
      <c r="H29" s="7">
        <v>4.7484033E7</v>
      </c>
      <c r="I29" s="7">
        <v>17200.0</v>
      </c>
      <c r="J29" s="7">
        <v>15261.0</v>
      </c>
      <c r="K29" s="7">
        <v>1939.0</v>
      </c>
      <c r="L29" s="7">
        <v>41.61</v>
      </c>
      <c r="M29" s="7">
        <v>-0.09</v>
      </c>
      <c r="N29" s="7">
        <v>2420.0</v>
      </c>
      <c r="O29" s="7">
        <v>242401.0</v>
      </c>
      <c r="P29" s="7" t="s">
        <v>409</v>
      </c>
      <c r="Q29" s="7">
        <v>38.45</v>
      </c>
      <c r="R29" s="3">
        <f t="shared" si="1"/>
        <v>38.45</v>
      </c>
      <c r="S29" s="9">
        <v>25.93</v>
      </c>
      <c r="T29" s="10">
        <v>25.93</v>
      </c>
      <c r="V29" s="5">
        <f t="shared" si="2"/>
        <v>-12.52</v>
      </c>
    </row>
    <row r="30" ht="22.5" customHeight="1">
      <c r="B30" s="7" t="s">
        <v>61</v>
      </c>
      <c r="C30" s="7">
        <v>57220.0</v>
      </c>
      <c r="D30" s="7">
        <v>568572.0</v>
      </c>
      <c r="E30" s="7">
        <v>51943.0</v>
      </c>
      <c r="F30" s="7">
        <v>49793.0</v>
      </c>
      <c r="G30" s="7">
        <v>632518.0</v>
      </c>
      <c r="H30" s="7">
        <v>5.3614883E7</v>
      </c>
      <c r="I30" s="7">
        <v>3842.0</v>
      </c>
      <c r="J30" s="7">
        <v>3693.0</v>
      </c>
      <c r="K30" s="7">
        <v>149.0</v>
      </c>
      <c r="L30" s="7">
        <v>23.85</v>
      </c>
      <c r="M30" s="7">
        <v>-0.23</v>
      </c>
      <c r="N30" s="7">
        <v>246.0</v>
      </c>
      <c r="O30" s="7">
        <v>57640.0</v>
      </c>
      <c r="P30" s="7" t="s">
        <v>409</v>
      </c>
      <c r="Q30" s="7">
        <v>38.69</v>
      </c>
      <c r="R30" s="3">
        <f t="shared" si="1"/>
        <v>38.69</v>
      </c>
      <c r="S30" s="9">
        <v>49.23</v>
      </c>
      <c r="T30" s="10">
        <v>49.23</v>
      </c>
      <c r="V30" s="5">
        <f t="shared" si="2"/>
        <v>10.54</v>
      </c>
    </row>
    <row r="31" ht="22.5" customHeight="1">
      <c r="B31" s="7" t="s">
        <v>224</v>
      </c>
      <c r="C31" s="7">
        <v>3220.0</v>
      </c>
      <c r="D31" s="7">
        <v>12314.0</v>
      </c>
      <c r="E31" s="7">
        <v>693040.0</v>
      </c>
      <c r="F31" s="7">
        <v>681587.0</v>
      </c>
      <c r="G31" s="7">
        <v>2217155.0</v>
      </c>
      <c r="H31" s="7">
        <v>5.4276764E7</v>
      </c>
      <c r="I31" s="7">
        <v>36772.0</v>
      </c>
      <c r="J31" s="7">
        <v>33253.0</v>
      </c>
      <c r="K31" s="7">
        <v>3519.0</v>
      </c>
      <c r="L31" s="7">
        <v>30.02</v>
      </c>
      <c r="M31" s="7">
        <v>-0.11</v>
      </c>
      <c r="N31" s="7">
        <v>4534.0</v>
      </c>
      <c r="O31" s="7">
        <v>297666.0</v>
      </c>
      <c r="P31" s="7" t="s">
        <v>409</v>
      </c>
      <c r="Q31" s="7">
        <v>41.14</v>
      </c>
      <c r="R31" s="3">
        <f t="shared" si="1"/>
        <v>41.14</v>
      </c>
      <c r="S31" s="9">
        <v>179.81</v>
      </c>
      <c r="T31" s="10">
        <v>179.81</v>
      </c>
      <c r="V31" s="5">
        <f t="shared" si="2"/>
        <v>138.67</v>
      </c>
    </row>
    <row r="32" ht="22.5" customHeight="1">
      <c r="B32" s="7" t="s">
        <v>44</v>
      </c>
      <c r="C32" s="7">
        <v>3738383.0</v>
      </c>
      <c r="D32" s="7">
        <v>1.6651874E7</v>
      </c>
      <c r="E32" s="7">
        <v>1833.0</v>
      </c>
      <c r="F32" s="7">
        <v>1626.0</v>
      </c>
      <c r="G32" s="7">
        <v>2108250.0</v>
      </c>
      <c r="H32" s="7">
        <v>2.3026303E7</v>
      </c>
      <c r="I32" s="7">
        <v>71.0</v>
      </c>
      <c r="J32" s="7">
        <v>71.0</v>
      </c>
      <c r="K32" s="7">
        <v>0.0</v>
      </c>
      <c r="L32" s="7">
        <v>20.67</v>
      </c>
      <c r="M32" s="7">
        <v>-0.22</v>
      </c>
      <c r="N32" s="7">
        <v>3.0</v>
      </c>
      <c r="O32" s="7">
        <v>3992.0</v>
      </c>
      <c r="P32" s="7" t="s">
        <v>409</v>
      </c>
      <c r="Q32" s="7">
        <v>43.15</v>
      </c>
      <c r="R32" s="3">
        <f t="shared" si="1"/>
        <v>43.15</v>
      </c>
      <c r="S32" s="9">
        <v>48.03</v>
      </c>
      <c r="T32" s="10">
        <v>48.03</v>
      </c>
      <c r="V32" s="5">
        <f t="shared" si="2"/>
        <v>4.88</v>
      </c>
    </row>
    <row r="33" ht="22.5" customHeight="1">
      <c r="B33" s="7" t="s">
        <v>47</v>
      </c>
      <c r="C33" s="7">
        <v>693001.0</v>
      </c>
      <c r="D33" s="7">
        <v>3661576.0</v>
      </c>
      <c r="E33" s="7">
        <v>9917.0</v>
      </c>
      <c r="F33" s="7">
        <v>9145.0</v>
      </c>
      <c r="G33" s="7">
        <v>1085765.0</v>
      </c>
      <c r="H33" s="7">
        <v>1.910612E7</v>
      </c>
      <c r="I33" s="7">
        <v>406.0</v>
      </c>
      <c r="J33" s="7">
        <v>394.0</v>
      </c>
      <c r="K33" s="7">
        <v>12.0</v>
      </c>
      <c r="L33" s="7">
        <v>30.17</v>
      </c>
      <c r="M33" s="7">
        <v>-0.2</v>
      </c>
      <c r="N33" s="7">
        <v>29.0</v>
      </c>
      <c r="O33" s="7">
        <v>801664.0</v>
      </c>
      <c r="P33" s="7" t="s">
        <v>409</v>
      </c>
      <c r="Q33" s="7">
        <v>44.83</v>
      </c>
      <c r="R33" s="3">
        <f t="shared" si="1"/>
        <v>44.83</v>
      </c>
      <c r="S33" s="9">
        <v>124.74</v>
      </c>
      <c r="T33" s="10">
        <v>124.74</v>
      </c>
      <c r="V33" s="5">
        <f t="shared" si="2"/>
        <v>79.91</v>
      </c>
    </row>
    <row r="34" ht="22.5" customHeight="1">
      <c r="B34" s="7" t="s">
        <v>41</v>
      </c>
      <c r="C34" s="7">
        <v>320.0</v>
      </c>
      <c r="D34" s="7">
        <v>1120.0</v>
      </c>
      <c r="E34" s="7">
        <v>630081.0</v>
      </c>
      <c r="F34" s="7">
        <v>614058.0</v>
      </c>
      <c r="G34" s="7">
        <v>1243368.0</v>
      </c>
      <c r="H34" s="7">
        <v>2.891393E7</v>
      </c>
      <c r="I34" s="7">
        <v>21160.0</v>
      </c>
      <c r="J34" s="7">
        <v>17846.0</v>
      </c>
      <c r="K34" s="7">
        <v>3314.0</v>
      </c>
      <c r="L34" s="7">
        <v>24.0</v>
      </c>
      <c r="M34" s="7">
        <v>-0.06</v>
      </c>
      <c r="N34" s="7">
        <v>4131.0</v>
      </c>
      <c r="O34" s="7">
        <v>302528.0</v>
      </c>
      <c r="P34" s="7" t="s">
        <v>409</v>
      </c>
      <c r="Q34" s="7">
        <v>49.08</v>
      </c>
      <c r="R34" s="3">
        <f t="shared" si="1"/>
        <v>49.08</v>
      </c>
      <c r="S34" s="9">
        <v>87.32</v>
      </c>
      <c r="T34" s="10">
        <v>87.32</v>
      </c>
      <c r="V34" s="5">
        <f t="shared" si="2"/>
        <v>38.24</v>
      </c>
    </row>
    <row r="35" ht="22.5" customHeight="1">
      <c r="B35" s="7" t="s">
        <v>46</v>
      </c>
      <c r="C35" s="7">
        <v>919562.0</v>
      </c>
      <c r="D35" s="7">
        <v>1.03439854E8</v>
      </c>
      <c r="E35" s="7">
        <v>0.0</v>
      </c>
      <c r="F35" s="7">
        <v>0.0</v>
      </c>
      <c r="G35" s="7">
        <v>0.0</v>
      </c>
      <c r="H35" s="7">
        <v>230180.0</v>
      </c>
      <c r="I35" s="7">
        <v>0.0</v>
      </c>
      <c r="J35" s="7">
        <v>0.0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 t="s">
        <v>409</v>
      </c>
      <c r="Q35" s="7">
        <v>49.55</v>
      </c>
      <c r="R35" s="3">
        <f t="shared" si="1"/>
        <v>49.55</v>
      </c>
      <c r="S35" s="9">
        <v>81.34</v>
      </c>
      <c r="T35" s="10">
        <v>81.34</v>
      </c>
      <c r="V35" s="5">
        <f t="shared" si="2"/>
        <v>31.79</v>
      </c>
    </row>
    <row r="36" ht="22.5" customHeight="1">
      <c r="B36" s="7" t="s">
        <v>49</v>
      </c>
      <c r="C36" s="7">
        <v>945.0</v>
      </c>
      <c r="D36" s="7">
        <v>61409.0</v>
      </c>
      <c r="E36" s="7">
        <v>608429.0</v>
      </c>
      <c r="F36" s="7">
        <v>593614.0</v>
      </c>
      <c r="G36" s="7">
        <v>942737.0</v>
      </c>
      <c r="H36" s="7">
        <v>5.892368E7</v>
      </c>
      <c r="I36" s="7">
        <v>23306.0</v>
      </c>
      <c r="J36" s="7">
        <v>20274.0</v>
      </c>
      <c r="K36" s="7">
        <v>3032.0</v>
      </c>
      <c r="L36" s="7">
        <v>54.0</v>
      </c>
      <c r="M36" s="7">
        <v>-0.06</v>
      </c>
      <c r="N36" s="7">
        <v>3784.0</v>
      </c>
      <c r="O36" s="7">
        <v>328678.0</v>
      </c>
      <c r="P36" s="7" t="s">
        <v>409</v>
      </c>
      <c r="Q36" s="7">
        <v>50.66</v>
      </c>
      <c r="R36" s="3">
        <f t="shared" si="1"/>
        <v>50.66</v>
      </c>
      <c r="S36" s="9">
        <v>75.77</v>
      </c>
      <c r="T36" s="10">
        <v>75.77</v>
      </c>
      <c r="V36" s="5">
        <f t="shared" si="2"/>
        <v>25.11</v>
      </c>
    </row>
    <row r="37" ht="22.5" customHeight="1">
      <c r="B37" s="7" t="s">
        <v>82</v>
      </c>
      <c r="C37" s="7">
        <v>164887.0</v>
      </c>
      <c r="D37" s="7">
        <v>759228.0</v>
      </c>
      <c r="E37" s="7">
        <v>54462.0</v>
      </c>
      <c r="F37" s="7">
        <v>51571.0</v>
      </c>
      <c r="G37" s="7">
        <v>208223.0</v>
      </c>
      <c r="H37" s="7">
        <v>1.0461561E8</v>
      </c>
      <c r="I37" s="7">
        <v>1721.0</v>
      </c>
      <c r="J37" s="7">
        <v>1552.0</v>
      </c>
      <c r="K37" s="7">
        <v>169.0</v>
      </c>
      <c r="L37" s="7">
        <v>76.95</v>
      </c>
      <c r="M37" s="7">
        <v>-0.12</v>
      </c>
      <c r="N37" s="7">
        <v>272.0</v>
      </c>
      <c r="O37" s="7">
        <v>37113.0</v>
      </c>
      <c r="P37" s="7" t="s">
        <v>409</v>
      </c>
      <c r="Q37" s="7">
        <v>57.61</v>
      </c>
      <c r="R37" s="3">
        <f t="shared" si="1"/>
        <v>57.61</v>
      </c>
      <c r="S37" s="9">
        <v>118.09</v>
      </c>
      <c r="T37" s="10">
        <v>118.09</v>
      </c>
      <c r="V37" s="5">
        <f t="shared" si="2"/>
        <v>60.48</v>
      </c>
    </row>
    <row r="38" ht="22.5" customHeight="1">
      <c r="B38" s="7" t="s">
        <v>197</v>
      </c>
      <c r="C38" s="7">
        <v>3220.0</v>
      </c>
      <c r="D38" s="7">
        <v>12314.0</v>
      </c>
      <c r="E38" s="7">
        <v>831524.0</v>
      </c>
      <c r="F38" s="7">
        <v>817947.0</v>
      </c>
      <c r="G38" s="7">
        <v>2578956.0</v>
      </c>
      <c r="H38" s="7">
        <v>6.5104878E7</v>
      </c>
      <c r="I38" s="7">
        <v>40336.0</v>
      </c>
      <c r="J38" s="7">
        <v>35362.0</v>
      </c>
      <c r="K38" s="7">
        <v>4974.0</v>
      </c>
      <c r="L38" s="7">
        <v>34.47</v>
      </c>
      <c r="M38" s="7">
        <v>-0.1</v>
      </c>
      <c r="N38" s="7">
        <v>6386.0</v>
      </c>
      <c r="O38" s="7">
        <v>298370.0</v>
      </c>
      <c r="P38" s="7" t="s">
        <v>409</v>
      </c>
      <c r="Q38" s="7">
        <v>59.29</v>
      </c>
      <c r="R38" s="3">
        <f t="shared" si="1"/>
        <v>59.29</v>
      </c>
      <c r="S38" s="9">
        <v>412.87</v>
      </c>
      <c r="T38" s="10">
        <v>412.87</v>
      </c>
      <c r="V38" s="5">
        <f t="shared" si="2"/>
        <v>353.58</v>
      </c>
    </row>
    <row r="39" ht="22.5" customHeight="1">
      <c r="B39" s="7" t="s">
        <v>29</v>
      </c>
      <c r="C39" s="7">
        <v>76668.0</v>
      </c>
      <c r="D39" s="7">
        <v>639201.0</v>
      </c>
      <c r="E39" s="7">
        <v>132206.0</v>
      </c>
      <c r="F39" s="7">
        <v>57380.0</v>
      </c>
      <c r="G39" s="7">
        <v>1687762.0</v>
      </c>
      <c r="H39" s="7">
        <v>1.95745659E8</v>
      </c>
      <c r="I39" s="7">
        <v>1439.0</v>
      </c>
      <c r="J39" s="7">
        <v>1230.0</v>
      </c>
      <c r="K39" s="7">
        <v>209.0</v>
      </c>
      <c r="L39" s="7">
        <v>1782.94</v>
      </c>
      <c r="M39" s="7">
        <v>-0.09</v>
      </c>
      <c r="N39" s="7">
        <v>304.0</v>
      </c>
      <c r="O39" s="7">
        <v>228966.0</v>
      </c>
      <c r="P39" s="7" t="s">
        <v>409</v>
      </c>
      <c r="Q39" s="7">
        <v>61.75</v>
      </c>
      <c r="R39" s="3">
        <f t="shared" si="1"/>
        <v>61.75</v>
      </c>
      <c r="S39" s="9">
        <v>38.75</v>
      </c>
      <c r="T39" s="10">
        <v>38.75</v>
      </c>
      <c r="V39" s="5">
        <f t="shared" si="2"/>
        <v>-23</v>
      </c>
    </row>
    <row r="40" ht="22.5" customHeight="1">
      <c r="B40" s="7" t="s">
        <v>60</v>
      </c>
      <c r="C40" s="7">
        <v>110108.0</v>
      </c>
      <c r="D40" s="7">
        <v>506718.0</v>
      </c>
      <c r="E40" s="7">
        <v>52888.0</v>
      </c>
      <c r="F40" s="7">
        <v>50014.0</v>
      </c>
      <c r="G40" s="7">
        <v>176982.0</v>
      </c>
      <c r="H40" s="7">
        <v>1.64406783E8</v>
      </c>
      <c r="I40" s="7">
        <v>1306.0</v>
      </c>
      <c r="J40" s="7">
        <v>1104.0</v>
      </c>
      <c r="K40" s="7">
        <v>202.0</v>
      </c>
      <c r="L40" s="7">
        <v>61.25</v>
      </c>
      <c r="M40" s="7">
        <v>-0.11</v>
      </c>
      <c r="N40" s="7">
        <v>300.0</v>
      </c>
      <c r="O40" s="7">
        <v>36534.0</v>
      </c>
      <c r="P40" s="7" t="s">
        <v>409</v>
      </c>
      <c r="Q40" s="7">
        <v>63.35</v>
      </c>
      <c r="R40" s="3">
        <f t="shared" si="1"/>
        <v>63.35</v>
      </c>
      <c r="S40" s="9">
        <v>26.91</v>
      </c>
      <c r="T40" s="10">
        <v>26.91</v>
      </c>
      <c r="V40" s="5">
        <f t="shared" si="2"/>
        <v>-36.44</v>
      </c>
    </row>
    <row r="41" ht="22.5" customHeight="1">
      <c r="B41" s="7" t="s">
        <v>153</v>
      </c>
      <c r="C41" s="7">
        <v>895.0</v>
      </c>
      <c r="D41" s="7">
        <v>20751.0</v>
      </c>
      <c r="E41" s="7">
        <v>547083.0</v>
      </c>
      <c r="F41" s="7">
        <v>541382.0</v>
      </c>
      <c r="G41" s="7">
        <v>1028938.0</v>
      </c>
      <c r="H41" s="7">
        <v>4.5300731E7</v>
      </c>
      <c r="I41" s="7">
        <v>36638.0</v>
      </c>
      <c r="J41" s="7">
        <v>34005.0</v>
      </c>
      <c r="K41" s="7">
        <v>2633.0</v>
      </c>
      <c r="L41" s="7">
        <v>24.49</v>
      </c>
      <c r="M41" s="7">
        <v>-0.08</v>
      </c>
      <c r="N41" s="7">
        <v>3206.0</v>
      </c>
      <c r="O41" s="7">
        <v>267181.0</v>
      </c>
      <c r="P41" s="7" t="s">
        <v>409</v>
      </c>
      <c r="Q41" s="7">
        <v>64.48</v>
      </c>
      <c r="R41" s="3">
        <f t="shared" si="1"/>
        <v>64.48</v>
      </c>
      <c r="S41" s="9">
        <v>425.64</v>
      </c>
      <c r="T41" s="10">
        <v>425.64</v>
      </c>
      <c r="V41" s="5">
        <f t="shared" si="2"/>
        <v>361.16</v>
      </c>
    </row>
    <row r="42" ht="22.5" customHeight="1">
      <c r="B42" s="7" t="s">
        <v>43</v>
      </c>
      <c r="C42" s="7">
        <v>2441.0</v>
      </c>
      <c r="D42" s="7">
        <v>15733.0</v>
      </c>
      <c r="E42" s="7">
        <v>745043.0</v>
      </c>
      <c r="F42" s="7">
        <v>733056.0</v>
      </c>
      <c r="G42" s="7">
        <v>1196702.0</v>
      </c>
      <c r="H42" s="7">
        <v>5.090874E7</v>
      </c>
      <c r="I42" s="7">
        <v>26846.0</v>
      </c>
      <c r="J42" s="7">
        <v>21995.0</v>
      </c>
      <c r="K42" s="7">
        <v>4851.0</v>
      </c>
      <c r="L42" s="7">
        <v>26.47</v>
      </c>
      <c r="M42" s="7">
        <v>-0.06</v>
      </c>
      <c r="N42" s="7">
        <v>5980.0</v>
      </c>
      <c r="O42" s="7">
        <v>322317.0</v>
      </c>
      <c r="P42" s="7" t="s">
        <v>410</v>
      </c>
      <c r="Q42" s="7">
        <v>72.61</v>
      </c>
      <c r="R42" s="3">
        <f t="shared" si="1"/>
        <v>72.61</v>
      </c>
      <c r="S42" s="9">
        <v>62.51</v>
      </c>
      <c r="T42" s="10">
        <v>62.51</v>
      </c>
      <c r="V42" s="5">
        <f t="shared" si="2"/>
        <v>-10.1</v>
      </c>
    </row>
    <row r="43" ht="22.5" customHeight="1">
      <c r="B43" s="7" t="s">
        <v>79</v>
      </c>
      <c r="C43" s="7">
        <v>18607.0</v>
      </c>
      <c r="D43" s="7">
        <v>55720.0</v>
      </c>
      <c r="E43" s="7">
        <v>336966.0</v>
      </c>
      <c r="F43" s="7">
        <v>331413.0</v>
      </c>
      <c r="G43" s="7">
        <v>794050.0</v>
      </c>
      <c r="H43" s="7">
        <v>1.4618505E8</v>
      </c>
      <c r="I43" s="7">
        <v>18334.0</v>
      </c>
      <c r="J43" s="7">
        <v>16338.0</v>
      </c>
      <c r="K43" s="7">
        <v>1996.0</v>
      </c>
      <c r="L43" s="7">
        <v>33.65</v>
      </c>
      <c r="M43" s="7">
        <v>-0.09</v>
      </c>
      <c r="N43" s="7">
        <v>2476.0</v>
      </c>
      <c r="O43" s="7">
        <v>141333.0</v>
      </c>
      <c r="P43" s="7" t="s">
        <v>410</v>
      </c>
      <c r="Q43" s="7">
        <v>72.78</v>
      </c>
      <c r="R43" s="3">
        <f t="shared" si="1"/>
        <v>72.78</v>
      </c>
      <c r="S43" s="9">
        <v>102.96</v>
      </c>
      <c r="T43" s="10">
        <v>102.96</v>
      </c>
      <c r="V43" s="5">
        <f t="shared" si="2"/>
        <v>30.18</v>
      </c>
    </row>
    <row r="44" ht="22.5" customHeight="1">
      <c r="B44" s="7" t="s">
        <v>53</v>
      </c>
      <c r="C44" s="7">
        <v>15254.0</v>
      </c>
      <c r="D44" s="7">
        <v>68087.0</v>
      </c>
      <c r="E44" s="7">
        <v>841832.0</v>
      </c>
      <c r="F44" s="7">
        <v>834499.0</v>
      </c>
      <c r="G44" s="7">
        <v>1165929.0</v>
      </c>
      <c r="H44" s="7">
        <v>1.29722871E8</v>
      </c>
      <c r="I44" s="7">
        <v>34766.0</v>
      </c>
      <c r="J44" s="7">
        <v>27386.0</v>
      </c>
      <c r="K44" s="7">
        <v>7380.0</v>
      </c>
      <c r="L44" s="7">
        <v>25.7</v>
      </c>
      <c r="M44" s="7">
        <v>-0.04</v>
      </c>
      <c r="N44" s="7">
        <v>8727.0</v>
      </c>
      <c r="O44" s="7">
        <v>272783.0</v>
      </c>
      <c r="P44" s="7" t="s">
        <v>410</v>
      </c>
      <c r="Q44" s="7">
        <v>73.48</v>
      </c>
      <c r="R44" s="3">
        <f t="shared" si="1"/>
        <v>73.48</v>
      </c>
      <c r="S44" s="9">
        <v>78.45</v>
      </c>
      <c r="T44" s="10">
        <v>78.45</v>
      </c>
      <c r="V44" s="5">
        <f t="shared" si="2"/>
        <v>4.97</v>
      </c>
    </row>
    <row r="45" ht="22.5" customHeight="1">
      <c r="B45" s="7" t="s">
        <v>71</v>
      </c>
      <c r="C45" s="7">
        <v>3073.0</v>
      </c>
      <c r="D45" s="7">
        <v>19636.0</v>
      </c>
      <c r="E45" s="7">
        <v>527234.0</v>
      </c>
      <c r="F45" s="7">
        <v>521072.0</v>
      </c>
      <c r="G45" s="7">
        <v>935102.0</v>
      </c>
      <c r="H45" s="7">
        <v>1.42717545E8</v>
      </c>
      <c r="I45" s="7">
        <v>30418.0</v>
      </c>
      <c r="J45" s="7">
        <v>27405.0</v>
      </c>
      <c r="K45" s="7">
        <v>3013.0</v>
      </c>
      <c r="L45" s="7">
        <v>27.1</v>
      </c>
      <c r="M45" s="7">
        <v>-0.08</v>
      </c>
      <c r="N45" s="7">
        <v>3505.0</v>
      </c>
      <c r="O45" s="7">
        <v>286052.0</v>
      </c>
      <c r="P45" s="7" t="s">
        <v>409</v>
      </c>
      <c r="Q45" s="7">
        <v>74.79</v>
      </c>
      <c r="R45" s="3">
        <f t="shared" si="1"/>
        <v>74.79</v>
      </c>
      <c r="S45" s="9">
        <v>241.97</v>
      </c>
      <c r="T45" s="10">
        <v>241.97</v>
      </c>
      <c r="V45" s="5">
        <f t="shared" si="2"/>
        <v>167.18</v>
      </c>
    </row>
    <row r="46" ht="22.5" customHeight="1">
      <c r="B46" s="7" t="s">
        <v>51</v>
      </c>
      <c r="C46" s="7">
        <v>66201.0</v>
      </c>
      <c r="D46" s="7">
        <v>915628.0</v>
      </c>
      <c r="E46" s="7">
        <v>148325.0</v>
      </c>
      <c r="F46" s="7">
        <v>143046.0</v>
      </c>
      <c r="G46" s="7">
        <v>3317452.0</v>
      </c>
      <c r="H46" s="7">
        <v>8.3130084E7</v>
      </c>
      <c r="I46" s="7">
        <v>9155.0</v>
      </c>
      <c r="J46" s="7">
        <v>8920.0</v>
      </c>
      <c r="K46" s="7">
        <v>235.0</v>
      </c>
      <c r="L46" s="7">
        <v>12.06</v>
      </c>
      <c r="M46" s="7">
        <v>-0.26</v>
      </c>
      <c r="N46" s="7">
        <v>436.0</v>
      </c>
      <c r="O46" s="7">
        <v>901389.0</v>
      </c>
      <c r="P46" s="7" t="s">
        <v>409</v>
      </c>
      <c r="Q46" s="7">
        <v>80.15</v>
      </c>
      <c r="R46" s="3">
        <f t="shared" si="1"/>
        <v>80.15</v>
      </c>
      <c r="S46" s="9">
        <v>29.18</v>
      </c>
      <c r="T46" s="10">
        <v>29.18</v>
      </c>
      <c r="V46" s="5">
        <f t="shared" si="2"/>
        <v>-50.97</v>
      </c>
    </row>
    <row r="47" ht="22.5" customHeight="1">
      <c r="B47" s="7" t="s">
        <v>38</v>
      </c>
      <c r="C47" s="7">
        <v>679.0</v>
      </c>
      <c r="D47" s="7">
        <v>18374.0</v>
      </c>
      <c r="E47" s="7">
        <v>546533.0</v>
      </c>
      <c r="F47" s="7">
        <v>540927.0</v>
      </c>
      <c r="G47" s="7">
        <v>1026042.0</v>
      </c>
      <c r="H47" s="7">
        <v>4.5058074E7</v>
      </c>
      <c r="I47" s="7">
        <v>39321.0</v>
      </c>
      <c r="J47" s="7">
        <v>36205.0</v>
      </c>
      <c r="K47" s="7">
        <v>3116.0</v>
      </c>
      <c r="L47" s="7">
        <v>20.89</v>
      </c>
      <c r="M47" s="7">
        <v>-0.09</v>
      </c>
      <c r="N47" s="7">
        <v>3665.0</v>
      </c>
      <c r="O47" s="7">
        <v>259269.0</v>
      </c>
      <c r="P47" s="7" t="s">
        <v>409</v>
      </c>
      <c r="Q47" s="7">
        <v>80.97</v>
      </c>
      <c r="R47" s="3">
        <f t="shared" si="1"/>
        <v>80.97</v>
      </c>
      <c r="S47" s="9">
        <v>116.79</v>
      </c>
      <c r="T47" s="10">
        <v>116.79</v>
      </c>
      <c r="V47" s="5">
        <f t="shared" si="2"/>
        <v>35.82</v>
      </c>
    </row>
    <row r="48" ht="22.5" customHeight="1">
      <c r="B48" s="7" t="s">
        <v>115</v>
      </c>
      <c r="C48" s="7">
        <v>3073.0</v>
      </c>
      <c r="D48" s="7">
        <v>19610.0</v>
      </c>
      <c r="E48" s="7">
        <v>541379.0</v>
      </c>
      <c r="F48" s="7">
        <v>534835.0</v>
      </c>
      <c r="G48" s="7">
        <v>971441.0</v>
      </c>
      <c r="H48" s="7">
        <v>1.45364963E8</v>
      </c>
      <c r="I48" s="7">
        <v>32692.0</v>
      </c>
      <c r="J48" s="7">
        <v>29373.0</v>
      </c>
      <c r="K48" s="7">
        <v>3319.0</v>
      </c>
      <c r="L48" s="7">
        <v>26.41</v>
      </c>
      <c r="M48" s="7">
        <v>-0.08</v>
      </c>
      <c r="N48" s="7">
        <v>3844.0</v>
      </c>
      <c r="O48" s="7">
        <v>281857.0</v>
      </c>
      <c r="P48" s="7" t="s">
        <v>409</v>
      </c>
      <c r="Q48" s="7">
        <v>83.42</v>
      </c>
      <c r="R48" s="3">
        <f t="shared" si="1"/>
        <v>83.42</v>
      </c>
      <c r="S48" s="9">
        <v>37.71</v>
      </c>
      <c r="T48" s="10">
        <v>37.71</v>
      </c>
      <c r="V48" s="5">
        <f t="shared" si="2"/>
        <v>-45.71</v>
      </c>
    </row>
    <row r="49" ht="22.5" customHeight="1">
      <c r="B49" s="7" t="s">
        <v>52</v>
      </c>
      <c r="C49" s="7">
        <v>97675.0</v>
      </c>
      <c r="D49" s="7">
        <v>809532.0</v>
      </c>
      <c r="E49" s="7">
        <v>181103.0</v>
      </c>
      <c r="F49" s="7">
        <v>78422.0</v>
      </c>
      <c r="G49" s="7">
        <v>2460215.0</v>
      </c>
      <c r="H49" s="7">
        <v>3.01773175E8</v>
      </c>
      <c r="I49" s="7">
        <v>1741.0</v>
      </c>
      <c r="J49" s="7">
        <v>1199.0</v>
      </c>
      <c r="K49" s="7">
        <v>542.0</v>
      </c>
      <c r="L49" s="7">
        <v>1830.28</v>
      </c>
      <c r="M49" s="7">
        <v>-0.08</v>
      </c>
      <c r="N49" s="7">
        <v>722.0</v>
      </c>
      <c r="O49" s="7">
        <v>257108.0</v>
      </c>
      <c r="P49" s="7" t="s">
        <v>409</v>
      </c>
      <c r="Q49" s="7">
        <v>94.6</v>
      </c>
      <c r="R49" s="3">
        <f t="shared" si="1"/>
        <v>94.6</v>
      </c>
      <c r="S49" s="9">
        <v>116.34</v>
      </c>
      <c r="T49" s="10">
        <v>116.34</v>
      </c>
      <c r="V49" s="5">
        <f t="shared" si="2"/>
        <v>21.74</v>
      </c>
    </row>
    <row r="50" ht="22.5" customHeight="1">
      <c r="B50" s="7" t="s">
        <v>59</v>
      </c>
      <c r="C50" s="7">
        <v>2200.0</v>
      </c>
      <c r="D50" s="7">
        <v>9086.0</v>
      </c>
      <c r="E50" s="7">
        <v>741897.0</v>
      </c>
      <c r="F50" s="7">
        <v>721543.0</v>
      </c>
      <c r="G50" s="7">
        <v>2010180.0</v>
      </c>
      <c r="H50" s="7">
        <v>1.40509767E8</v>
      </c>
      <c r="I50" s="7">
        <v>43231.0</v>
      </c>
      <c r="J50" s="7">
        <v>39131.0</v>
      </c>
      <c r="K50" s="7">
        <v>4100.0</v>
      </c>
      <c r="L50" s="7">
        <v>25.73</v>
      </c>
      <c r="M50" s="7">
        <v>-0.11</v>
      </c>
      <c r="N50" s="7">
        <v>5248.0</v>
      </c>
      <c r="O50" s="7">
        <v>267391.0</v>
      </c>
      <c r="P50" s="7" t="s">
        <v>409</v>
      </c>
      <c r="Q50" s="7">
        <v>96.34</v>
      </c>
      <c r="R50" s="3">
        <f t="shared" si="1"/>
        <v>96.34</v>
      </c>
      <c r="S50" s="9">
        <v>678.81</v>
      </c>
      <c r="T50" s="10">
        <v>678.81</v>
      </c>
      <c r="V50" s="5">
        <f t="shared" si="2"/>
        <v>582.47</v>
      </c>
    </row>
    <row r="51" ht="22.5" customHeight="1">
      <c r="B51" s="7" t="s">
        <v>186</v>
      </c>
      <c r="C51" s="7">
        <v>189456.0</v>
      </c>
      <c r="D51" s="7">
        <v>835275.0</v>
      </c>
      <c r="E51" s="7">
        <v>146195.0</v>
      </c>
      <c r="F51" s="7">
        <v>126963.0</v>
      </c>
      <c r="G51" s="7">
        <v>1639102.0</v>
      </c>
      <c r="H51" s="7">
        <v>3.76978368E8</v>
      </c>
      <c r="I51" s="7">
        <v>5286.0</v>
      </c>
      <c r="J51" s="7">
        <v>4873.0</v>
      </c>
      <c r="K51" s="7">
        <v>413.0</v>
      </c>
      <c r="L51" s="7">
        <v>350.04</v>
      </c>
      <c r="M51" s="7">
        <v>-0.12</v>
      </c>
      <c r="N51" s="7">
        <v>596.0</v>
      </c>
      <c r="O51" s="7">
        <v>154140.0</v>
      </c>
      <c r="P51" s="7" t="s">
        <v>409</v>
      </c>
      <c r="Q51" s="7">
        <v>98.0</v>
      </c>
      <c r="R51" s="3">
        <f t="shared" si="1"/>
        <v>98</v>
      </c>
      <c r="S51" s="9">
        <v>344.06</v>
      </c>
      <c r="T51" s="10">
        <v>344.06</v>
      </c>
      <c r="V51" s="5">
        <f t="shared" si="2"/>
        <v>246.06</v>
      </c>
    </row>
    <row r="52" ht="22.5" customHeight="1">
      <c r="B52" s="7" t="s">
        <v>67</v>
      </c>
      <c r="C52" s="7">
        <v>110079.0</v>
      </c>
      <c r="D52" s="7">
        <v>506624.0</v>
      </c>
      <c r="E52" s="7">
        <v>101556.0</v>
      </c>
      <c r="F52" s="7">
        <v>96599.0</v>
      </c>
      <c r="G52" s="7">
        <v>354035.0</v>
      </c>
      <c r="H52" s="7">
        <v>2.69182968E8</v>
      </c>
      <c r="I52" s="7">
        <v>4026.0</v>
      </c>
      <c r="J52" s="7">
        <v>3743.0</v>
      </c>
      <c r="K52" s="7">
        <v>283.0</v>
      </c>
      <c r="L52" s="7">
        <v>78.09</v>
      </c>
      <c r="M52" s="7">
        <v>-0.14</v>
      </c>
      <c r="N52" s="7">
        <v>410.0</v>
      </c>
      <c r="O52" s="7">
        <v>87618.0</v>
      </c>
      <c r="P52" s="7" t="s">
        <v>409</v>
      </c>
      <c r="Q52" s="7">
        <v>103.9</v>
      </c>
      <c r="R52" s="3">
        <f t="shared" si="1"/>
        <v>103.9</v>
      </c>
      <c r="S52" s="9">
        <v>78.13</v>
      </c>
      <c r="T52" s="10">
        <v>78.13</v>
      </c>
      <c r="V52" s="5">
        <f t="shared" si="2"/>
        <v>-25.77</v>
      </c>
    </row>
    <row r="53" ht="22.5" customHeight="1">
      <c r="B53" s="7" t="s">
        <v>54</v>
      </c>
      <c r="C53" s="7">
        <v>7807714.0</v>
      </c>
      <c r="D53" s="7">
        <v>3.59743E7</v>
      </c>
      <c r="E53" s="7">
        <v>1322.0</v>
      </c>
      <c r="F53" s="7">
        <v>1222.0</v>
      </c>
      <c r="G53" s="7">
        <v>2744543.0</v>
      </c>
      <c r="H53" s="7">
        <v>3.3737143E7</v>
      </c>
      <c r="I53" s="7">
        <v>70.0</v>
      </c>
      <c r="J53" s="7">
        <v>70.0</v>
      </c>
      <c r="K53" s="7">
        <v>0.0</v>
      </c>
      <c r="L53" s="7">
        <v>15.74</v>
      </c>
      <c r="M53" s="7">
        <v>-0.27</v>
      </c>
      <c r="N53" s="7">
        <v>2.0</v>
      </c>
      <c r="O53" s="7">
        <v>13679.0</v>
      </c>
      <c r="P53" s="7" t="s">
        <v>409</v>
      </c>
      <c r="Q53" s="7">
        <v>103.98</v>
      </c>
      <c r="R53" s="3">
        <f t="shared" si="1"/>
        <v>103.98</v>
      </c>
      <c r="S53" s="9">
        <v>84.52</v>
      </c>
      <c r="T53" s="10">
        <v>84.52</v>
      </c>
      <c r="V53" s="5">
        <f t="shared" si="2"/>
        <v>-19.46</v>
      </c>
    </row>
    <row r="54" ht="22.5" customHeight="1">
      <c r="B54" s="7" t="s">
        <v>149</v>
      </c>
      <c r="C54" s="7">
        <v>6658.0</v>
      </c>
      <c r="D54" s="7">
        <v>31911.0</v>
      </c>
      <c r="E54" s="7">
        <v>399191.0</v>
      </c>
      <c r="F54" s="7">
        <v>399015.0</v>
      </c>
      <c r="G54" s="7">
        <v>405761.0</v>
      </c>
      <c r="H54" s="7">
        <v>4.79588967E8</v>
      </c>
      <c r="I54" s="7">
        <v>11468.0</v>
      </c>
      <c r="J54" s="7">
        <v>8498.0</v>
      </c>
      <c r="K54" s="7">
        <v>2970.0</v>
      </c>
      <c r="L54" s="7">
        <v>22.63</v>
      </c>
      <c r="M54" s="7">
        <v>0.0</v>
      </c>
      <c r="N54" s="7">
        <v>3415.0</v>
      </c>
      <c r="O54" s="7">
        <v>205612.0</v>
      </c>
      <c r="P54" s="7" t="s">
        <v>409</v>
      </c>
      <c r="Q54" s="7">
        <v>107.78</v>
      </c>
      <c r="R54" s="3">
        <f t="shared" si="1"/>
        <v>107.78</v>
      </c>
      <c r="S54" s="9">
        <v>597.02</v>
      </c>
      <c r="T54" s="10">
        <v>597.02</v>
      </c>
      <c r="V54" s="5">
        <f t="shared" si="2"/>
        <v>489.24</v>
      </c>
    </row>
    <row r="55" ht="22.5" customHeight="1">
      <c r="B55" s="7" t="s">
        <v>171</v>
      </c>
      <c r="C55" s="7">
        <v>6658.0</v>
      </c>
      <c r="D55" s="7">
        <v>31911.0</v>
      </c>
      <c r="E55" s="7">
        <v>399191.0</v>
      </c>
      <c r="F55" s="7">
        <v>399015.0</v>
      </c>
      <c r="G55" s="7">
        <v>405761.0</v>
      </c>
      <c r="H55" s="7">
        <v>4.79588967E8</v>
      </c>
      <c r="I55" s="7">
        <v>11468.0</v>
      </c>
      <c r="J55" s="7">
        <v>8498.0</v>
      </c>
      <c r="K55" s="7">
        <v>2970.0</v>
      </c>
      <c r="L55" s="7">
        <v>22.63</v>
      </c>
      <c r="M55" s="7">
        <v>0.0</v>
      </c>
      <c r="N55" s="7">
        <v>3415.0</v>
      </c>
      <c r="O55" s="7">
        <v>205612.0</v>
      </c>
      <c r="P55" s="7" t="s">
        <v>409</v>
      </c>
      <c r="Q55" s="7">
        <v>115.8</v>
      </c>
      <c r="R55" s="3">
        <f t="shared" si="1"/>
        <v>115.8</v>
      </c>
      <c r="S55" s="9">
        <v>596.8</v>
      </c>
      <c r="T55" s="10">
        <v>596.8</v>
      </c>
      <c r="V55" s="5">
        <f t="shared" si="2"/>
        <v>481</v>
      </c>
    </row>
    <row r="56" ht="22.5" customHeight="1">
      <c r="B56" s="7" t="s">
        <v>42</v>
      </c>
      <c r="C56" s="7">
        <v>76943.0</v>
      </c>
      <c r="D56" s="7">
        <v>231299.0</v>
      </c>
      <c r="E56" s="7">
        <v>610038.0</v>
      </c>
      <c r="F56" s="7">
        <v>595872.0</v>
      </c>
      <c r="G56" s="7">
        <v>2997596.0</v>
      </c>
      <c r="H56" s="7">
        <v>3.08475315E8</v>
      </c>
      <c r="I56" s="7">
        <v>46412.0</v>
      </c>
      <c r="J56" s="7">
        <v>44064.0</v>
      </c>
      <c r="K56" s="7">
        <v>2348.0</v>
      </c>
      <c r="L56" s="7">
        <v>40.65</v>
      </c>
      <c r="M56" s="7">
        <v>-0.17</v>
      </c>
      <c r="N56" s="7">
        <v>3138.0</v>
      </c>
      <c r="O56" s="7">
        <v>368627.0</v>
      </c>
      <c r="P56" s="7" t="s">
        <v>409</v>
      </c>
      <c r="Q56" s="7">
        <v>118.35</v>
      </c>
      <c r="R56" s="3">
        <f t="shared" si="1"/>
        <v>118.35</v>
      </c>
      <c r="S56" s="9">
        <v>181.03</v>
      </c>
      <c r="T56" s="10">
        <v>181.03</v>
      </c>
      <c r="V56" s="5">
        <f t="shared" si="2"/>
        <v>62.68</v>
      </c>
    </row>
    <row r="57" ht="22.5" customHeight="1">
      <c r="B57" s="7" t="s">
        <v>108</v>
      </c>
      <c r="C57" s="7">
        <v>33721.0</v>
      </c>
      <c r="D57" s="7">
        <v>157681.0</v>
      </c>
      <c r="E57" s="7">
        <v>764255.0</v>
      </c>
      <c r="F57" s="7">
        <v>732432.0</v>
      </c>
      <c r="G57" s="7">
        <v>3395722.0</v>
      </c>
      <c r="H57" s="7">
        <v>2.81429171E8</v>
      </c>
      <c r="I57" s="7">
        <v>22539.0</v>
      </c>
      <c r="J57" s="7">
        <v>19383.0</v>
      </c>
      <c r="K57" s="7">
        <v>3156.0</v>
      </c>
      <c r="L57" s="7">
        <v>66.37</v>
      </c>
      <c r="M57" s="7">
        <v>-0.11</v>
      </c>
      <c r="N57" s="7">
        <v>4417.0</v>
      </c>
      <c r="O57" s="7">
        <v>487023.0</v>
      </c>
      <c r="P57" s="7" t="s">
        <v>409</v>
      </c>
      <c r="Q57" s="7">
        <v>119.04</v>
      </c>
      <c r="R57" s="3">
        <f t="shared" si="1"/>
        <v>119.04</v>
      </c>
      <c r="S57" s="9">
        <v>249.77</v>
      </c>
      <c r="T57" s="10">
        <v>249.77</v>
      </c>
      <c r="V57" s="5">
        <f t="shared" si="2"/>
        <v>130.73</v>
      </c>
    </row>
    <row r="58" ht="22.5" customHeight="1">
      <c r="B58" s="7" t="s">
        <v>35</v>
      </c>
      <c r="C58" s="7">
        <v>679.0</v>
      </c>
      <c r="D58" s="7">
        <v>18401.0</v>
      </c>
      <c r="E58" s="7">
        <v>821828.0</v>
      </c>
      <c r="F58" s="7">
        <v>815610.0</v>
      </c>
      <c r="G58" s="7">
        <v>1268782.0</v>
      </c>
      <c r="H58" s="7">
        <v>7.808686E7</v>
      </c>
      <c r="I58" s="7">
        <v>40451.0</v>
      </c>
      <c r="J58" s="7">
        <v>33594.0</v>
      </c>
      <c r="K58" s="7">
        <v>6857.0</v>
      </c>
      <c r="L58" s="7">
        <v>21.04</v>
      </c>
      <c r="M58" s="7">
        <v>-0.06</v>
      </c>
      <c r="N58" s="7">
        <v>8160.0</v>
      </c>
      <c r="O58" s="7">
        <v>263725.0</v>
      </c>
      <c r="P58" s="7" t="s">
        <v>409</v>
      </c>
      <c r="Q58" s="7">
        <v>137.84</v>
      </c>
      <c r="R58" s="3">
        <f t="shared" si="1"/>
        <v>137.84</v>
      </c>
      <c r="S58" s="9">
        <v>312.0</v>
      </c>
      <c r="T58" s="10">
        <v>312.0</v>
      </c>
      <c r="V58" s="5">
        <f t="shared" si="2"/>
        <v>174.16</v>
      </c>
    </row>
    <row r="59" ht="22.5" customHeight="1">
      <c r="B59" s="7" t="s">
        <v>236</v>
      </c>
      <c r="C59" s="7">
        <v>180.0</v>
      </c>
      <c r="D59" s="7">
        <v>432.0</v>
      </c>
      <c r="E59" s="7">
        <v>1647191.0</v>
      </c>
      <c r="F59" s="7">
        <v>1619057.0</v>
      </c>
      <c r="G59" s="7">
        <v>2806023.0</v>
      </c>
      <c r="H59" s="7">
        <v>4.3532945E7</v>
      </c>
      <c r="I59" s="7">
        <v>74008.0</v>
      </c>
      <c r="J59" s="7">
        <v>65346.0</v>
      </c>
      <c r="K59" s="7">
        <v>8662.0</v>
      </c>
      <c r="L59" s="7">
        <v>22.71</v>
      </c>
      <c r="M59" s="7">
        <v>-0.06</v>
      </c>
      <c r="N59" s="7">
        <v>10548.0</v>
      </c>
      <c r="O59" s="7">
        <v>800647.0</v>
      </c>
      <c r="P59" s="7" t="s">
        <v>409</v>
      </c>
      <c r="Q59" s="7">
        <v>140.37</v>
      </c>
      <c r="R59" s="3">
        <f t="shared" si="1"/>
        <v>140.37</v>
      </c>
      <c r="S59" s="9">
        <v>2507.26</v>
      </c>
      <c r="T59" s="10">
        <v>2507.26</v>
      </c>
      <c r="V59" s="5">
        <f t="shared" si="2"/>
        <v>2366.89</v>
      </c>
    </row>
    <row r="60" ht="22.5" customHeight="1">
      <c r="B60" s="7" t="s">
        <v>86</v>
      </c>
      <c r="C60" s="7">
        <v>139915.0</v>
      </c>
      <c r="D60" s="7">
        <v>590682.0</v>
      </c>
      <c r="E60" s="7">
        <v>460152.0</v>
      </c>
      <c r="F60" s="7">
        <v>434686.0</v>
      </c>
      <c r="G60" s="7">
        <v>1892326.0</v>
      </c>
      <c r="H60" s="7">
        <v>2.92929551E8</v>
      </c>
      <c r="I60" s="7">
        <v>21706.0</v>
      </c>
      <c r="J60" s="7">
        <v>20900.0</v>
      </c>
      <c r="K60" s="7">
        <v>806.0</v>
      </c>
      <c r="L60" s="7">
        <v>34.76</v>
      </c>
      <c r="M60" s="7">
        <v>-0.17</v>
      </c>
      <c r="N60" s="7">
        <v>1334.0</v>
      </c>
      <c r="O60" s="7">
        <v>428859.0</v>
      </c>
      <c r="P60" s="7" t="s">
        <v>410</v>
      </c>
      <c r="Q60" s="7">
        <v>145.96</v>
      </c>
      <c r="R60" s="3">
        <f t="shared" si="1"/>
        <v>145.96</v>
      </c>
      <c r="S60" s="9">
        <v>190.55</v>
      </c>
      <c r="T60" s="10">
        <v>190.55</v>
      </c>
      <c r="V60" s="5">
        <f t="shared" si="2"/>
        <v>44.59</v>
      </c>
    </row>
    <row r="61" ht="22.5" customHeight="1">
      <c r="B61" s="7" t="s">
        <v>64</v>
      </c>
      <c r="C61" s="7">
        <v>11137.0</v>
      </c>
      <c r="D61" s="7">
        <v>29956.0</v>
      </c>
      <c r="E61" s="7">
        <v>1774125.0</v>
      </c>
      <c r="F61" s="7">
        <v>1747846.0</v>
      </c>
      <c r="G61" s="7">
        <v>2745072.0</v>
      </c>
      <c r="H61" s="7">
        <v>2.0223467E8</v>
      </c>
      <c r="I61" s="7">
        <v>78032.0</v>
      </c>
      <c r="J61" s="7">
        <v>69803.0</v>
      </c>
      <c r="K61" s="7">
        <v>8229.0</v>
      </c>
      <c r="L61" s="7">
        <v>19.88</v>
      </c>
      <c r="M61" s="7">
        <v>-0.06</v>
      </c>
      <c r="N61" s="7">
        <v>10130.0</v>
      </c>
      <c r="O61" s="7">
        <v>945499.0</v>
      </c>
      <c r="P61" s="7" t="s">
        <v>410</v>
      </c>
      <c r="Q61" s="7">
        <v>146.55</v>
      </c>
      <c r="R61" s="3">
        <f t="shared" si="1"/>
        <v>146.55</v>
      </c>
      <c r="S61" s="9">
        <v>113.23</v>
      </c>
      <c r="T61" s="10">
        <v>113.23</v>
      </c>
      <c r="V61" s="5">
        <f t="shared" si="2"/>
        <v>-33.32</v>
      </c>
    </row>
    <row r="62" ht="22.5" customHeight="1">
      <c r="B62" s="7" t="s">
        <v>87</v>
      </c>
      <c r="C62" s="7">
        <v>11785.0</v>
      </c>
      <c r="D62" s="7">
        <v>35160.0</v>
      </c>
      <c r="E62" s="7">
        <v>1343569.0</v>
      </c>
      <c r="F62" s="7">
        <v>1315049.0</v>
      </c>
      <c r="G62" s="7">
        <v>3242774.0</v>
      </c>
      <c r="H62" s="7">
        <v>2.48865586E8</v>
      </c>
      <c r="I62" s="7">
        <v>74631.0</v>
      </c>
      <c r="J62" s="7">
        <v>67406.0</v>
      </c>
      <c r="K62" s="7">
        <v>7225.0</v>
      </c>
      <c r="L62" s="7">
        <v>27.2</v>
      </c>
      <c r="M62" s="7">
        <v>-0.11</v>
      </c>
      <c r="N62" s="7">
        <v>9170.0</v>
      </c>
      <c r="O62" s="7">
        <v>574273.0</v>
      </c>
      <c r="P62" s="7" t="s">
        <v>410</v>
      </c>
      <c r="Q62" s="7">
        <v>148.68</v>
      </c>
      <c r="R62" s="3">
        <f t="shared" si="1"/>
        <v>148.68</v>
      </c>
      <c r="S62" s="9">
        <v>309.24</v>
      </c>
      <c r="T62" s="10">
        <v>309.24</v>
      </c>
      <c r="V62" s="5">
        <f t="shared" si="2"/>
        <v>160.56</v>
      </c>
    </row>
    <row r="63" ht="22.5" customHeight="1">
      <c r="B63" s="7" t="s">
        <v>45</v>
      </c>
      <c r="C63" s="7">
        <v>895.0</v>
      </c>
      <c r="D63" s="7">
        <v>20847.0</v>
      </c>
      <c r="E63" s="7">
        <v>903681.0</v>
      </c>
      <c r="F63" s="7">
        <v>896334.0</v>
      </c>
      <c r="G63" s="7">
        <v>1416556.0</v>
      </c>
      <c r="H63" s="7">
        <v>9.7084109E7</v>
      </c>
      <c r="I63" s="7">
        <v>41346.0</v>
      </c>
      <c r="J63" s="7">
        <v>33484.0</v>
      </c>
      <c r="K63" s="7">
        <v>7862.0</v>
      </c>
      <c r="L63" s="7">
        <v>25.51</v>
      </c>
      <c r="M63" s="7">
        <v>-0.06</v>
      </c>
      <c r="N63" s="7">
        <v>9394.0</v>
      </c>
      <c r="O63" s="7">
        <v>269776.0</v>
      </c>
      <c r="P63" s="7" t="s">
        <v>409</v>
      </c>
      <c r="Q63" s="7">
        <v>151.06</v>
      </c>
      <c r="R63" s="3">
        <f t="shared" si="1"/>
        <v>151.06</v>
      </c>
      <c r="S63" s="9">
        <v>159.06</v>
      </c>
      <c r="T63" s="10">
        <v>159.06</v>
      </c>
      <c r="V63" s="5">
        <f t="shared" si="2"/>
        <v>8</v>
      </c>
    </row>
    <row r="64" ht="22.5" customHeight="1">
      <c r="B64" s="7" t="s">
        <v>103</v>
      </c>
      <c r="C64" s="7">
        <v>110108.0</v>
      </c>
      <c r="D64" s="7">
        <v>506714.0</v>
      </c>
      <c r="E64" s="7">
        <v>173943.0</v>
      </c>
      <c r="F64" s="7">
        <v>167251.0</v>
      </c>
      <c r="G64" s="7">
        <v>398462.0</v>
      </c>
      <c r="H64" s="7">
        <v>4.03086475E8</v>
      </c>
      <c r="I64" s="7">
        <v>3118.0</v>
      </c>
      <c r="J64" s="7">
        <v>2469.0</v>
      </c>
      <c r="K64" s="7">
        <v>649.0</v>
      </c>
      <c r="L64" s="7">
        <v>72.31</v>
      </c>
      <c r="M64" s="7">
        <v>-0.09</v>
      </c>
      <c r="N64" s="7">
        <v>916.0</v>
      </c>
      <c r="O64" s="7">
        <v>120381.0</v>
      </c>
      <c r="P64" s="7" t="s">
        <v>410</v>
      </c>
      <c r="Q64" s="7">
        <v>151.2</v>
      </c>
      <c r="R64" s="3">
        <f t="shared" si="1"/>
        <v>151.2</v>
      </c>
      <c r="S64" s="9">
        <v>184.71</v>
      </c>
      <c r="T64" s="10">
        <v>184.71</v>
      </c>
      <c r="V64" s="5">
        <f t="shared" si="2"/>
        <v>33.51</v>
      </c>
    </row>
    <row r="65" ht="22.5" customHeight="1">
      <c r="B65" s="7" t="s">
        <v>138</v>
      </c>
      <c r="C65" s="7">
        <v>3573.0</v>
      </c>
      <c r="D65" s="7">
        <v>14128.0</v>
      </c>
      <c r="E65" s="7">
        <v>1319095.0</v>
      </c>
      <c r="F65" s="7">
        <v>1299198.0</v>
      </c>
      <c r="G65" s="7">
        <v>2561530.0</v>
      </c>
      <c r="H65" s="7">
        <v>1.413299E8</v>
      </c>
      <c r="I65" s="7">
        <v>66202.0</v>
      </c>
      <c r="J65" s="7">
        <v>57394.0</v>
      </c>
      <c r="K65" s="7">
        <v>8808.0</v>
      </c>
      <c r="L65" s="7">
        <v>33.9</v>
      </c>
      <c r="M65" s="7">
        <v>-0.08</v>
      </c>
      <c r="N65" s="7">
        <v>10692.0</v>
      </c>
      <c r="O65" s="7">
        <v>519985.0</v>
      </c>
      <c r="P65" s="7" t="s">
        <v>409</v>
      </c>
      <c r="Q65" s="7">
        <v>157.39</v>
      </c>
      <c r="R65" s="3">
        <f t="shared" si="1"/>
        <v>157.39</v>
      </c>
      <c r="S65" s="9">
        <v>216.75</v>
      </c>
      <c r="T65" s="10">
        <v>216.75</v>
      </c>
      <c r="V65" s="5">
        <f t="shared" si="2"/>
        <v>59.36</v>
      </c>
    </row>
    <row r="66" ht="22.5" customHeight="1">
      <c r="B66" s="7" t="s">
        <v>81</v>
      </c>
      <c r="C66" s="7">
        <v>3426.0</v>
      </c>
      <c r="D66" s="7">
        <v>15230.0</v>
      </c>
      <c r="E66" s="7">
        <v>1099580.0</v>
      </c>
      <c r="F66" s="7">
        <v>1099551.0</v>
      </c>
      <c r="G66" s="7">
        <v>1101568.0</v>
      </c>
      <c r="H66" s="7">
        <v>6.12328654E8</v>
      </c>
      <c r="I66" s="7">
        <v>26904.0</v>
      </c>
      <c r="J66" s="7">
        <v>13307.0</v>
      </c>
      <c r="K66" s="7">
        <v>13597.0</v>
      </c>
      <c r="L66" s="7">
        <v>17.91</v>
      </c>
      <c r="M66" s="7">
        <v>0.0</v>
      </c>
      <c r="N66" s="7">
        <v>15296.0</v>
      </c>
      <c r="O66" s="7">
        <v>381311.0</v>
      </c>
      <c r="P66" s="7" t="s">
        <v>409</v>
      </c>
      <c r="Q66" s="7">
        <v>157.83</v>
      </c>
      <c r="R66" s="3">
        <f t="shared" si="1"/>
        <v>157.83</v>
      </c>
      <c r="S66" s="9">
        <v>7.71</v>
      </c>
      <c r="T66" s="10">
        <v>7.71</v>
      </c>
      <c r="V66" s="5">
        <f t="shared" si="2"/>
        <v>-150.12</v>
      </c>
    </row>
    <row r="67" ht="22.5" customHeight="1">
      <c r="B67" s="7" t="s">
        <v>84</v>
      </c>
      <c r="C67" s="7">
        <v>2958.0</v>
      </c>
      <c r="D67" s="7">
        <v>8708.0</v>
      </c>
      <c r="E67" s="7">
        <v>1061125.0</v>
      </c>
      <c r="F67" s="7">
        <v>1058306.0</v>
      </c>
      <c r="G67" s="7">
        <v>1131222.0</v>
      </c>
      <c r="H67" s="7">
        <v>2.17021856E8</v>
      </c>
      <c r="I67" s="7">
        <v>32676.0</v>
      </c>
      <c r="J67" s="7">
        <v>21023.0</v>
      </c>
      <c r="K67" s="7">
        <v>11653.0</v>
      </c>
      <c r="L67" s="7">
        <v>44.17</v>
      </c>
      <c r="M67" s="7">
        <v>-0.01</v>
      </c>
      <c r="N67" s="7">
        <v>13433.0</v>
      </c>
      <c r="O67" s="7">
        <v>323576.0</v>
      </c>
      <c r="P67" s="7" t="s">
        <v>410</v>
      </c>
      <c r="Q67" s="7">
        <v>160.02</v>
      </c>
      <c r="R67" s="3">
        <f t="shared" si="1"/>
        <v>160.02</v>
      </c>
      <c r="S67" s="9">
        <v>259.89</v>
      </c>
      <c r="T67" s="10">
        <v>259.89</v>
      </c>
      <c r="V67" s="5">
        <f t="shared" si="2"/>
        <v>99.87</v>
      </c>
    </row>
    <row r="68" ht="22.5" customHeight="1">
      <c r="B68" s="7" t="s">
        <v>168</v>
      </c>
      <c r="C68" s="7">
        <v>164916.0</v>
      </c>
      <c r="D68" s="7">
        <v>759313.0</v>
      </c>
      <c r="E68" s="7">
        <v>142332.0</v>
      </c>
      <c r="F68" s="7">
        <v>135751.0</v>
      </c>
      <c r="G68" s="7">
        <v>480863.0</v>
      </c>
      <c r="H68" s="7">
        <v>4.2831563E8</v>
      </c>
      <c r="I68" s="7">
        <v>5395.0</v>
      </c>
      <c r="J68" s="7">
        <v>5079.0</v>
      </c>
      <c r="K68" s="7">
        <v>316.0</v>
      </c>
      <c r="L68" s="7">
        <v>64.15</v>
      </c>
      <c r="M68" s="7">
        <v>-0.12</v>
      </c>
      <c r="N68" s="7">
        <v>493.0</v>
      </c>
      <c r="O68" s="7">
        <v>134720.0</v>
      </c>
      <c r="P68" s="7" t="s">
        <v>409</v>
      </c>
      <c r="Q68" s="7">
        <v>163.13</v>
      </c>
      <c r="R68" s="3">
        <f t="shared" si="1"/>
        <v>163.13</v>
      </c>
      <c r="S68" s="9">
        <v>419.92</v>
      </c>
      <c r="T68" s="10">
        <v>419.92</v>
      </c>
      <c r="V68" s="5">
        <f t="shared" si="2"/>
        <v>256.79</v>
      </c>
    </row>
    <row r="69" ht="22.5" customHeight="1">
      <c r="B69" s="7" t="s">
        <v>145</v>
      </c>
      <c r="C69" s="7">
        <v>335424.0</v>
      </c>
      <c r="D69" s="7">
        <v>950345.0</v>
      </c>
      <c r="E69" s="7">
        <v>42614.0</v>
      </c>
      <c r="F69" s="7">
        <v>41939.0</v>
      </c>
      <c r="G69" s="7">
        <v>210763.0</v>
      </c>
      <c r="H69" s="7">
        <v>4.7559299E8</v>
      </c>
      <c r="I69" s="7">
        <v>2090.0</v>
      </c>
      <c r="J69" s="7">
        <v>1793.0</v>
      </c>
      <c r="K69" s="7">
        <v>297.0</v>
      </c>
      <c r="L69" s="7">
        <v>56.06</v>
      </c>
      <c r="M69" s="7">
        <v>-0.09</v>
      </c>
      <c r="N69" s="7">
        <v>357.0</v>
      </c>
      <c r="O69" s="7">
        <v>23663.0</v>
      </c>
      <c r="P69" s="7" t="s">
        <v>409</v>
      </c>
      <c r="Q69" s="7">
        <v>166.62</v>
      </c>
      <c r="R69" s="3">
        <f t="shared" si="1"/>
        <v>166.62</v>
      </c>
      <c r="S69" s="9">
        <v>780.38</v>
      </c>
      <c r="T69" s="10">
        <v>780.38</v>
      </c>
      <c r="V69" s="5">
        <f t="shared" si="2"/>
        <v>613.76</v>
      </c>
    </row>
    <row r="70" ht="22.5" customHeight="1">
      <c r="B70" s="7" t="s">
        <v>75</v>
      </c>
      <c r="C70" s="7">
        <v>679.0</v>
      </c>
      <c r="D70" s="7">
        <v>18292.0</v>
      </c>
      <c r="E70" s="7">
        <v>872529.0</v>
      </c>
      <c r="F70" s="7">
        <v>866566.0</v>
      </c>
      <c r="G70" s="7">
        <v>1306361.0</v>
      </c>
      <c r="H70" s="7">
        <v>8.5033473E7</v>
      </c>
      <c r="I70" s="7">
        <v>41984.0</v>
      </c>
      <c r="J70" s="7">
        <v>34145.0</v>
      </c>
      <c r="K70" s="7">
        <v>7839.0</v>
      </c>
      <c r="L70" s="7">
        <v>22.12</v>
      </c>
      <c r="M70" s="7">
        <v>-0.05</v>
      </c>
      <c r="N70" s="7">
        <v>9266.0</v>
      </c>
      <c r="O70" s="7">
        <v>262706.0</v>
      </c>
      <c r="P70" s="7" t="s">
        <v>409</v>
      </c>
      <c r="Q70" s="7">
        <v>168.98</v>
      </c>
      <c r="R70" s="3">
        <f t="shared" si="1"/>
        <v>168.98</v>
      </c>
      <c r="S70" s="9">
        <v>197.96</v>
      </c>
      <c r="T70" s="10">
        <v>197.96</v>
      </c>
      <c r="V70" s="5">
        <f t="shared" si="2"/>
        <v>28.98</v>
      </c>
    </row>
    <row r="71" ht="22.5" customHeight="1">
      <c r="B71" s="7" t="s">
        <v>70</v>
      </c>
      <c r="C71" s="7">
        <v>679.0</v>
      </c>
      <c r="D71" s="7">
        <v>18422.0</v>
      </c>
      <c r="E71" s="7">
        <v>876678.0</v>
      </c>
      <c r="F71" s="7">
        <v>870759.0</v>
      </c>
      <c r="G71" s="7">
        <v>1326162.0</v>
      </c>
      <c r="H71" s="7">
        <v>8.1556906E7</v>
      </c>
      <c r="I71" s="7">
        <v>42705.0</v>
      </c>
      <c r="J71" s="7">
        <v>34983.0</v>
      </c>
      <c r="K71" s="7">
        <v>7722.0</v>
      </c>
      <c r="L71" s="7">
        <v>22.68</v>
      </c>
      <c r="M71" s="7">
        <v>-0.05</v>
      </c>
      <c r="N71" s="7">
        <v>9170.0</v>
      </c>
      <c r="O71" s="7">
        <v>259303.0</v>
      </c>
      <c r="P71" s="7" t="s">
        <v>409</v>
      </c>
      <c r="Q71" s="7">
        <v>172.25</v>
      </c>
      <c r="R71" s="3">
        <f t="shared" si="1"/>
        <v>172.25</v>
      </c>
      <c r="S71" s="9">
        <v>211.68</v>
      </c>
      <c r="T71" s="10">
        <v>211.68</v>
      </c>
      <c r="V71" s="5">
        <f t="shared" si="2"/>
        <v>39.43</v>
      </c>
    </row>
    <row r="72" ht="22.5" customHeight="1">
      <c r="B72" s="7" t="s">
        <v>76</v>
      </c>
      <c r="C72" s="7">
        <v>687.0</v>
      </c>
      <c r="D72" s="7">
        <v>19681.0</v>
      </c>
      <c r="E72" s="7">
        <v>861844.0</v>
      </c>
      <c r="F72" s="7">
        <v>855798.0</v>
      </c>
      <c r="G72" s="7">
        <v>1354364.0</v>
      </c>
      <c r="H72" s="7">
        <v>8.7019691E7</v>
      </c>
      <c r="I72" s="7">
        <v>42102.0</v>
      </c>
      <c r="J72" s="7">
        <v>34339.0</v>
      </c>
      <c r="K72" s="7">
        <v>7763.0</v>
      </c>
      <c r="L72" s="7">
        <v>22.74</v>
      </c>
      <c r="M72" s="7">
        <v>-0.06</v>
      </c>
      <c r="N72" s="7">
        <v>9160.0</v>
      </c>
      <c r="O72" s="7">
        <v>263033.0</v>
      </c>
      <c r="P72" s="7" t="s">
        <v>409</v>
      </c>
      <c r="Q72" s="7">
        <v>175.12</v>
      </c>
      <c r="R72" s="3">
        <f t="shared" si="1"/>
        <v>175.12</v>
      </c>
      <c r="S72" s="9">
        <v>74.7</v>
      </c>
      <c r="T72" s="10">
        <v>74.7</v>
      </c>
      <c r="V72" s="5">
        <f t="shared" si="2"/>
        <v>-100.42</v>
      </c>
    </row>
    <row r="73" ht="22.5" customHeight="1">
      <c r="B73" s="7" t="s">
        <v>94</v>
      </c>
      <c r="C73" s="7">
        <v>3593.0</v>
      </c>
      <c r="D73" s="7">
        <v>14282.0</v>
      </c>
      <c r="E73" s="7">
        <v>1433455.0</v>
      </c>
      <c r="F73" s="7">
        <v>1411522.0</v>
      </c>
      <c r="G73" s="7">
        <v>2823928.0</v>
      </c>
      <c r="H73" s="7">
        <v>1.54944757E8</v>
      </c>
      <c r="I73" s="7">
        <v>76679.0</v>
      </c>
      <c r="J73" s="7">
        <v>67799.0</v>
      </c>
      <c r="K73" s="7">
        <v>8880.0</v>
      </c>
      <c r="L73" s="7">
        <v>33.61</v>
      </c>
      <c r="M73" s="7">
        <v>-0.08</v>
      </c>
      <c r="N73" s="7">
        <v>10764.0</v>
      </c>
      <c r="O73" s="7">
        <v>608518.0</v>
      </c>
      <c r="P73" s="7" t="s">
        <v>409</v>
      </c>
      <c r="Q73" s="7">
        <v>181.45</v>
      </c>
      <c r="R73" s="3">
        <f t="shared" si="1"/>
        <v>181.45</v>
      </c>
      <c r="S73" s="9">
        <v>920.44</v>
      </c>
      <c r="T73" s="10">
        <v>920.44</v>
      </c>
      <c r="V73" s="5">
        <f t="shared" si="2"/>
        <v>738.99</v>
      </c>
    </row>
    <row r="74" ht="22.5" customHeight="1">
      <c r="B74" s="7" t="s">
        <v>96</v>
      </c>
      <c r="C74" s="7">
        <v>686.0</v>
      </c>
      <c r="D74" s="7">
        <v>19096.0</v>
      </c>
      <c r="E74" s="7">
        <v>895919.0</v>
      </c>
      <c r="F74" s="7">
        <v>889112.0</v>
      </c>
      <c r="G74" s="7">
        <v>1397303.0</v>
      </c>
      <c r="H74" s="7">
        <v>8.7967714E7</v>
      </c>
      <c r="I74" s="7">
        <v>43191.0</v>
      </c>
      <c r="J74" s="7">
        <v>35005.0</v>
      </c>
      <c r="K74" s="7">
        <v>8186.0</v>
      </c>
      <c r="L74" s="7">
        <v>21.6</v>
      </c>
      <c r="M74" s="7">
        <v>-0.06</v>
      </c>
      <c r="N74" s="7">
        <v>9677.0</v>
      </c>
      <c r="O74" s="7">
        <v>261455.0</v>
      </c>
      <c r="P74" s="7" t="s">
        <v>409</v>
      </c>
      <c r="Q74" s="7">
        <v>183.18</v>
      </c>
      <c r="R74" s="3">
        <f t="shared" si="1"/>
        <v>183.18</v>
      </c>
      <c r="S74" s="9">
        <v>190.75</v>
      </c>
      <c r="T74" s="10">
        <v>190.75</v>
      </c>
      <c r="V74" s="5">
        <f t="shared" si="2"/>
        <v>7.57</v>
      </c>
    </row>
    <row r="75" ht="22.5" customHeight="1">
      <c r="B75" s="7" t="s">
        <v>65</v>
      </c>
      <c r="C75" s="7">
        <v>1140.0</v>
      </c>
      <c r="D75" s="7">
        <v>4253.0</v>
      </c>
      <c r="E75" s="7">
        <v>1979362.0</v>
      </c>
      <c r="F75" s="7">
        <v>1954544.0</v>
      </c>
      <c r="G75" s="7">
        <v>3435006.0</v>
      </c>
      <c r="H75" s="7">
        <v>8.4397866E7</v>
      </c>
      <c r="I75" s="7">
        <v>108582.0</v>
      </c>
      <c r="J75" s="7">
        <v>100085.0</v>
      </c>
      <c r="K75" s="7">
        <v>8497.0</v>
      </c>
      <c r="L75" s="7">
        <v>18.99</v>
      </c>
      <c r="M75" s="7">
        <v>-0.08</v>
      </c>
      <c r="N75" s="7">
        <v>10393.0</v>
      </c>
      <c r="O75" s="7">
        <v>1065826.0</v>
      </c>
      <c r="P75" s="7" t="s">
        <v>410</v>
      </c>
      <c r="Q75" s="7">
        <v>187.79</v>
      </c>
      <c r="R75" s="3">
        <f t="shared" si="1"/>
        <v>187.79</v>
      </c>
      <c r="S75" s="9">
        <v>151.72</v>
      </c>
      <c r="T75" s="10">
        <v>151.72</v>
      </c>
      <c r="V75" s="5">
        <f t="shared" si="2"/>
        <v>-36.07</v>
      </c>
    </row>
    <row r="76" ht="22.5" customHeight="1">
      <c r="B76" s="7" t="s">
        <v>110</v>
      </c>
      <c r="C76" s="7">
        <v>14912.0</v>
      </c>
      <c r="D76" s="7">
        <v>381544.0</v>
      </c>
      <c r="E76" s="7">
        <v>680559.0</v>
      </c>
      <c r="F76" s="7">
        <v>661882.0</v>
      </c>
      <c r="G76" s="7">
        <v>2628496.0</v>
      </c>
      <c r="H76" s="7">
        <v>2.38071006E8</v>
      </c>
      <c r="I76" s="7">
        <v>37159.0</v>
      </c>
      <c r="J76" s="7">
        <v>34690.0</v>
      </c>
      <c r="K76" s="7">
        <v>2469.0</v>
      </c>
      <c r="L76" s="7">
        <v>36.44</v>
      </c>
      <c r="M76" s="7">
        <v>-0.14</v>
      </c>
      <c r="N76" s="7">
        <v>3487.0</v>
      </c>
      <c r="O76" s="7">
        <v>425030.0</v>
      </c>
      <c r="P76" s="7" t="s">
        <v>409</v>
      </c>
      <c r="Q76" s="7">
        <v>192.44</v>
      </c>
      <c r="R76" s="3">
        <f t="shared" si="1"/>
        <v>192.44</v>
      </c>
      <c r="S76" s="9">
        <v>211.0</v>
      </c>
      <c r="T76" s="10">
        <v>211.0</v>
      </c>
      <c r="V76" s="5">
        <f t="shared" si="2"/>
        <v>18.56</v>
      </c>
    </row>
    <row r="77" ht="22.5" customHeight="1">
      <c r="B77" s="7" t="s">
        <v>204</v>
      </c>
      <c r="C77" s="7">
        <v>3220.0</v>
      </c>
      <c r="D77" s="7">
        <v>12314.0</v>
      </c>
      <c r="E77" s="7">
        <v>2164889.0</v>
      </c>
      <c r="F77" s="7">
        <v>2130083.0</v>
      </c>
      <c r="G77" s="7">
        <v>6978746.0</v>
      </c>
      <c r="H77" s="7">
        <v>1.52989623E8</v>
      </c>
      <c r="I77" s="7">
        <v>127287.0</v>
      </c>
      <c r="J77" s="7">
        <v>118709.0</v>
      </c>
      <c r="K77" s="7">
        <v>8578.0</v>
      </c>
      <c r="L77" s="7">
        <v>29.74</v>
      </c>
      <c r="M77" s="7">
        <v>-0.11</v>
      </c>
      <c r="N77" s="7">
        <v>10860.0</v>
      </c>
      <c r="O77" s="7">
        <v>1180611.0</v>
      </c>
      <c r="P77" s="7" t="s">
        <v>409</v>
      </c>
      <c r="Q77" s="7">
        <v>199.17</v>
      </c>
      <c r="R77" s="3">
        <f t="shared" si="1"/>
        <v>199.17</v>
      </c>
      <c r="S77" s="9">
        <v>1506.28</v>
      </c>
      <c r="T77" s="10">
        <v>1506.28</v>
      </c>
      <c r="V77" s="5">
        <f t="shared" si="2"/>
        <v>1307.11</v>
      </c>
    </row>
    <row r="78" ht="22.5" customHeight="1">
      <c r="B78" s="7" t="s">
        <v>157</v>
      </c>
      <c r="C78" s="7">
        <v>72078.0</v>
      </c>
      <c r="D78" s="7">
        <v>517702.0</v>
      </c>
      <c r="E78" s="7">
        <v>866113.0</v>
      </c>
      <c r="F78" s="7">
        <v>853075.0</v>
      </c>
      <c r="G78" s="7">
        <v>4091100.0</v>
      </c>
      <c r="H78" s="7">
        <v>3.94912145E8</v>
      </c>
      <c r="I78" s="7">
        <v>38388.0</v>
      </c>
      <c r="J78" s="7">
        <v>31642.0</v>
      </c>
      <c r="K78" s="7">
        <v>6746.0</v>
      </c>
      <c r="L78" s="7">
        <v>30.82</v>
      </c>
      <c r="M78" s="7">
        <v>-0.11</v>
      </c>
      <c r="N78" s="7">
        <v>8200.0</v>
      </c>
      <c r="O78" s="7">
        <v>705273.0</v>
      </c>
      <c r="P78" s="7" t="s">
        <v>409</v>
      </c>
      <c r="Q78" s="7">
        <v>201.5</v>
      </c>
      <c r="R78" s="3">
        <f t="shared" si="1"/>
        <v>201.5</v>
      </c>
      <c r="S78" s="9">
        <v>405.93</v>
      </c>
      <c r="T78" s="10">
        <v>405.93</v>
      </c>
      <c r="V78" s="5">
        <f t="shared" si="2"/>
        <v>204.43</v>
      </c>
    </row>
    <row r="79" ht="22.5" customHeight="1">
      <c r="B79" s="7" t="s">
        <v>74</v>
      </c>
      <c r="C79" s="7">
        <v>1140.0</v>
      </c>
      <c r="D79" s="7">
        <v>4253.0</v>
      </c>
      <c r="E79" s="7">
        <v>2363611.0</v>
      </c>
      <c r="F79" s="7">
        <v>2334456.0</v>
      </c>
      <c r="G79" s="7">
        <v>3902331.0</v>
      </c>
      <c r="H79" s="7">
        <v>9.9552977E7</v>
      </c>
      <c r="I79" s="7">
        <v>120985.0</v>
      </c>
      <c r="J79" s="7">
        <v>108230.0</v>
      </c>
      <c r="K79" s="7">
        <v>12755.0</v>
      </c>
      <c r="L79" s="7">
        <v>18.69</v>
      </c>
      <c r="M79" s="7">
        <v>-0.07</v>
      </c>
      <c r="N79" s="7">
        <v>15517.0</v>
      </c>
      <c r="O79" s="7">
        <v>1117774.0</v>
      </c>
      <c r="P79" s="7" t="s">
        <v>410</v>
      </c>
      <c r="Q79" s="7">
        <v>204.29</v>
      </c>
      <c r="R79" s="3">
        <f t="shared" si="1"/>
        <v>204.29</v>
      </c>
      <c r="S79" s="9">
        <v>197.29</v>
      </c>
      <c r="T79" s="10">
        <v>197.29</v>
      </c>
      <c r="V79" s="5">
        <f t="shared" si="2"/>
        <v>-7</v>
      </c>
    </row>
    <row r="80" ht="22.5" customHeight="1">
      <c r="B80" s="7" t="s">
        <v>113</v>
      </c>
      <c r="C80" s="7">
        <v>1140.0</v>
      </c>
      <c r="D80" s="7">
        <v>4253.0</v>
      </c>
      <c r="E80" s="7">
        <v>2226615.0</v>
      </c>
      <c r="F80" s="7">
        <v>2198042.0</v>
      </c>
      <c r="G80" s="7">
        <v>3875301.0</v>
      </c>
      <c r="H80" s="7">
        <v>9.6882044E7</v>
      </c>
      <c r="I80" s="7">
        <v>118225.0</v>
      </c>
      <c r="J80" s="7">
        <v>107295.0</v>
      </c>
      <c r="K80" s="7">
        <v>10930.0</v>
      </c>
      <c r="L80" s="7">
        <v>19.13</v>
      </c>
      <c r="M80" s="7">
        <v>-0.08</v>
      </c>
      <c r="N80" s="7">
        <v>13318.0</v>
      </c>
      <c r="O80" s="7">
        <v>1115620.0</v>
      </c>
      <c r="P80" s="7" t="s">
        <v>410</v>
      </c>
      <c r="Q80" s="7">
        <v>219.4</v>
      </c>
      <c r="R80" s="3">
        <f t="shared" si="1"/>
        <v>219.4</v>
      </c>
      <c r="S80" s="9">
        <v>209.26</v>
      </c>
      <c r="T80" s="10">
        <v>209.26</v>
      </c>
      <c r="V80" s="5">
        <f t="shared" si="2"/>
        <v>-10.14</v>
      </c>
    </row>
    <row r="81" ht="22.5" customHeight="1">
      <c r="B81" s="7" t="s">
        <v>142</v>
      </c>
      <c r="C81" s="7">
        <v>290693.0</v>
      </c>
      <c r="D81" s="7">
        <v>1262210.0</v>
      </c>
      <c r="E81" s="7">
        <v>150894.0</v>
      </c>
      <c r="F81" s="7">
        <v>143439.0</v>
      </c>
      <c r="G81" s="7">
        <v>1324090.0</v>
      </c>
      <c r="H81" s="7">
        <v>4.05814196E8</v>
      </c>
      <c r="I81" s="7">
        <v>9502.0</v>
      </c>
      <c r="J81" s="7">
        <v>9290.0</v>
      </c>
      <c r="K81" s="7">
        <v>212.0</v>
      </c>
      <c r="L81" s="7">
        <v>31.91</v>
      </c>
      <c r="M81" s="7">
        <v>-0.24</v>
      </c>
      <c r="N81" s="7">
        <v>423.0</v>
      </c>
      <c r="O81" s="7">
        <v>245420.0</v>
      </c>
      <c r="P81" s="7" t="s">
        <v>409</v>
      </c>
      <c r="Q81" s="7">
        <v>220.23</v>
      </c>
      <c r="R81" s="3">
        <f t="shared" si="1"/>
        <v>220.23</v>
      </c>
      <c r="S81" s="9">
        <v>114.91</v>
      </c>
      <c r="T81" s="10">
        <v>114.91</v>
      </c>
      <c r="V81" s="5">
        <f t="shared" si="2"/>
        <v>-105.32</v>
      </c>
    </row>
    <row r="82" ht="22.5" customHeight="1">
      <c r="B82" s="7" t="s">
        <v>91</v>
      </c>
      <c r="C82" s="7">
        <v>110108.0</v>
      </c>
      <c r="D82" s="7">
        <v>506714.0</v>
      </c>
      <c r="E82" s="7">
        <v>216263.0</v>
      </c>
      <c r="F82" s="7">
        <v>207567.0</v>
      </c>
      <c r="G82" s="7">
        <v>537999.0</v>
      </c>
      <c r="H82" s="7">
        <v>6.62072476E8</v>
      </c>
      <c r="I82" s="7">
        <v>4613.0</v>
      </c>
      <c r="J82" s="7">
        <v>3736.0</v>
      </c>
      <c r="K82" s="7">
        <v>877.0</v>
      </c>
      <c r="L82" s="7">
        <v>88.59</v>
      </c>
      <c r="M82" s="7">
        <v>-0.1</v>
      </c>
      <c r="N82" s="7">
        <v>1274.0</v>
      </c>
      <c r="O82" s="7">
        <v>123463.0</v>
      </c>
      <c r="P82" s="7" t="s">
        <v>410</v>
      </c>
      <c r="Q82" s="7">
        <v>234.94</v>
      </c>
      <c r="R82" s="3">
        <f t="shared" si="1"/>
        <v>234.94</v>
      </c>
      <c r="S82" s="9">
        <v>340.58</v>
      </c>
      <c r="T82" s="10">
        <v>340.58</v>
      </c>
      <c r="V82" s="5">
        <f t="shared" si="2"/>
        <v>105.64</v>
      </c>
    </row>
    <row r="83" ht="22.5" customHeight="1">
      <c r="B83" s="7" t="s">
        <v>222</v>
      </c>
      <c r="C83" s="7">
        <v>3220.0</v>
      </c>
      <c r="D83" s="7">
        <v>12314.0</v>
      </c>
      <c r="E83" s="7">
        <v>2577250.0</v>
      </c>
      <c r="F83" s="7">
        <v>2536318.0</v>
      </c>
      <c r="G83" s="7">
        <v>7712599.0</v>
      </c>
      <c r="H83" s="7">
        <v>1.74331321E8</v>
      </c>
      <c r="I83" s="7">
        <v>138090.0</v>
      </c>
      <c r="J83" s="7">
        <v>125512.0</v>
      </c>
      <c r="K83" s="7">
        <v>12578.0</v>
      </c>
      <c r="L83" s="7">
        <v>32.9</v>
      </c>
      <c r="M83" s="7">
        <v>-0.1</v>
      </c>
      <c r="N83" s="7">
        <v>16053.0</v>
      </c>
      <c r="O83" s="7">
        <v>1208267.0</v>
      </c>
      <c r="P83" s="7" t="s">
        <v>409</v>
      </c>
      <c r="Q83" s="7">
        <v>236.18</v>
      </c>
      <c r="R83" s="3">
        <f t="shared" si="1"/>
        <v>236.18</v>
      </c>
      <c r="S83" s="9">
        <v>3758.63</v>
      </c>
      <c r="T83" s="10">
        <v>3758.63</v>
      </c>
      <c r="V83" s="5">
        <f t="shared" si="2"/>
        <v>3522.45</v>
      </c>
    </row>
    <row r="84" ht="22.5" customHeight="1">
      <c r="B84" s="7" t="s">
        <v>104</v>
      </c>
      <c r="C84" s="7">
        <v>1140.0</v>
      </c>
      <c r="D84" s="7">
        <v>4253.0</v>
      </c>
      <c r="E84" s="7">
        <v>2418972.0</v>
      </c>
      <c r="F84" s="7">
        <v>2388702.0</v>
      </c>
      <c r="G84" s="7">
        <v>4099186.0</v>
      </c>
      <c r="H84" s="7">
        <v>1.09660699E8</v>
      </c>
      <c r="I84" s="7">
        <v>121179.0</v>
      </c>
      <c r="J84" s="7">
        <v>107815.0</v>
      </c>
      <c r="K84" s="7">
        <v>13364.0</v>
      </c>
      <c r="L84" s="7">
        <v>19.81</v>
      </c>
      <c r="M84" s="7">
        <v>-0.07</v>
      </c>
      <c r="N84" s="7">
        <v>16284.0</v>
      </c>
      <c r="O84" s="7">
        <v>1114864.0</v>
      </c>
      <c r="P84" s="7" t="s">
        <v>410</v>
      </c>
      <c r="Q84" s="7">
        <v>241.28</v>
      </c>
      <c r="R84" s="3">
        <f t="shared" si="1"/>
        <v>241.28</v>
      </c>
      <c r="S84" s="9">
        <v>208.16</v>
      </c>
      <c r="T84" s="10">
        <v>208.16</v>
      </c>
      <c r="V84" s="5">
        <f t="shared" si="2"/>
        <v>-33.12</v>
      </c>
    </row>
    <row r="85" ht="22.5" customHeight="1">
      <c r="B85" s="7" t="s">
        <v>106</v>
      </c>
      <c r="C85" s="7">
        <v>22022.0</v>
      </c>
      <c r="D85" s="7">
        <v>172772.0</v>
      </c>
      <c r="E85" s="7">
        <v>2414534.0</v>
      </c>
      <c r="F85" s="7">
        <v>2324854.0</v>
      </c>
      <c r="G85" s="7">
        <v>2.9474157E7</v>
      </c>
      <c r="H85" s="7">
        <v>2.82699964E8</v>
      </c>
      <c r="I85" s="7">
        <v>137661.0</v>
      </c>
      <c r="J85" s="7">
        <v>134194.0</v>
      </c>
      <c r="K85" s="7">
        <v>3467.0</v>
      </c>
      <c r="L85" s="7">
        <v>17.84</v>
      </c>
      <c r="M85" s="7">
        <v>-0.22</v>
      </c>
      <c r="N85" s="7">
        <v>6786.0</v>
      </c>
      <c r="O85" s="7">
        <v>5624497.0</v>
      </c>
      <c r="P85" s="7" t="s">
        <v>409</v>
      </c>
      <c r="Q85" s="7">
        <v>242.71</v>
      </c>
      <c r="R85" s="3">
        <f t="shared" si="1"/>
        <v>242.71</v>
      </c>
      <c r="S85" s="9">
        <v>233.53</v>
      </c>
      <c r="T85" s="10">
        <v>233.53</v>
      </c>
      <c r="V85" s="5">
        <f t="shared" si="2"/>
        <v>-9.18</v>
      </c>
    </row>
    <row r="86" ht="22.5" customHeight="1">
      <c r="B86" s="7" t="s">
        <v>122</v>
      </c>
      <c r="C86" s="7">
        <v>687.0</v>
      </c>
      <c r="D86" s="7">
        <v>19618.0</v>
      </c>
      <c r="E86" s="7">
        <v>1082437.0</v>
      </c>
      <c r="F86" s="7">
        <v>1075168.0</v>
      </c>
      <c r="G86" s="7">
        <v>1663877.0</v>
      </c>
      <c r="H86" s="7">
        <v>1.07090193E8</v>
      </c>
      <c r="I86" s="7">
        <v>53174.0</v>
      </c>
      <c r="J86" s="7">
        <v>43017.0</v>
      </c>
      <c r="K86" s="7">
        <v>10157.0</v>
      </c>
      <c r="L86" s="7">
        <v>22.87</v>
      </c>
      <c r="M86" s="7">
        <v>-0.05</v>
      </c>
      <c r="N86" s="7">
        <v>11986.0</v>
      </c>
      <c r="O86" s="7">
        <v>303528.0</v>
      </c>
      <c r="P86" s="7" t="s">
        <v>409</v>
      </c>
      <c r="Q86" s="7">
        <v>248.85</v>
      </c>
      <c r="R86" s="3">
        <f t="shared" si="1"/>
        <v>248.85</v>
      </c>
      <c r="S86" s="9">
        <v>99.94</v>
      </c>
      <c r="T86" s="10">
        <v>99.94</v>
      </c>
      <c r="V86" s="5">
        <f t="shared" si="2"/>
        <v>-148.91</v>
      </c>
    </row>
    <row r="87" ht="22.5" customHeight="1">
      <c r="B87" s="7" t="s">
        <v>130</v>
      </c>
      <c r="C87" s="7">
        <v>5241.0</v>
      </c>
      <c r="D87" s="7">
        <v>15431.0</v>
      </c>
      <c r="E87" s="7">
        <v>3515514.0</v>
      </c>
      <c r="F87" s="7">
        <v>3440769.0</v>
      </c>
      <c r="G87" s="7">
        <v>6792584.0</v>
      </c>
      <c r="H87" s="7">
        <v>2.52257715E8</v>
      </c>
      <c r="I87" s="7">
        <v>125132.0</v>
      </c>
      <c r="J87" s="7">
        <v>101602.0</v>
      </c>
      <c r="K87" s="7">
        <v>23530.0</v>
      </c>
      <c r="L87" s="7">
        <v>22.74</v>
      </c>
      <c r="M87" s="7">
        <v>-0.07</v>
      </c>
      <c r="N87" s="7">
        <v>29642.0</v>
      </c>
      <c r="O87" s="7">
        <v>1365322.0</v>
      </c>
      <c r="P87" s="7" t="s">
        <v>410</v>
      </c>
      <c r="Q87" s="7">
        <v>252.61</v>
      </c>
      <c r="R87" s="3">
        <f t="shared" si="1"/>
        <v>252.61</v>
      </c>
      <c r="S87" s="9">
        <v>263.55</v>
      </c>
      <c r="T87" s="10">
        <v>263.55</v>
      </c>
      <c r="V87" s="5">
        <f t="shared" si="2"/>
        <v>10.94</v>
      </c>
    </row>
    <row r="88" ht="22.5" customHeight="1">
      <c r="B88" s="7" t="s">
        <v>177</v>
      </c>
      <c r="C88" s="7">
        <v>49112.0</v>
      </c>
      <c r="D88" s="7">
        <v>2317836.0</v>
      </c>
      <c r="E88" s="7">
        <v>333893.0</v>
      </c>
      <c r="F88" s="7">
        <v>323415.0</v>
      </c>
      <c r="G88" s="7">
        <v>2544684.0</v>
      </c>
      <c r="H88" s="7">
        <v>3.42154327E8</v>
      </c>
      <c r="I88" s="7">
        <v>8529.0</v>
      </c>
      <c r="J88" s="7">
        <v>7000.0</v>
      </c>
      <c r="K88" s="7">
        <v>1529.0</v>
      </c>
      <c r="L88" s="7">
        <v>183.93</v>
      </c>
      <c r="M88" s="7">
        <v>-0.09</v>
      </c>
      <c r="N88" s="7">
        <v>2026.0</v>
      </c>
      <c r="O88" s="7">
        <v>829348.0</v>
      </c>
      <c r="P88" s="7" t="s">
        <v>410</v>
      </c>
      <c r="Q88" s="7">
        <v>253.24</v>
      </c>
      <c r="R88" s="3">
        <f t="shared" si="1"/>
        <v>253.24</v>
      </c>
      <c r="S88" s="9">
        <v>721.75</v>
      </c>
      <c r="T88" s="10">
        <v>721.75</v>
      </c>
      <c r="V88" s="5">
        <f t="shared" si="2"/>
        <v>468.51</v>
      </c>
    </row>
    <row r="89" ht="22.5" customHeight="1">
      <c r="B89" s="7" t="s">
        <v>55</v>
      </c>
      <c r="C89" s="7">
        <v>1672.0</v>
      </c>
      <c r="D89" s="7">
        <v>5262.0</v>
      </c>
      <c r="E89" s="7">
        <v>2739949.0</v>
      </c>
      <c r="F89" s="7">
        <v>2690549.0</v>
      </c>
      <c r="G89" s="7">
        <v>5896510.0</v>
      </c>
      <c r="H89" s="7">
        <v>1.7694243E8</v>
      </c>
      <c r="I89" s="7">
        <v>140297.0</v>
      </c>
      <c r="J89" s="7">
        <v>124751.0</v>
      </c>
      <c r="K89" s="7">
        <v>15546.0</v>
      </c>
      <c r="L89" s="7">
        <v>23.56</v>
      </c>
      <c r="M89" s="7">
        <v>-0.09</v>
      </c>
      <c r="N89" s="7">
        <v>19426.0</v>
      </c>
      <c r="O89" s="7">
        <v>1091966.0</v>
      </c>
      <c r="P89" s="7" t="s">
        <v>409</v>
      </c>
      <c r="Q89" s="7">
        <v>258.15</v>
      </c>
      <c r="R89" s="3">
        <f t="shared" si="1"/>
        <v>258.15</v>
      </c>
      <c r="S89" s="9">
        <v>146.73</v>
      </c>
      <c r="T89" s="10">
        <v>146.73</v>
      </c>
      <c r="V89" s="5">
        <f t="shared" si="2"/>
        <v>-111.42</v>
      </c>
    </row>
    <row r="90" ht="22.5" customHeight="1">
      <c r="B90" s="7" t="s">
        <v>19</v>
      </c>
      <c r="C90" s="7">
        <v>48258.0</v>
      </c>
      <c r="D90" s="7">
        <v>140967.0</v>
      </c>
      <c r="E90" s="7">
        <v>2012131.0</v>
      </c>
      <c r="F90" s="7">
        <v>1982847.0</v>
      </c>
      <c r="G90" s="7">
        <v>1.0898229E7</v>
      </c>
      <c r="H90" s="7">
        <v>3.7474979E8</v>
      </c>
      <c r="I90" s="7">
        <v>141768.0</v>
      </c>
      <c r="J90" s="7">
        <v>136016.0</v>
      </c>
      <c r="K90" s="7">
        <v>5752.0</v>
      </c>
      <c r="L90" s="7">
        <v>21.66</v>
      </c>
      <c r="M90" s="7">
        <v>-0.13</v>
      </c>
      <c r="N90" s="7">
        <v>7763.0</v>
      </c>
      <c r="O90" s="7">
        <v>1840026.0</v>
      </c>
      <c r="P90" s="7" t="s">
        <v>410</v>
      </c>
      <c r="Q90" s="7">
        <v>272.74</v>
      </c>
      <c r="R90" s="3">
        <f t="shared" si="1"/>
        <v>272.74</v>
      </c>
      <c r="S90" s="9">
        <v>14.82</v>
      </c>
      <c r="T90" s="10">
        <v>14.82</v>
      </c>
      <c r="V90" s="5">
        <f t="shared" si="2"/>
        <v>-257.92</v>
      </c>
    </row>
    <row r="91" ht="22.5" customHeight="1">
      <c r="B91" s="7" t="s">
        <v>141</v>
      </c>
      <c r="C91" s="7">
        <v>827.0</v>
      </c>
      <c r="D91" s="7">
        <v>20662.0</v>
      </c>
      <c r="E91" s="7">
        <v>1246567.0</v>
      </c>
      <c r="F91" s="7">
        <v>1236589.0</v>
      </c>
      <c r="G91" s="7">
        <v>2137047.0</v>
      </c>
      <c r="H91" s="7">
        <v>1.33122109E8</v>
      </c>
      <c r="I91" s="7">
        <v>70628.0</v>
      </c>
      <c r="J91" s="7">
        <v>60807.0</v>
      </c>
      <c r="K91" s="7">
        <v>9821.0</v>
      </c>
      <c r="L91" s="7">
        <v>24.54</v>
      </c>
      <c r="M91" s="7">
        <v>-0.07</v>
      </c>
      <c r="N91" s="7">
        <v>11663.0</v>
      </c>
      <c r="O91" s="7">
        <v>419450.0</v>
      </c>
      <c r="P91" s="7" t="s">
        <v>409</v>
      </c>
      <c r="Q91" s="7">
        <v>273.83</v>
      </c>
      <c r="R91" s="3">
        <f t="shared" si="1"/>
        <v>273.83</v>
      </c>
      <c r="S91" s="9">
        <v>81.58</v>
      </c>
      <c r="T91" s="10">
        <v>81.58</v>
      </c>
      <c r="V91" s="5">
        <f t="shared" si="2"/>
        <v>-192.25</v>
      </c>
    </row>
    <row r="92" ht="22.5" customHeight="1">
      <c r="B92" s="7" t="s">
        <v>195</v>
      </c>
      <c r="C92" s="7">
        <v>6658.0</v>
      </c>
      <c r="D92" s="7">
        <v>31909.0</v>
      </c>
      <c r="E92" s="7">
        <v>904438.0</v>
      </c>
      <c r="F92" s="7">
        <v>904060.0</v>
      </c>
      <c r="G92" s="7">
        <v>915239.0</v>
      </c>
      <c r="H92" s="7">
        <v>8.0090885E8</v>
      </c>
      <c r="I92" s="7">
        <v>31821.0</v>
      </c>
      <c r="J92" s="7">
        <v>22761.0</v>
      </c>
      <c r="K92" s="7">
        <v>9060.0</v>
      </c>
      <c r="L92" s="7">
        <v>20.66</v>
      </c>
      <c r="M92" s="7">
        <v>0.0</v>
      </c>
      <c r="N92" s="7">
        <v>10563.0</v>
      </c>
      <c r="O92" s="7">
        <v>275982.0</v>
      </c>
      <c r="P92" s="7" t="s">
        <v>409</v>
      </c>
      <c r="Q92" s="7">
        <v>274.75</v>
      </c>
      <c r="R92" s="3">
        <f t="shared" si="1"/>
        <v>274.75</v>
      </c>
      <c r="S92" s="9">
        <v>845.15</v>
      </c>
      <c r="T92" s="10">
        <v>845.15</v>
      </c>
      <c r="V92" s="5">
        <f t="shared" si="2"/>
        <v>570.4</v>
      </c>
    </row>
    <row r="93" ht="22.5" customHeight="1">
      <c r="B93" s="7" t="s">
        <v>105</v>
      </c>
      <c r="C93" s="7">
        <v>3220.0</v>
      </c>
      <c r="D93" s="7">
        <v>12314.0</v>
      </c>
      <c r="E93" s="7">
        <v>2779354.0</v>
      </c>
      <c r="F93" s="7">
        <v>2734524.0</v>
      </c>
      <c r="G93" s="7">
        <v>9024672.0</v>
      </c>
      <c r="H93" s="7">
        <v>2.02525725E8</v>
      </c>
      <c r="I93" s="7">
        <v>151759.0</v>
      </c>
      <c r="J93" s="7">
        <v>137524.0</v>
      </c>
      <c r="K93" s="7">
        <v>14235.0</v>
      </c>
      <c r="L93" s="7">
        <v>33.31</v>
      </c>
      <c r="M93" s="7">
        <v>-0.11</v>
      </c>
      <c r="N93" s="7">
        <v>18307.0</v>
      </c>
      <c r="O93" s="7">
        <v>1160747.0</v>
      </c>
      <c r="P93" s="7" t="s">
        <v>409</v>
      </c>
      <c r="Q93" s="7">
        <v>280.03</v>
      </c>
      <c r="R93" s="3">
        <f t="shared" si="1"/>
        <v>280.03</v>
      </c>
      <c r="S93" s="9">
        <v>407.59</v>
      </c>
      <c r="T93" s="10">
        <v>407.59</v>
      </c>
      <c r="V93" s="5">
        <f t="shared" si="2"/>
        <v>127.56</v>
      </c>
    </row>
    <row r="94" ht="22.5" customHeight="1">
      <c r="B94" s="7" t="s">
        <v>190</v>
      </c>
      <c r="C94" s="7">
        <v>13408.0</v>
      </c>
      <c r="D94" s="7">
        <v>309438.0</v>
      </c>
      <c r="E94" s="7">
        <v>2918952.0</v>
      </c>
      <c r="F94" s="7">
        <v>2843308.0</v>
      </c>
      <c r="G94" s="7">
        <v>5.8459844E7</v>
      </c>
      <c r="H94" s="7">
        <v>4.03458403E8</v>
      </c>
      <c r="I94" s="7">
        <v>132349.0</v>
      </c>
      <c r="J94" s="7">
        <v>126299.0</v>
      </c>
      <c r="K94" s="7">
        <v>6050.0</v>
      </c>
      <c r="L94" s="7">
        <v>43.53</v>
      </c>
      <c r="M94" s="7">
        <v>-0.22</v>
      </c>
      <c r="N94" s="7">
        <v>10929.0</v>
      </c>
      <c r="O94" s="7">
        <v>9368671.0</v>
      </c>
      <c r="P94" s="7" t="s">
        <v>409</v>
      </c>
      <c r="Q94" s="7">
        <v>297.37</v>
      </c>
      <c r="R94" s="3">
        <f t="shared" si="1"/>
        <v>297.37</v>
      </c>
      <c r="S94" s="9">
        <v>1382.36</v>
      </c>
      <c r="T94" s="10">
        <v>1382.36</v>
      </c>
      <c r="V94" s="5">
        <f t="shared" si="2"/>
        <v>1084.99</v>
      </c>
    </row>
    <row r="95" ht="22.5" customHeight="1">
      <c r="B95" s="7" t="s">
        <v>134</v>
      </c>
      <c r="C95" s="7">
        <v>1043.0</v>
      </c>
      <c r="D95" s="7">
        <v>2829.0</v>
      </c>
      <c r="E95" s="7">
        <v>4815072.0</v>
      </c>
      <c r="F95" s="7">
        <v>4763815.0</v>
      </c>
      <c r="G95" s="7">
        <v>5549498.0</v>
      </c>
      <c r="H95" s="7">
        <v>7.4670185E7</v>
      </c>
      <c r="I95" s="7">
        <v>161212.0</v>
      </c>
      <c r="J95" s="7">
        <v>125216.0</v>
      </c>
      <c r="K95" s="7">
        <v>35996.0</v>
      </c>
      <c r="L95" s="7">
        <v>22.54</v>
      </c>
      <c r="M95" s="7">
        <v>-0.03</v>
      </c>
      <c r="N95" s="7">
        <v>43475.0</v>
      </c>
      <c r="O95" s="7">
        <v>1766708.0</v>
      </c>
      <c r="P95" s="7" t="s">
        <v>410</v>
      </c>
      <c r="Q95" s="7">
        <v>300.68</v>
      </c>
      <c r="R95" s="3">
        <f t="shared" si="1"/>
        <v>300.68</v>
      </c>
      <c r="S95" s="9">
        <v>386.17</v>
      </c>
      <c r="T95" s="10">
        <v>386.17</v>
      </c>
      <c r="V95" s="5">
        <f t="shared" si="2"/>
        <v>85.49</v>
      </c>
    </row>
    <row r="96" ht="22.5" customHeight="1">
      <c r="B96" s="7" t="s">
        <v>183</v>
      </c>
      <c r="C96" s="7">
        <v>13408.0</v>
      </c>
      <c r="D96" s="7">
        <v>309439.0</v>
      </c>
      <c r="E96" s="7">
        <v>2405351.0</v>
      </c>
      <c r="F96" s="7">
        <v>2340960.0</v>
      </c>
      <c r="G96" s="7">
        <v>5.5499901E7</v>
      </c>
      <c r="H96" s="7">
        <v>3.05531749E8</v>
      </c>
      <c r="I96" s="7">
        <v>129326.0</v>
      </c>
      <c r="J96" s="7">
        <v>125945.0</v>
      </c>
      <c r="K96" s="7">
        <v>3381.0</v>
      </c>
      <c r="L96" s="7">
        <v>28.96</v>
      </c>
      <c r="M96" s="7">
        <v>-0.25</v>
      </c>
      <c r="N96" s="7">
        <v>6677.0</v>
      </c>
      <c r="O96" s="7">
        <v>9757246.0</v>
      </c>
      <c r="P96" s="7" t="s">
        <v>409</v>
      </c>
      <c r="Q96" s="7">
        <v>302.38</v>
      </c>
      <c r="R96" s="3">
        <f t="shared" si="1"/>
        <v>302.38</v>
      </c>
      <c r="S96" s="9">
        <v>453.21</v>
      </c>
      <c r="T96" s="10">
        <v>453.21</v>
      </c>
      <c r="V96" s="5">
        <f t="shared" si="2"/>
        <v>150.83</v>
      </c>
    </row>
    <row r="97" ht="22.5" customHeight="1">
      <c r="B97" s="7" t="s">
        <v>80</v>
      </c>
      <c r="C97" s="7">
        <v>2703.0</v>
      </c>
      <c r="D97" s="7">
        <v>17985.0</v>
      </c>
      <c r="E97" s="7">
        <v>1430653.0</v>
      </c>
      <c r="F97" s="7">
        <v>1410076.0</v>
      </c>
      <c r="G97" s="7">
        <v>2197143.0</v>
      </c>
      <c r="H97" s="7">
        <v>1.03725727E8</v>
      </c>
      <c r="I97" s="7">
        <v>51945.0</v>
      </c>
      <c r="J97" s="7">
        <v>44060.0</v>
      </c>
      <c r="K97" s="7">
        <v>7885.0</v>
      </c>
      <c r="L97" s="7">
        <v>29.03</v>
      </c>
      <c r="M97" s="7">
        <v>-0.06</v>
      </c>
      <c r="N97" s="7">
        <v>9801.0</v>
      </c>
      <c r="O97" s="7">
        <v>683218.0</v>
      </c>
      <c r="P97" s="7" t="s">
        <v>410</v>
      </c>
      <c r="Q97" s="7">
        <v>303.11</v>
      </c>
      <c r="R97" s="3">
        <f t="shared" si="1"/>
        <v>303.11</v>
      </c>
      <c r="S97" s="9">
        <v>170.84</v>
      </c>
      <c r="T97" s="10">
        <v>170.84</v>
      </c>
      <c r="V97" s="5">
        <f t="shared" si="2"/>
        <v>-132.27</v>
      </c>
    </row>
    <row r="98" ht="22.5" customHeight="1">
      <c r="B98" s="7" t="s">
        <v>25</v>
      </c>
      <c r="C98" s="7">
        <v>2205.0</v>
      </c>
      <c r="D98" s="7">
        <v>6555.0</v>
      </c>
      <c r="E98" s="7">
        <v>2406973.0</v>
      </c>
      <c r="F98" s="7">
        <v>2386452.0</v>
      </c>
      <c r="G98" s="7">
        <v>3263025.0</v>
      </c>
      <c r="H98" s="7">
        <v>2.09259459E8</v>
      </c>
      <c r="I98" s="7">
        <v>130019.0</v>
      </c>
      <c r="J98" s="7">
        <v>114370.0</v>
      </c>
      <c r="K98" s="7">
        <v>15649.0</v>
      </c>
      <c r="L98" s="7">
        <v>27.23</v>
      </c>
      <c r="M98" s="7">
        <v>-0.04</v>
      </c>
      <c r="N98" s="7">
        <v>18435.0</v>
      </c>
      <c r="O98" s="7">
        <v>1084965.0</v>
      </c>
      <c r="P98" s="7" t="s">
        <v>410</v>
      </c>
      <c r="Q98" s="7">
        <v>305.87</v>
      </c>
      <c r="R98" s="3">
        <f t="shared" si="1"/>
        <v>305.87</v>
      </c>
      <c r="S98" s="9">
        <v>28.36</v>
      </c>
      <c r="T98" s="10">
        <v>28.36</v>
      </c>
      <c r="V98" s="5">
        <f t="shared" si="2"/>
        <v>-277.51</v>
      </c>
    </row>
    <row r="99" ht="22.5" customHeight="1">
      <c r="B99" s="7" t="s">
        <v>92</v>
      </c>
      <c r="C99" s="7">
        <v>349350.0</v>
      </c>
      <c r="D99" s="7">
        <v>1419267.0</v>
      </c>
      <c r="E99" s="7">
        <v>1062045.0</v>
      </c>
      <c r="F99" s="7">
        <v>1035231.0</v>
      </c>
      <c r="G99" s="7">
        <v>3492025.0</v>
      </c>
      <c r="H99" s="7">
        <v>6.28916582E8</v>
      </c>
      <c r="I99" s="7">
        <v>47920.0</v>
      </c>
      <c r="J99" s="7">
        <v>43633.0</v>
      </c>
      <c r="K99" s="7">
        <v>4287.0</v>
      </c>
      <c r="L99" s="7">
        <v>30.82</v>
      </c>
      <c r="M99" s="7">
        <v>-0.14</v>
      </c>
      <c r="N99" s="7">
        <v>6357.0</v>
      </c>
      <c r="O99" s="7">
        <v>556962.0</v>
      </c>
      <c r="P99" s="7" t="s">
        <v>410</v>
      </c>
      <c r="Q99" s="7">
        <v>307.9</v>
      </c>
      <c r="R99" s="3">
        <f t="shared" si="1"/>
        <v>307.9</v>
      </c>
      <c r="S99" s="9">
        <v>231.32</v>
      </c>
      <c r="T99" s="10">
        <v>231.32</v>
      </c>
      <c r="V99" s="5">
        <f t="shared" si="2"/>
        <v>-76.58</v>
      </c>
    </row>
    <row r="100" ht="22.5" customHeight="1">
      <c r="B100" s="7" t="s">
        <v>66</v>
      </c>
      <c r="C100" s="7">
        <v>3426.0</v>
      </c>
      <c r="D100" s="7">
        <v>20302.0</v>
      </c>
      <c r="E100" s="7">
        <v>1533191.0</v>
      </c>
      <c r="F100" s="7">
        <v>1533167.0</v>
      </c>
      <c r="G100" s="7">
        <v>1536422.0</v>
      </c>
      <c r="H100" s="7">
        <v>1.32852268E9</v>
      </c>
      <c r="I100" s="7">
        <v>36661.0</v>
      </c>
      <c r="J100" s="7">
        <v>23360.0</v>
      </c>
      <c r="K100" s="7">
        <v>13301.0</v>
      </c>
      <c r="L100" s="7">
        <v>18.11</v>
      </c>
      <c r="M100" s="7">
        <v>0.0</v>
      </c>
      <c r="N100" s="7">
        <v>15033.0</v>
      </c>
      <c r="O100" s="7">
        <v>784352.0</v>
      </c>
      <c r="P100" s="7" t="s">
        <v>409</v>
      </c>
      <c r="Q100" s="7">
        <v>310.7</v>
      </c>
      <c r="R100" s="3">
        <f t="shared" si="1"/>
        <v>310.7</v>
      </c>
      <c r="S100" s="9">
        <v>3182.69</v>
      </c>
      <c r="T100" s="10">
        <v>3182.69</v>
      </c>
      <c r="V100" s="5">
        <f t="shared" si="2"/>
        <v>2871.99</v>
      </c>
    </row>
    <row r="101" ht="22.5" customHeight="1">
      <c r="B101" s="7" t="s">
        <v>151</v>
      </c>
      <c r="C101" s="7">
        <v>47040.0</v>
      </c>
      <c r="D101" s="7">
        <v>178880.0</v>
      </c>
      <c r="E101" s="7">
        <v>846150.0</v>
      </c>
      <c r="F101" s="7">
        <v>824177.0</v>
      </c>
      <c r="G101" s="7">
        <v>9001788.0</v>
      </c>
      <c r="H101" s="7">
        <v>2.058798732E9</v>
      </c>
      <c r="I101" s="7">
        <v>31629.0</v>
      </c>
      <c r="J101" s="7">
        <v>28215.0</v>
      </c>
      <c r="K101" s="7">
        <v>3414.0</v>
      </c>
      <c r="L101" s="7">
        <v>94.02</v>
      </c>
      <c r="M101" s="7">
        <v>-0.11</v>
      </c>
      <c r="N101" s="7">
        <v>4937.0</v>
      </c>
      <c r="O101" s="7">
        <v>626424.0</v>
      </c>
      <c r="P101" s="7" t="s">
        <v>409</v>
      </c>
      <c r="Q101" s="7">
        <v>313.06</v>
      </c>
      <c r="R101" s="3">
        <f t="shared" si="1"/>
        <v>313.06</v>
      </c>
      <c r="S101" s="9">
        <v>1193.31</v>
      </c>
      <c r="T101" s="10">
        <v>1193.31</v>
      </c>
      <c r="V101" s="5">
        <f t="shared" si="2"/>
        <v>880.25</v>
      </c>
    </row>
    <row r="102" ht="22.5" customHeight="1">
      <c r="B102" s="7" t="s">
        <v>152</v>
      </c>
      <c r="C102" s="7">
        <v>501284.0</v>
      </c>
      <c r="D102" s="7">
        <v>2745938.0</v>
      </c>
      <c r="E102" s="7">
        <v>2038933.0</v>
      </c>
      <c r="F102" s="7">
        <v>2029197.0</v>
      </c>
      <c r="G102" s="7">
        <v>1.6256989E7</v>
      </c>
      <c r="H102" s="7">
        <v>1.44525026E8</v>
      </c>
      <c r="I102" s="7">
        <v>122368.0</v>
      </c>
      <c r="J102" s="7">
        <v>114442.0</v>
      </c>
      <c r="K102" s="7">
        <v>7926.0</v>
      </c>
      <c r="L102" s="7">
        <v>16.0</v>
      </c>
      <c r="M102" s="7">
        <v>-0.07</v>
      </c>
      <c r="N102" s="7">
        <v>9849.0</v>
      </c>
      <c r="O102" s="7">
        <v>2062890.0</v>
      </c>
      <c r="P102" s="7" t="s">
        <v>410</v>
      </c>
      <c r="Q102" s="7">
        <v>319.31</v>
      </c>
      <c r="R102" s="3">
        <f t="shared" si="1"/>
        <v>319.31</v>
      </c>
      <c r="S102" s="9">
        <v>544.32</v>
      </c>
      <c r="T102" s="10">
        <v>544.32</v>
      </c>
      <c r="V102" s="5">
        <f t="shared" si="2"/>
        <v>225.01</v>
      </c>
    </row>
    <row r="103" ht="22.5" customHeight="1">
      <c r="B103" s="7" t="s">
        <v>102</v>
      </c>
      <c r="C103" s="7">
        <v>110108.0</v>
      </c>
      <c r="D103" s="7">
        <v>506718.0</v>
      </c>
      <c r="E103" s="7">
        <v>234918.0</v>
      </c>
      <c r="F103" s="7">
        <v>226819.0</v>
      </c>
      <c r="G103" s="7">
        <v>500091.0</v>
      </c>
      <c r="H103" s="7">
        <v>1.017099499E9</v>
      </c>
      <c r="I103" s="7">
        <v>8146.0</v>
      </c>
      <c r="J103" s="7">
        <v>7086.0</v>
      </c>
      <c r="K103" s="7">
        <v>1060.0</v>
      </c>
      <c r="L103" s="7">
        <v>135.02</v>
      </c>
      <c r="M103" s="7">
        <v>-0.07</v>
      </c>
      <c r="N103" s="7">
        <v>1511.0</v>
      </c>
      <c r="O103" s="7">
        <v>100942.0</v>
      </c>
      <c r="P103" s="7" t="s">
        <v>410</v>
      </c>
      <c r="Q103" s="7">
        <v>322.67</v>
      </c>
      <c r="R103" s="3">
        <f t="shared" si="1"/>
        <v>322.67</v>
      </c>
      <c r="S103" s="9">
        <v>198.17</v>
      </c>
      <c r="T103" s="10">
        <v>198.17</v>
      </c>
      <c r="V103" s="5">
        <f t="shared" si="2"/>
        <v>-124.5</v>
      </c>
    </row>
    <row r="104" ht="22.5" customHeight="1">
      <c r="B104" s="7" t="s">
        <v>63</v>
      </c>
      <c r="C104" s="7">
        <v>26275.0</v>
      </c>
      <c r="D104" s="7">
        <v>121056.0</v>
      </c>
      <c r="E104" s="7">
        <v>289448.0</v>
      </c>
      <c r="F104" s="7">
        <v>288004.0</v>
      </c>
      <c r="G104" s="7">
        <v>315357.0</v>
      </c>
      <c r="H104" s="7">
        <v>1.411753997E9</v>
      </c>
      <c r="I104" s="7">
        <v>7370.0</v>
      </c>
      <c r="J104" s="7">
        <v>4628.0</v>
      </c>
      <c r="K104" s="7">
        <v>2742.0</v>
      </c>
      <c r="L104" s="7">
        <v>18.68</v>
      </c>
      <c r="M104" s="7">
        <v>-0.01</v>
      </c>
      <c r="N104" s="7">
        <v>3195.0</v>
      </c>
      <c r="O104" s="7">
        <v>110060.0</v>
      </c>
      <c r="P104" s="7" t="s">
        <v>410</v>
      </c>
      <c r="Q104" s="7">
        <v>323.53</v>
      </c>
      <c r="R104" s="3">
        <f t="shared" si="1"/>
        <v>323.53</v>
      </c>
      <c r="S104" s="9">
        <v>174.58</v>
      </c>
      <c r="T104" s="10">
        <v>174.58</v>
      </c>
      <c r="V104" s="5">
        <f t="shared" si="2"/>
        <v>-148.95</v>
      </c>
    </row>
    <row r="105" ht="22.5" customHeight="1">
      <c r="B105" s="7" t="s">
        <v>90</v>
      </c>
      <c r="C105" s="7">
        <v>224962.0</v>
      </c>
      <c r="D105" s="7">
        <v>1192377.0</v>
      </c>
      <c r="E105" s="7">
        <v>600511.0</v>
      </c>
      <c r="F105" s="7">
        <v>505571.0</v>
      </c>
      <c r="G105" s="7">
        <v>5382682.0</v>
      </c>
      <c r="H105" s="7">
        <v>1.496076023E9</v>
      </c>
      <c r="I105" s="7">
        <v>24585.0</v>
      </c>
      <c r="J105" s="7">
        <v>22743.0</v>
      </c>
      <c r="K105" s="7">
        <v>1842.0</v>
      </c>
      <c r="L105" s="7">
        <v>207.61</v>
      </c>
      <c r="M105" s="7">
        <v>-0.13</v>
      </c>
      <c r="N105" s="7">
        <v>2604.0</v>
      </c>
      <c r="O105" s="7">
        <v>607931.0</v>
      </c>
      <c r="P105" s="7" t="s">
        <v>409</v>
      </c>
      <c r="Q105" s="7">
        <v>324.69</v>
      </c>
      <c r="R105" s="3">
        <f t="shared" si="1"/>
        <v>324.69</v>
      </c>
      <c r="S105" s="9">
        <v>178.81</v>
      </c>
      <c r="T105" s="10">
        <v>178.81</v>
      </c>
      <c r="V105" s="5">
        <f t="shared" si="2"/>
        <v>-145.88</v>
      </c>
    </row>
    <row r="106" ht="22.5" customHeight="1">
      <c r="B106" s="7" t="s">
        <v>24</v>
      </c>
      <c r="C106" s="7">
        <v>4020.0</v>
      </c>
      <c r="D106" s="7">
        <v>466486.0</v>
      </c>
      <c r="E106" s="7">
        <v>2284779.0</v>
      </c>
      <c r="F106" s="7">
        <v>2247910.0</v>
      </c>
      <c r="G106" s="7">
        <v>3166448.0</v>
      </c>
      <c r="H106" s="7">
        <v>2.72457348E8</v>
      </c>
      <c r="I106" s="7">
        <v>89176.0</v>
      </c>
      <c r="J106" s="7">
        <v>75703.0</v>
      </c>
      <c r="K106" s="7">
        <v>13473.0</v>
      </c>
      <c r="L106" s="7">
        <v>88.45</v>
      </c>
      <c r="M106" s="7">
        <v>-0.04</v>
      </c>
      <c r="N106" s="7">
        <v>15915.0</v>
      </c>
      <c r="O106" s="7">
        <v>1244846.0</v>
      </c>
      <c r="P106" s="7" t="s">
        <v>409</v>
      </c>
      <c r="Q106" s="7">
        <v>328.65</v>
      </c>
      <c r="R106" s="3">
        <f t="shared" si="1"/>
        <v>328.65</v>
      </c>
      <c r="S106" s="9">
        <v>285.48</v>
      </c>
      <c r="T106" s="10">
        <v>285.48</v>
      </c>
      <c r="V106" s="5">
        <f t="shared" si="2"/>
        <v>-43.17</v>
      </c>
    </row>
    <row r="107" ht="22.5" customHeight="1">
      <c r="B107" s="7" t="s">
        <v>120</v>
      </c>
      <c r="C107" s="7">
        <v>1140.0</v>
      </c>
      <c r="D107" s="7">
        <v>4253.0</v>
      </c>
      <c r="E107" s="7">
        <v>3381078.0</v>
      </c>
      <c r="F107" s="7">
        <v>3342174.0</v>
      </c>
      <c r="G107" s="7">
        <v>5159473.0</v>
      </c>
      <c r="H107" s="7">
        <v>1.45509703E8</v>
      </c>
      <c r="I107" s="7">
        <v>136132.0</v>
      </c>
      <c r="J107" s="7">
        <v>109589.0</v>
      </c>
      <c r="K107" s="7">
        <v>26543.0</v>
      </c>
      <c r="L107" s="7">
        <v>19.61</v>
      </c>
      <c r="M107" s="7">
        <v>-0.06</v>
      </c>
      <c r="N107" s="7">
        <v>32086.0</v>
      </c>
      <c r="O107" s="7">
        <v>1112549.0</v>
      </c>
      <c r="P107" s="7" t="s">
        <v>410</v>
      </c>
      <c r="Q107" s="7">
        <v>331.12</v>
      </c>
      <c r="R107" s="3">
        <f t="shared" si="1"/>
        <v>331.12</v>
      </c>
      <c r="S107" s="9">
        <v>297.3</v>
      </c>
      <c r="T107" s="10">
        <v>297.3</v>
      </c>
      <c r="V107" s="5">
        <f t="shared" si="2"/>
        <v>-33.82</v>
      </c>
    </row>
    <row r="108" ht="22.5" customHeight="1">
      <c r="B108" s="7" t="s">
        <v>235</v>
      </c>
      <c r="C108" s="7">
        <v>1728.0</v>
      </c>
      <c r="D108" s="7">
        <v>19526.0</v>
      </c>
      <c r="E108" s="7">
        <v>5038832.0</v>
      </c>
      <c r="F108" s="7">
        <v>5014591.0</v>
      </c>
      <c r="G108" s="7">
        <v>6210854.0</v>
      </c>
      <c r="H108" s="7">
        <v>6.4828748E7</v>
      </c>
      <c r="I108" s="7">
        <v>192243.0</v>
      </c>
      <c r="J108" s="7">
        <v>138994.0</v>
      </c>
      <c r="K108" s="7">
        <v>53249.0</v>
      </c>
      <c r="L108" s="7">
        <v>43.31</v>
      </c>
      <c r="M108" s="7">
        <v>-0.02</v>
      </c>
      <c r="N108" s="7">
        <v>59975.0</v>
      </c>
      <c r="O108" s="7">
        <v>1966920.0</v>
      </c>
      <c r="P108" s="7" t="s">
        <v>410</v>
      </c>
      <c r="Q108" s="7">
        <v>332.39</v>
      </c>
      <c r="R108" s="3">
        <f t="shared" si="1"/>
        <v>332.39</v>
      </c>
      <c r="S108" s="9">
        <v>2549.08</v>
      </c>
      <c r="T108" s="10">
        <v>2549.08</v>
      </c>
      <c r="V108" s="5">
        <f t="shared" si="2"/>
        <v>2216.69</v>
      </c>
    </row>
    <row r="109" ht="22.5" customHeight="1">
      <c r="B109" s="7" t="s">
        <v>57</v>
      </c>
      <c r="C109" s="7">
        <v>36208.0</v>
      </c>
      <c r="D109" s="7">
        <v>7010872.0</v>
      </c>
      <c r="E109" s="7">
        <v>328328.0</v>
      </c>
      <c r="F109" s="7">
        <v>320151.0</v>
      </c>
      <c r="G109" s="7">
        <v>794580.0</v>
      </c>
      <c r="H109" s="7">
        <v>2.22670165E8</v>
      </c>
      <c r="I109" s="7">
        <v>4766.0</v>
      </c>
      <c r="J109" s="7">
        <v>2115.0</v>
      </c>
      <c r="K109" s="7">
        <v>2651.0</v>
      </c>
      <c r="L109" s="7">
        <v>288.44</v>
      </c>
      <c r="M109" s="7">
        <v>-0.05</v>
      </c>
      <c r="N109" s="7">
        <v>3099.0</v>
      </c>
      <c r="O109" s="7">
        <v>247738.0</v>
      </c>
      <c r="P109" s="7" t="s">
        <v>410</v>
      </c>
      <c r="Q109" s="7">
        <v>333.87</v>
      </c>
      <c r="R109" s="3">
        <f t="shared" si="1"/>
        <v>333.87</v>
      </c>
      <c r="S109" s="9">
        <v>96.27</v>
      </c>
      <c r="T109" s="10">
        <v>96.27</v>
      </c>
      <c r="V109" s="5">
        <f t="shared" si="2"/>
        <v>-237.6</v>
      </c>
    </row>
    <row r="110" ht="22.5" customHeight="1">
      <c r="B110" s="7" t="s">
        <v>129</v>
      </c>
      <c r="C110" s="7">
        <v>2470.0</v>
      </c>
      <c r="D110" s="7">
        <v>10585.0</v>
      </c>
      <c r="E110" s="7">
        <v>2342214.0</v>
      </c>
      <c r="F110" s="7">
        <v>2304355.0</v>
      </c>
      <c r="G110" s="7">
        <v>4941989.0</v>
      </c>
      <c r="H110" s="7">
        <v>2.21021333E8</v>
      </c>
      <c r="I110" s="7">
        <v>136895.0</v>
      </c>
      <c r="J110" s="7">
        <v>124956.0</v>
      </c>
      <c r="K110" s="7">
        <v>11939.0</v>
      </c>
      <c r="L110" s="7">
        <v>34.63</v>
      </c>
      <c r="M110" s="7">
        <v>-0.09</v>
      </c>
      <c r="N110" s="7">
        <v>14668.0</v>
      </c>
      <c r="O110" s="7">
        <v>1075646.0</v>
      </c>
      <c r="P110" s="7" t="s">
        <v>409</v>
      </c>
      <c r="Q110" s="7">
        <v>337.68</v>
      </c>
      <c r="R110" s="3">
        <f t="shared" si="1"/>
        <v>337.68</v>
      </c>
      <c r="S110" s="9">
        <v>475.3</v>
      </c>
      <c r="T110" s="10">
        <v>475.3</v>
      </c>
      <c r="V110" s="5">
        <f t="shared" si="2"/>
        <v>137.62</v>
      </c>
    </row>
    <row r="111" ht="22.5" customHeight="1">
      <c r="B111" s="7" t="s">
        <v>50</v>
      </c>
      <c r="C111" s="7">
        <v>1458.0</v>
      </c>
      <c r="D111" s="7">
        <v>30499.0</v>
      </c>
      <c r="E111" s="7">
        <v>2343845.0</v>
      </c>
      <c r="F111" s="7">
        <v>2300683.0</v>
      </c>
      <c r="G111" s="7">
        <v>5672506.0</v>
      </c>
      <c r="H111" s="7">
        <v>1.44822092E8</v>
      </c>
      <c r="I111" s="7">
        <v>116367.0</v>
      </c>
      <c r="J111" s="7">
        <v>106921.0</v>
      </c>
      <c r="K111" s="7">
        <v>9446.0</v>
      </c>
      <c r="L111" s="7">
        <v>42.69</v>
      </c>
      <c r="M111" s="7">
        <v>-0.09</v>
      </c>
      <c r="N111" s="7">
        <v>12277.0</v>
      </c>
      <c r="O111" s="7">
        <v>1181315.0</v>
      </c>
      <c r="P111" s="7" t="s">
        <v>409</v>
      </c>
      <c r="Q111" s="7">
        <v>340.28</v>
      </c>
      <c r="R111" s="3">
        <f t="shared" si="1"/>
        <v>340.28</v>
      </c>
      <c r="S111" s="9">
        <v>300.73</v>
      </c>
      <c r="T111" s="10">
        <v>300.73</v>
      </c>
      <c r="V111" s="5">
        <f t="shared" si="2"/>
        <v>-39.55</v>
      </c>
    </row>
    <row r="112" ht="22.5" customHeight="1">
      <c r="B112" s="7" t="s">
        <v>69</v>
      </c>
      <c r="C112" s="7">
        <v>827.0</v>
      </c>
      <c r="D112" s="7">
        <v>20629.0</v>
      </c>
      <c r="E112" s="7">
        <v>1402954.0</v>
      </c>
      <c r="F112" s="7">
        <v>1391882.0</v>
      </c>
      <c r="G112" s="7">
        <v>2482999.0</v>
      </c>
      <c r="H112" s="7">
        <v>1.44424263E8</v>
      </c>
      <c r="I112" s="7">
        <v>88254.0</v>
      </c>
      <c r="J112" s="7">
        <v>78315.0</v>
      </c>
      <c r="K112" s="7">
        <v>9939.0</v>
      </c>
      <c r="L112" s="7">
        <v>25.61</v>
      </c>
      <c r="M112" s="7">
        <v>-0.07</v>
      </c>
      <c r="N112" s="7">
        <v>11778.0</v>
      </c>
      <c r="O112" s="7">
        <v>531196.0</v>
      </c>
      <c r="P112" s="7" t="s">
        <v>409</v>
      </c>
      <c r="Q112" s="7">
        <v>341.14</v>
      </c>
      <c r="R112" s="3">
        <f t="shared" si="1"/>
        <v>341.14</v>
      </c>
      <c r="S112" s="9">
        <v>407.06</v>
      </c>
      <c r="T112" s="10">
        <v>407.06</v>
      </c>
      <c r="V112" s="5">
        <f t="shared" si="2"/>
        <v>65.92</v>
      </c>
    </row>
    <row r="113" ht="22.5" customHeight="1">
      <c r="B113" s="7" t="s">
        <v>23</v>
      </c>
      <c r="C113" s="7">
        <v>53919.0</v>
      </c>
      <c r="D113" s="7">
        <v>307816.0</v>
      </c>
      <c r="E113" s="7">
        <v>915107.0</v>
      </c>
      <c r="F113" s="7">
        <v>889986.0</v>
      </c>
      <c r="G113" s="7">
        <v>3010235.0</v>
      </c>
      <c r="H113" s="7">
        <v>8.91467671E8</v>
      </c>
      <c r="I113" s="7">
        <v>30019.0</v>
      </c>
      <c r="J113" s="7">
        <v>25182.0</v>
      </c>
      <c r="K113" s="7">
        <v>4837.0</v>
      </c>
      <c r="L113" s="7">
        <v>98.98</v>
      </c>
      <c r="M113" s="7">
        <v>-0.08</v>
      </c>
      <c r="N113" s="7">
        <v>6524.0</v>
      </c>
      <c r="O113" s="7">
        <v>332489.0</v>
      </c>
      <c r="P113" s="7" t="s">
        <v>409</v>
      </c>
      <c r="Q113" s="7">
        <v>350.18</v>
      </c>
      <c r="R113" s="3">
        <f t="shared" si="1"/>
        <v>350.18</v>
      </c>
      <c r="S113" s="9">
        <v>491.17</v>
      </c>
      <c r="T113" s="10">
        <v>491.17</v>
      </c>
      <c r="V113" s="5">
        <f t="shared" si="2"/>
        <v>140.99</v>
      </c>
    </row>
    <row r="114" ht="22.5" customHeight="1">
      <c r="B114" s="7" t="s">
        <v>121</v>
      </c>
      <c r="C114" s="7">
        <v>1140.0</v>
      </c>
      <c r="D114" s="7">
        <v>4253.0</v>
      </c>
      <c r="E114" s="7">
        <v>3075469.0</v>
      </c>
      <c r="F114" s="7">
        <v>3041144.0</v>
      </c>
      <c r="G114" s="7">
        <v>4813899.0</v>
      </c>
      <c r="H114" s="7">
        <v>1.41571151E8</v>
      </c>
      <c r="I114" s="7">
        <v>132079.0</v>
      </c>
      <c r="J114" s="7">
        <v>110486.0</v>
      </c>
      <c r="K114" s="7">
        <v>21593.0</v>
      </c>
      <c r="L114" s="7">
        <v>20.76</v>
      </c>
      <c r="M114" s="7">
        <v>-0.06</v>
      </c>
      <c r="N114" s="7">
        <v>26334.0</v>
      </c>
      <c r="O114" s="7">
        <v>1103797.0</v>
      </c>
      <c r="P114" s="7" t="s">
        <v>410</v>
      </c>
      <c r="Q114" s="7">
        <v>353.91</v>
      </c>
      <c r="R114" s="3">
        <f t="shared" si="1"/>
        <v>353.91</v>
      </c>
      <c r="S114" s="9">
        <v>337.78</v>
      </c>
      <c r="T114" s="10">
        <v>337.78</v>
      </c>
      <c r="V114" s="5">
        <f t="shared" si="2"/>
        <v>-16.13</v>
      </c>
    </row>
    <row r="115" ht="22.5" customHeight="1">
      <c r="B115" s="7" t="s">
        <v>48</v>
      </c>
      <c r="C115" s="7">
        <v>3559.0</v>
      </c>
      <c r="D115" s="7">
        <v>14096.0</v>
      </c>
      <c r="E115" s="7">
        <v>2606091.0</v>
      </c>
      <c r="F115" s="7">
        <v>2571223.0</v>
      </c>
      <c r="G115" s="7">
        <v>5031939.0</v>
      </c>
      <c r="H115" s="7">
        <v>2.76646319E8</v>
      </c>
      <c r="I115" s="7">
        <v>141831.0</v>
      </c>
      <c r="J115" s="7">
        <v>124382.0</v>
      </c>
      <c r="K115" s="7">
        <v>17449.0</v>
      </c>
      <c r="L115" s="7">
        <v>33.46</v>
      </c>
      <c r="M115" s="7">
        <v>-0.08</v>
      </c>
      <c r="N115" s="7">
        <v>20820.0</v>
      </c>
      <c r="O115" s="7">
        <v>1082549.0</v>
      </c>
      <c r="P115" s="7" t="s">
        <v>409</v>
      </c>
      <c r="Q115" s="7">
        <v>366.42</v>
      </c>
      <c r="R115" s="3">
        <f t="shared" si="1"/>
        <v>366.42</v>
      </c>
      <c r="S115" s="9">
        <v>256.57</v>
      </c>
      <c r="T115" s="10">
        <v>256.57</v>
      </c>
      <c r="V115" s="5">
        <f t="shared" si="2"/>
        <v>-109.85</v>
      </c>
    </row>
    <row r="116" ht="22.5" customHeight="1">
      <c r="B116" s="7" t="s">
        <v>109</v>
      </c>
      <c r="C116" s="7">
        <v>2275.0</v>
      </c>
      <c r="D116" s="7">
        <v>6764.0</v>
      </c>
      <c r="E116" s="7">
        <v>2445474.0</v>
      </c>
      <c r="F116" s="7">
        <v>2417094.0</v>
      </c>
      <c r="G116" s="7">
        <v>3332178.0</v>
      </c>
      <c r="H116" s="7">
        <v>2.50307273E8</v>
      </c>
      <c r="I116" s="7">
        <v>125242.0</v>
      </c>
      <c r="J116" s="7">
        <v>108629.0</v>
      </c>
      <c r="K116" s="7">
        <v>16613.0</v>
      </c>
      <c r="L116" s="7">
        <v>27.64</v>
      </c>
      <c r="M116" s="7">
        <v>-0.04</v>
      </c>
      <c r="N116" s="7">
        <v>19485.0</v>
      </c>
      <c r="O116" s="7">
        <v>1113076.0</v>
      </c>
      <c r="P116" s="7" t="s">
        <v>410</v>
      </c>
      <c r="Q116" s="7">
        <v>367.77</v>
      </c>
      <c r="R116" s="3">
        <f t="shared" si="1"/>
        <v>367.77</v>
      </c>
      <c r="S116" s="9">
        <v>205.26</v>
      </c>
      <c r="T116" s="10">
        <v>205.26</v>
      </c>
      <c r="V116" s="5">
        <f t="shared" si="2"/>
        <v>-162.51</v>
      </c>
    </row>
    <row r="117" ht="22.5" customHeight="1">
      <c r="B117" s="7" t="s">
        <v>100</v>
      </c>
      <c r="C117" s="7">
        <v>2692.0</v>
      </c>
      <c r="D117" s="7">
        <v>79064.0</v>
      </c>
      <c r="E117" s="7">
        <v>2137081.0</v>
      </c>
      <c r="F117" s="7">
        <v>2088963.0</v>
      </c>
      <c r="G117" s="7">
        <v>5920892.0</v>
      </c>
      <c r="H117" s="7">
        <v>2.79300564E8</v>
      </c>
      <c r="I117" s="7">
        <v>94103.0</v>
      </c>
      <c r="J117" s="7">
        <v>86683.0</v>
      </c>
      <c r="K117" s="7">
        <v>7420.0</v>
      </c>
      <c r="L117" s="7">
        <v>64.06</v>
      </c>
      <c r="M117" s="7">
        <v>-0.11</v>
      </c>
      <c r="N117" s="7">
        <v>9648.0</v>
      </c>
      <c r="O117" s="7">
        <v>1648822.0</v>
      </c>
      <c r="P117" s="7" t="s">
        <v>409</v>
      </c>
      <c r="Q117" s="7">
        <v>368.83</v>
      </c>
      <c r="R117" s="3">
        <f t="shared" si="1"/>
        <v>368.83</v>
      </c>
      <c r="S117" s="9">
        <v>270.14</v>
      </c>
      <c r="T117" s="10">
        <v>270.14</v>
      </c>
      <c r="V117" s="5">
        <f t="shared" si="2"/>
        <v>-98.69</v>
      </c>
    </row>
    <row r="118" ht="22.5" customHeight="1">
      <c r="B118" s="7" t="s">
        <v>118</v>
      </c>
      <c r="C118" s="7">
        <v>1140.0</v>
      </c>
      <c r="D118" s="7">
        <v>4253.0</v>
      </c>
      <c r="E118" s="7">
        <v>3410042.0</v>
      </c>
      <c r="F118" s="7">
        <v>3371443.0</v>
      </c>
      <c r="G118" s="7">
        <v>5239689.0</v>
      </c>
      <c r="H118" s="7">
        <v>1.46406219E8</v>
      </c>
      <c r="I118" s="7">
        <v>138780.0</v>
      </c>
      <c r="J118" s="7">
        <v>112669.0</v>
      </c>
      <c r="K118" s="7">
        <v>26111.0</v>
      </c>
      <c r="L118" s="7">
        <v>19.53</v>
      </c>
      <c r="M118" s="7">
        <v>-0.06</v>
      </c>
      <c r="N118" s="7">
        <v>31766.0</v>
      </c>
      <c r="O118" s="7">
        <v>1101881.0</v>
      </c>
      <c r="P118" s="7" t="s">
        <v>410</v>
      </c>
      <c r="Q118" s="7">
        <v>369.98</v>
      </c>
      <c r="R118" s="3">
        <f t="shared" si="1"/>
        <v>369.98</v>
      </c>
      <c r="S118" s="9">
        <v>282.65</v>
      </c>
      <c r="T118" s="10">
        <v>282.65</v>
      </c>
      <c r="V118" s="5">
        <f t="shared" si="2"/>
        <v>-87.33</v>
      </c>
    </row>
    <row r="119" ht="22.5" customHeight="1">
      <c r="B119" s="7" t="s">
        <v>380</v>
      </c>
      <c r="C119" s="7">
        <v>3220.0</v>
      </c>
      <c r="D119" s="7">
        <v>12314.0</v>
      </c>
      <c r="E119" s="7">
        <v>3807844.0</v>
      </c>
      <c r="F119" s="7">
        <v>3753339.0</v>
      </c>
      <c r="G119" s="7">
        <v>9341419.0</v>
      </c>
      <c r="H119" s="7">
        <v>2.63337299E8</v>
      </c>
      <c r="I119" s="7">
        <v>156032.0</v>
      </c>
      <c r="J119" s="7">
        <v>130350.0</v>
      </c>
      <c r="K119" s="7">
        <v>25682.0</v>
      </c>
      <c r="L119" s="7">
        <v>35.07</v>
      </c>
      <c r="M119" s="7">
        <v>-0.08</v>
      </c>
      <c r="N119" s="7">
        <v>32668.0</v>
      </c>
      <c r="O119" s="7">
        <v>1195169.0</v>
      </c>
      <c r="P119" s="7" t="s">
        <v>409</v>
      </c>
      <c r="Q119" s="7">
        <v>375.09</v>
      </c>
      <c r="R119" s="3">
        <f t="shared" si="1"/>
        <v>375.09</v>
      </c>
      <c r="S119" s="9">
        <v>720.89</v>
      </c>
      <c r="T119" s="10">
        <v>720.89</v>
      </c>
      <c r="V119" s="5">
        <f t="shared" si="2"/>
        <v>345.8</v>
      </c>
    </row>
    <row r="120" ht="22.5" customHeight="1">
      <c r="B120" s="7" t="s">
        <v>126</v>
      </c>
      <c r="C120" s="7">
        <v>2089.0</v>
      </c>
      <c r="D120" s="7">
        <v>6206.0</v>
      </c>
      <c r="E120" s="7">
        <v>2401733.0</v>
      </c>
      <c r="F120" s="7">
        <v>2381306.0</v>
      </c>
      <c r="G120" s="7">
        <v>2953695.0</v>
      </c>
      <c r="H120" s="7">
        <v>2.53362545E8</v>
      </c>
      <c r="I120" s="7">
        <v>123322.0</v>
      </c>
      <c r="J120" s="7">
        <v>107363.0</v>
      </c>
      <c r="K120" s="7">
        <v>15959.0</v>
      </c>
      <c r="L120" s="7">
        <v>27.86</v>
      </c>
      <c r="M120" s="7">
        <v>-0.03</v>
      </c>
      <c r="N120" s="7">
        <v>18717.0</v>
      </c>
      <c r="O120" s="7">
        <v>1090168.0</v>
      </c>
      <c r="P120" s="7" t="s">
        <v>410</v>
      </c>
      <c r="Q120" s="7">
        <v>387.56</v>
      </c>
      <c r="R120" s="3">
        <f t="shared" si="1"/>
        <v>387.56</v>
      </c>
      <c r="S120" s="9">
        <v>406.05</v>
      </c>
      <c r="T120" s="10">
        <v>406.05</v>
      </c>
      <c r="V120" s="5">
        <f t="shared" si="2"/>
        <v>18.49</v>
      </c>
    </row>
    <row r="121" ht="22.5" customHeight="1">
      <c r="B121" s="7" t="s">
        <v>27</v>
      </c>
      <c r="C121" s="7">
        <v>320.0</v>
      </c>
      <c r="D121" s="7">
        <v>1120.0</v>
      </c>
      <c r="E121" s="7">
        <v>2850152.0</v>
      </c>
      <c r="F121" s="7">
        <v>2784259.0</v>
      </c>
      <c r="G121" s="7">
        <v>5408777.0</v>
      </c>
      <c r="H121" s="7">
        <v>1.22772611E8</v>
      </c>
      <c r="I121" s="7">
        <v>95023.0</v>
      </c>
      <c r="J121" s="7">
        <v>78235.0</v>
      </c>
      <c r="K121" s="7">
        <v>16788.0</v>
      </c>
      <c r="L121" s="7">
        <v>24.36</v>
      </c>
      <c r="M121" s="7">
        <v>-0.06</v>
      </c>
      <c r="N121" s="7">
        <v>20982.0</v>
      </c>
      <c r="O121" s="7">
        <v>1184950.0</v>
      </c>
      <c r="P121" s="7" t="s">
        <v>409</v>
      </c>
      <c r="Q121" s="7">
        <v>390.71</v>
      </c>
      <c r="R121" s="3">
        <f t="shared" si="1"/>
        <v>390.71</v>
      </c>
      <c r="S121" s="9">
        <v>30.82</v>
      </c>
      <c r="T121" s="10">
        <v>30.82</v>
      </c>
      <c r="V121" s="5">
        <f t="shared" si="2"/>
        <v>-359.89</v>
      </c>
    </row>
    <row r="122" ht="22.5" customHeight="1">
      <c r="B122" s="7" t="s">
        <v>58</v>
      </c>
      <c r="C122" s="7">
        <v>55333.0</v>
      </c>
      <c r="D122" s="7">
        <v>219128.0</v>
      </c>
      <c r="E122" s="7">
        <v>2080453.0</v>
      </c>
      <c r="F122" s="7">
        <v>2032577.0</v>
      </c>
      <c r="G122" s="7">
        <v>6.3909957E7</v>
      </c>
      <c r="H122" s="7">
        <v>6.18596347E8</v>
      </c>
      <c r="I122" s="7">
        <v>143591.0</v>
      </c>
      <c r="J122" s="7">
        <v>139459.0</v>
      </c>
      <c r="K122" s="7">
        <v>4132.0</v>
      </c>
      <c r="L122" s="7">
        <v>71.48</v>
      </c>
      <c r="M122" s="7">
        <v>-0.18</v>
      </c>
      <c r="N122" s="7">
        <v>6325.0</v>
      </c>
      <c r="O122" s="7">
        <v>3869567.0</v>
      </c>
      <c r="P122" s="7" t="s">
        <v>409</v>
      </c>
      <c r="Q122" s="7">
        <v>391.47</v>
      </c>
      <c r="R122" s="3">
        <f t="shared" si="1"/>
        <v>391.47</v>
      </c>
      <c r="S122" s="9">
        <v>144.48</v>
      </c>
      <c r="T122" s="10">
        <v>144.48</v>
      </c>
      <c r="V122" s="5">
        <f t="shared" si="2"/>
        <v>-246.99</v>
      </c>
    </row>
    <row r="123" ht="22.5" customHeight="1">
      <c r="B123" s="7" t="s">
        <v>98</v>
      </c>
      <c r="C123" s="7">
        <v>1579557.0</v>
      </c>
      <c r="D123" s="7">
        <v>5889425.0</v>
      </c>
      <c r="E123" s="7">
        <v>143510.0</v>
      </c>
      <c r="F123" s="7">
        <v>139510.0</v>
      </c>
      <c r="G123" s="7">
        <v>4.1286738E7</v>
      </c>
      <c r="H123" s="7">
        <v>5.90374161E8</v>
      </c>
      <c r="I123" s="7">
        <v>10114.0</v>
      </c>
      <c r="J123" s="7">
        <v>9942.0</v>
      </c>
      <c r="K123" s="7">
        <v>172.0</v>
      </c>
      <c r="L123" s="7">
        <v>11.15</v>
      </c>
      <c r="M123" s="7">
        <v>-0.24</v>
      </c>
      <c r="N123" s="7">
        <v>360.0</v>
      </c>
      <c r="O123" s="7">
        <v>1.2089764E7</v>
      </c>
      <c r="P123" s="7" t="s">
        <v>409</v>
      </c>
      <c r="Q123" s="7">
        <v>403.03</v>
      </c>
      <c r="R123" s="3">
        <f t="shared" si="1"/>
        <v>403.03</v>
      </c>
      <c r="S123" s="9">
        <v>361.69</v>
      </c>
      <c r="T123" s="10">
        <v>361.69</v>
      </c>
      <c r="V123" s="5">
        <f t="shared" si="2"/>
        <v>-41.34</v>
      </c>
    </row>
    <row r="124" ht="22.5" customHeight="1">
      <c r="B124" s="7" t="s">
        <v>187</v>
      </c>
      <c r="C124" s="7">
        <v>39547.0</v>
      </c>
      <c r="D124" s="7">
        <v>130954.0</v>
      </c>
      <c r="E124" s="7">
        <v>3289697.0</v>
      </c>
      <c r="F124" s="7">
        <v>3219565.0</v>
      </c>
      <c r="G124" s="7">
        <v>5.6897891E7</v>
      </c>
      <c r="H124" s="7">
        <v>4.72007192E8</v>
      </c>
      <c r="I124" s="7">
        <v>150801.0</v>
      </c>
      <c r="J124" s="7">
        <v>142322.0</v>
      </c>
      <c r="K124" s="7">
        <v>8479.0</v>
      </c>
      <c r="L124" s="7">
        <v>24.14</v>
      </c>
      <c r="M124" s="7">
        <v>-0.18</v>
      </c>
      <c r="N124" s="7">
        <v>14481.0</v>
      </c>
      <c r="O124" s="7">
        <v>6193111.0</v>
      </c>
      <c r="P124" s="7" t="s">
        <v>409</v>
      </c>
      <c r="Q124" s="7">
        <v>405.28</v>
      </c>
      <c r="R124" s="3">
        <f t="shared" si="1"/>
        <v>405.28</v>
      </c>
      <c r="S124" s="9">
        <v>1643.38</v>
      </c>
      <c r="T124" s="10">
        <v>1643.38</v>
      </c>
      <c r="V124" s="5">
        <f t="shared" si="2"/>
        <v>1238.1</v>
      </c>
    </row>
    <row r="125" ht="22.5" customHeight="1">
      <c r="B125" s="7" t="s">
        <v>132</v>
      </c>
      <c r="C125" s="7">
        <v>9643.0</v>
      </c>
      <c r="D125" s="7">
        <v>145203.0</v>
      </c>
      <c r="E125" s="7">
        <v>2139262.0</v>
      </c>
      <c r="F125" s="7">
        <v>2104384.0</v>
      </c>
      <c r="G125" s="7">
        <v>4394737.0</v>
      </c>
      <c r="H125" s="7">
        <v>3.56060852E8</v>
      </c>
      <c r="I125" s="7">
        <v>127660.0</v>
      </c>
      <c r="J125" s="7">
        <v>120512.0</v>
      </c>
      <c r="K125" s="7">
        <v>7148.0</v>
      </c>
      <c r="L125" s="7">
        <v>21.65</v>
      </c>
      <c r="M125" s="7">
        <v>-0.09</v>
      </c>
      <c r="N125" s="7">
        <v>9400.0</v>
      </c>
      <c r="O125" s="7">
        <v>1106817.0</v>
      </c>
      <c r="P125" s="7" t="s">
        <v>409</v>
      </c>
      <c r="Q125" s="7">
        <v>408.3</v>
      </c>
      <c r="R125" s="3">
        <f t="shared" si="1"/>
        <v>408.3</v>
      </c>
      <c r="S125" s="9">
        <v>523.0</v>
      </c>
      <c r="T125" s="10">
        <v>523.0</v>
      </c>
      <c r="V125" s="5">
        <f t="shared" si="2"/>
        <v>114.7</v>
      </c>
    </row>
    <row r="126" ht="22.5" customHeight="1">
      <c r="B126" s="7" t="s">
        <v>114</v>
      </c>
      <c r="C126" s="7">
        <v>259258.0</v>
      </c>
      <c r="D126" s="7">
        <v>1374203.0</v>
      </c>
      <c r="E126" s="7">
        <v>540407.0</v>
      </c>
      <c r="F126" s="7">
        <v>441915.0</v>
      </c>
      <c r="G126" s="7">
        <v>3890663.0</v>
      </c>
      <c r="H126" s="7">
        <v>2.114277316E9</v>
      </c>
      <c r="I126" s="7">
        <v>17358.0</v>
      </c>
      <c r="J126" s="7">
        <v>15600.0</v>
      </c>
      <c r="K126" s="7">
        <v>1758.0</v>
      </c>
      <c r="L126" s="7">
        <v>187.18</v>
      </c>
      <c r="M126" s="7">
        <v>-0.1</v>
      </c>
      <c r="N126" s="7">
        <v>2319.0</v>
      </c>
      <c r="O126" s="7">
        <v>616820.0</v>
      </c>
      <c r="P126" s="7" t="s">
        <v>409</v>
      </c>
      <c r="Q126" s="7">
        <v>412.7</v>
      </c>
      <c r="R126" s="3">
        <f t="shared" si="1"/>
        <v>412.7</v>
      </c>
      <c r="S126" s="9">
        <v>190.31</v>
      </c>
      <c r="T126" s="10">
        <v>190.31</v>
      </c>
      <c r="V126" s="5">
        <f t="shared" si="2"/>
        <v>-222.39</v>
      </c>
    </row>
    <row r="127" ht="22.5" customHeight="1">
      <c r="B127" s="7" t="s">
        <v>148</v>
      </c>
      <c r="C127" s="7">
        <v>824210.0</v>
      </c>
      <c r="D127" s="7">
        <v>2459565.0</v>
      </c>
      <c r="E127" s="7">
        <v>1219444.0</v>
      </c>
      <c r="F127" s="7">
        <v>1182124.0</v>
      </c>
      <c r="G127" s="7">
        <v>1.1530728E7</v>
      </c>
      <c r="H127" s="7">
        <v>7.432328E8</v>
      </c>
      <c r="I127" s="7">
        <v>51556.0</v>
      </c>
      <c r="J127" s="7">
        <v>46919.0</v>
      </c>
      <c r="K127" s="7">
        <v>4637.0</v>
      </c>
      <c r="L127" s="7">
        <v>36.24</v>
      </c>
      <c r="M127" s="7">
        <v>-0.14</v>
      </c>
      <c r="N127" s="7">
        <v>6666.0</v>
      </c>
      <c r="O127" s="7">
        <v>2515188.0</v>
      </c>
      <c r="P127" s="7" t="s">
        <v>410</v>
      </c>
      <c r="Q127" s="7">
        <v>424.82</v>
      </c>
      <c r="R127" s="3">
        <f t="shared" si="1"/>
        <v>424.82</v>
      </c>
      <c r="S127" s="9">
        <v>876.81</v>
      </c>
      <c r="T127" s="10">
        <v>876.81</v>
      </c>
      <c r="V127" s="5">
        <f t="shared" si="2"/>
        <v>451.99</v>
      </c>
    </row>
    <row r="128" ht="22.5" customHeight="1">
      <c r="B128" s="7" t="s">
        <v>89</v>
      </c>
      <c r="C128" s="7">
        <v>3191.0</v>
      </c>
      <c r="D128" s="7">
        <v>73950.0</v>
      </c>
      <c r="E128" s="7">
        <v>2992559.0</v>
      </c>
      <c r="F128" s="7">
        <v>2894810.0</v>
      </c>
      <c r="G128" s="7">
        <v>5724283.0</v>
      </c>
      <c r="H128" s="7">
        <v>4.32518119E8</v>
      </c>
      <c r="I128" s="7">
        <v>85612.0</v>
      </c>
      <c r="J128" s="7">
        <v>65878.0</v>
      </c>
      <c r="K128" s="7">
        <v>19734.0</v>
      </c>
      <c r="L128" s="7">
        <v>130.96</v>
      </c>
      <c r="M128" s="7">
        <v>-0.05</v>
      </c>
      <c r="N128" s="7">
        <v>24223.0</v>
      </c>
      <c r="O128" s="7">
        <v>1733801.0</v>
      </c>
      <c r="P128" s="7" t="s">
        <v>409</v>
      </c>
      <c r="Q128" s="7">
        <v>429.11</v>
      </c>
      <c r="R128" s="3">
        <f t="shared" si="1"/>
        <v>429.11</v>
      </c>
      <c r="S128" s="9">
        <v>239.56</v>
      </c>
      <c r="T128" s="10">
        <v>239.56</v>
      </c>
      <c r="V128" s="5">
        <f t="shared" si="2"/>
        <v>-189.55</v>
      </c>
    </row>
    <row r="129" ht="22.5" customHeight="1">
      <c r="B129" s="7" t="s">
        <v>136</v>
      </c>
      <c r="C129" s="7">
        <v>2616.0</v>
      </c>
      <c r="D129" s="7">
        <v>7788.0</v>
      </c>
      <c r="E129" s="7">
        <v>3080682.0</v>
      </c>
      <c r="F129" s="7">
        <v>3056810.0</v>
      </c>
      <c r="G129" s="7">
        <v>3955414.0</v>
      </c>
      <c r="H129" s="7">
        <v>3.36479773E8</v>
      </c>
      <c r="I129" s="7">
        <v>148299.0</v>
      </c>
      <c r="J129" s="7">
        <v>120401.0</v>
      </c>
      <c r="K129" s="7">
        <v>27898.0</v>
      </c>
      <c r="L129" s="7">
        <v>27.54</v>
      </c>
      <c r="M129" s="7">
        <v>-0.03</v>
      </c>
      <c r="N129" s="7">
        <v>32400.0</v>
      </c>
      <c r="O129" s="7">
        <v>1072672.0</v>
      </c>
      <c r="P129" s="7" t="s">
        <v>410</v>
      </c>
      <c r="Q129" s="7">
        <v>430.69</v>
      </c>
      <c r="R129" s="3">
        <f t="shared" si="1"/>
        <v>430.69</v>
      </c>
      <c r="S129" s="9">
        <v>407.61</v>
      </c>
      <c r="T129" s="10">
        <v>407.61</v>
      </c>
      <c r="V129" s="5">
        <f t="shared" si="2"/>
        <v>-23.08</v>
      </c>
    </row>
    <row r="130" ht="22.5" customHeight="1">
      <c r="B130" s="7" t="s">
        <v>128</v>
      </c>
      <c r="C130" s="7">
        <v>259616.0</v>
      </c>
      <c r="D130" s="7">
        <v>1360766.0</v>
      </c>
      <c r="E130" s="7">
        <v>946859.0</v>
      </c>
      <c r="F130" s="7">
        <v>853309.0</v>
      </c>
      <c r="G130" s="7">
        <v>6390211.0</v>
      </c>
      <c r="H130" s="7">
        <v>1.745502881E9</v>
      </c>
      <c r="I130" s="7">
        <v>28780.0</v>
      </c>
      <c r="J130" s="7">
        <v>23928.0</v>
      </c>
      <c r="K130" s="7">
        <v>4852.0</v>
      </c>
      <c r="L130" s="7">
        <v>204.96</v>
      </c>
      <c r="M130" s="7">
        <v>-0.1</v>
      </c>
      <c r="N130" s="7">
        <v>6609.0</v>
      </c>
      <c r="O130" s="7">
        <v>549668.0</v>
      </c>
      <c r="P130" s="7" t="s">
        <v>410</v>
      </c>
      <c r="Q130" s="7">
        <v>437.24</v>
      </c>
      <c r="R130" s="3">
        <f t="shared" si="1"/>
        <v>437.24</v>
      </c>
      <c r="S130" s="9">
        <v>343.87</v>
      </c>
      <c r="T130" s="10">
        <v>343.87</v>
      </c>
      <c r="V130" s="5">
        <f t="shared" si="2"/>
        <v>-93.37</v>
      </c>
    </row>
    <row r="131" ht="22.5" customHeight="1">
      <c r="B131" s="7" t="s">
        <v>165</v>
      </c>
      <c r="C131" s="7">
        <v>5244.0</v>
      </c>
      <c r="D131" s="7">
        <v>118126.0</v>
      </c>
      <c r="E131" s="7">
        <v>1383998.0</v>
      </c>
      <c r="F131" s="7">
        <v>1350861.0</v>
      </c>
      <c r="G131" s="7">
        <v>6282173.0</v>
      </c>
      <c r="H131" s="7">
        <v>5.82633109E8</v>
      </c>
      <c r="I131" s="7">
        <v>88558.0</v>
      </c>
      <c r="J131" s="7">
        <v>80809.0</v>
      </c>
      <c r="K131" s="7">
        <v>7749.0</v>
      </c>
      <c r="L131" s="7">
        <v>76.94</v>
      </c>
      <c r="M131" s="7">
        <v>-0.13</v>
      </c>
      <c r="N131" s="7">
        <v>9674.0</v>
      </c>
      <c r="O131" s="7">
        <v>685236.0</v>
      </c>
      <c r="P131" s="7" t="s">
        <v>409</v>
      </c>
      <c r="Q131" s="7">
        <v>437.52</v>
      </c>
      <c r="R131" s="3">
        <f t="shared" si="1"/>
        <v>437.52</v>
      </c>
      <c r="S131" s="9">
        <v>763.81</v>
      </c>
      <c r="T131" s="10">
        <v>763.81</v>
      </c>
      <c r="V131" s="5">
        <f t="shared" si="2"/>
        <v>326.29</v>
      </c>
    </row>
    <row r="132" ht="22.5" customHeight="1">
      <c r="B132" s="7" t="s">
        <v>107</v>
      </c>
      <c r="C132" s="7">
        <v>827.0</v>
      </c>
      <c r="D132" s="7">
        <v>20730.0</v>
      </c>
      <c r="E132" s="7">
        <v>1630981.0</v>
      </c>
      <c r="F132" s="7">
        <v>1615460.0</v>
      </c>
      <c r="G132" s="7">
        <v>3063811.0</v>
      </c>
      <c r="H132" s="7">
        <v>1.6563051E8</v>
      </c>
      <c r="I132" s="7">
        <v>112457.0</v>
      </c>
      <c r="J132" s="7">
        <v>102515.0</v>
      </c>
      <c r="K132" s="7">
        <v>9942.0</v>
      </c>
      <c r="L132" s="7">
        <v>23.59</v>
      </c>
      <c r="M132" s="7">
        <v>-0.08</v>
      </c>
      <c r="N132" s="7">
        <v>11781.0</v>
      </c>
      <c r="O132" s="7">
        <v>699750.0</v>
      </c>
      <c r="P132" s="7" t="s">
        <v>409</v>
      </c>
      <c r="Q132" s="7">
        <v>453.25</v>
      </c>
      <c r="R132" s="3">
        <f t="shared" si="1"/>
        <v>453.25</v>
      </c>
      <c r="S132" s="9">
        <v>157.99</v>
      </c>
      <c r="T132" s="10">
        <v>157.99</v>
      </c>
      <c r="V132" s="5">
        <f t="shared" si="2"/>
        <v>-295.26</v>
      </c>
    </row>
    <row r="133" ht="22.5" customHeight="1">
      <c r="B133" s="7" t="s">
        <v>125</v>
      </c>
      <c r="C133" s="7">
        <v>164915.0</v>
      </c>
      <c r="D133" s="7">
        <v>759314.0</v>
      </c>
      <c r="E133" s="7">
        <v>312127.0</v>
      </c>
      <c r="F133" s="7">
        <v>299616.0</v>
      </c>
      <c r="G133" s="7">
        <v>792517.0</v>
      </c>
      <c r="H133" s="7">
        <v>1.305535816E9</v>
      </c>
      <c r="I133" s="7">
        <v>9448.0</v>
      </c>
      <c r="J133" s="7">
        <v>8130.0</v>
      </c>
      <c r="K133" s="7">
        <v>1318.0</v>
      </c>
      <c r="L133" s="7">
        <v>128.67</v>
      </c>
      <c r="M133" s="7">
        <v>-0.08</v>
      </c>
      <c r="N133" s="7">
        <v>1824.0</v>
      </c>
      <c r="O133" s="7">
        <v>201295.0</v>
      </c>
      <c r="P133" s="7" t="s">
        <v>409</v>
      </c>
      <c r="Q133" s="7">
        <v>461.94</v>
      </c>
      <c r="R133" s="3">
        <f t="shared" si="1"/>
        <v>461.94</v>
      </c>
      <c r="S133" s="9">
        <v>222.96</v>
      </c>
      <c r="T133" s="10">
        <v>222.96</v>
      </c>
      <c r="V133" s="5">
        <f t="shared" si="2"/>
        <v>-238.98</v>
      </c>
    </row>
    <row r="134" ht="22.5" customHeight="1">
      <c r="B134" s="7" t="s">
        <v>22</v>
      </c>
      <c r="C134" s="7">
        <v>3566.0</v>
      </c>
      <c r="D134" s="7">
        <v>14138.0</v>
      </c>
      <c r="E134" s="7">
        <v>2714606.0</v>
      </c>
      <c r="F134" s="7">
        <v>2676410.0</v>
      </c>
      <c r="G134" s="7">
        <v>5237831.0</v>
      </c>
      <c r="H134" s="7">
        <v>2.78316745E8</v>
      </c>
      <c r="I134" s="7">
        <v>138798.0</v>
      </c>
      <c r="J134" s="7">
        <v>121119.0</v>
      </c>
      <c r="K134" s="7">
        <v>17679.0</v>
      </c>
      <c r="L134" s="7">
        <v>34.56</v>
      </c>
      <c r="M134" s="7">
        <v>-0.07</v>
      </c>
      <c r="N134" s="7">
        <v>21398.0</v>
      </c>
      <c r="O134" s="7">
        <v>1087645.0</v>
      </c>
      <c r="P134" s="7" t="s">
        <v>409</v>
      </c>
      <c r="Q134" s="7">
        <v>469.84</v>
      </c>
      <c r="R134" s="3">
        <f t="shared" si="1"/>
        <v>469.84</v>
      </c>
      <c r="S134" s="9">
        <v>100.39</v>
      </c>
      <c r="T134" s="10">
        <v>100.39</v>
      </c>
      <c r="V134" s="5">
        <f t="shared" si="2"/>
        <v>-369.45</v>
      </c>
    </row>
    <row r="135" ht="22.5" customHeight="1">
      <c r="B135" s="7" t="s">
        <v>154</v>
      </c>
      <c r="C135" s="7">
        <v>99736.0</v>
      </c>
      <c r="D135" s="7">
        <v>783852.0</v>
      </c>
      <c r="E135" s="7">
        <v>525667.0</v>
      </c>
      <c r="F135" s="7">
        <v>497943.0</v>
      </c>
      <c r="G135" s="7">
        <v>1615572.0</v>
      </c>
      <c r="H135" s="7">
        <v>1.868481809E9</v>
      </c>
      <c r="I135" s="7">
        <v>19289.0</v>
      </c>
      <c r="J135" s="7">
        <v>17762.0</v>
      </c>
      <c r="K135" s="7">
        <v>1527.0</v>
      </c>
      <c r="L135" s="7">
        <v>87.08</v>
      </c>
      <c r="M135" s="7">
        <v>-0.08</v>
      </c>
      <c r="N135" s="7">
        <v>2070.0</v>
      </c>
      <c r="O135" s="7">
        <v>402597.0</v>
      </c>
      <c r="P135" s="7" t="s">
        <v>410</v>
      </c>
      <c r="Q135" s="7">
        <v>480.01</v>
      </c>
      <c r="R135" s="3">
        <f t="shared" si="1"/>
        <v>480.01</v>
      </c>
      <c r="S135" s="9">
        <v>464.28</v>
      </c>
      <c r="T135" s="10">
        <v>464.28</v>
      </c>
      <c r="V135" s="5">
        <f t="shared" si="2"/>
        <v>-15.73</v>
      </c>
    </row>
    <row r="136" ht="22.5" customHeight="1">
      <c r="B136" s="7" t="s">
        <v>144</v>
      </c>
      <c r="C136" s="7">
        <v>2504.0</v>
      </c>
      <c r="D136" s="7">
        <v>10705.0</v>
      </c>
      <c r="E136" s="7">
        <v>2510508.0</v>
      </c>
      <c r="F136" s="7">
        <v>2478137.0</v>
      </c>
      <c r="G136" s="7">
        <v>4714521.0</v>
      </c>
      <c r="H136" s="7">
        <v>2.54615835E8</v>
      </c>
      <c r="I136" s="7">
        <v>137060.0</v>
      </c>
      <c r="J136" s="7">
        <v>120951.0</v>
      </c>
      <c r="K136" s="7">
        <v>16109.0</v>
      </c>
      <c r="L136" s="7">
        <v>33.7</v>
      </c>
      <c r="M136" s="7">
        <v>-0.07</v>
      </c>
      <c r="N136" s="7">
        <v>19220.0</v>
      </c>
      <c r="O136" s="7">
        <v>1086827.0</v>
      </c>
      <c r="P136" s="7" t="s">
        <v>409</v>
      </c>
      <c r="Q136" s="7">
        <v>483.67</v>
      </c>
      <c r="R136" s="3">
        <f t="shared" si="1"/>
        <v>483.67</v>
      </c>
      <c r="S136" s="9">
        <v>405.34</v>
      </c>
      <c r="T136" s="10">
        <v>405.34</v>
      </c>
      <c r="V136" s="5">
        <f t="shared" si="2"/>
        <v>-78.33</v>
      </c>
    </row>
    <row r="137" ht="22.5" customHeight="1">
      <c r="B137" s="7" t="s">
        <v>127</v>
      </c>
      <c r="C137" s="7">
        <v>2425.0</v>
      </c>
      <c r="D137" s="7">
        <v>23034.0</v>
      </c>
      <c r="E137" s="7">
        <v>5338878.0</v>
      </c>
      <c r="F137" s="7">
        <v>5327193.0</v>
      </c>
      <c r="G137" s="7">
        <v>5862179.0</v>
      </c>
      <c r="H137" s="7">
        <v>5.0418608E8</v>
      </c>
      <c r="I137" s="7">
        <v>218564.0</v>
      </c>
      <c r="J137" s="7">
        <v>168210.0</v>
      </c>
      <c r="K137" s="7">
        <v>50354.0</v>
      </c>
      <c r="L137" s="7">
        <v>16.74</v>
      </c>
      <c r="M137" s="7">
        <v>-0.01</v>
      </c>
      <c r="N137" s="7">
        <v>57276.0</v>
      </c>
      <c r="O137" s="7">
        <v>2172111.0</v>
      </c>
      <c r="P137" s="7" t="s">
        <v>410</v>
      </c>
      <c r="Q137" s="7">
        <v>485.35</v>
      </c>
      <c r="R137" s="3">
        <f t="shared" si="1"/>
        <v>485.35</v>
      </c>
      <c r="S137" s="9">
        <v>318.68</v>
      </c>
      <c r="T137" s="10">
        <v>318.68</v>
      </c>
      <c r="V137" s="5">
        <f t="shared" si="2"/>
        <v>-166.67</v>
      </c>
    </row>
    <row r="138" ht="22.5" customHeight="1">
      <c r="B138" s="7" t="s">
        <v>123</v>
      </c>
      <c r="C138" s="7">
        <v>895.0</v>
      </c>
      <c r="D138" s="7">
        <v>20818.0</v>
      </c>
      <c r="E138" s="7">
        <v>1797186.0</v>
      </c>
      <c r="F138" s="7">
        <v>1780540.0</v>
      </c>
      <c r="G138" s="7">
        <v>3281742.0</v>
      </c>
      <c r="H138" s="7">
        <v>1.93558129E8</v>
      </c>
      <c r="I138" s="7">
        <v>119537.0</v>
      </c>
      <c r="J138" s="7">
        <v>109649.0</v>
      </c>
      <c r="K138" s="7">
        <v>9888.0</v>
      </c>
      <c r="L138" s="7">
        <v>24.34</v>
      </c>
      <c r="M138" s="7">
        <v>-0.08</v>
      </c>
      <c r="N138" s="7">
        <v>11729.0</v>
      </c>
      <c r="O138" s="7">
        <v>853292.0</v>
      </c>
      <c r="P138" s="7" t="s">
        <v>409</v>
      </c>
      <c r="Q138" s="7">
        <v>488.21</v>
      </c>
      <c r="R138" s="3">
        <f t="shared" si="1"/>
        <v>488.21</v>
      </c>
      <c r="S138" s="9">
        <v>160.01</v>
      </c>
      <c r="T138" s="10">
        <v>160.01</v>
      </c>
      <c r="V138" s="5">
        <f t="shared" si="2"/>
        <v>-328.2</v>
      </c>
    </row>
    <row r="139" ht="22.5" customHeight="1">
      <c r="B139" s="7" t="s">
        <v>255</v>
      </c>
      <c r="C139" s="7">
        <v>13408.0</v>
      </c>
      <c r="D139" s="7">
        <v>309430.0</v>
      </c>
      <c r="E139" s="7">
        <v>3436184.0</v>
      </c>
      <c r="F139" s="7">
        <v>3361256.0</v>
      </c>
      <c r="G139" s="7">
        <v>5.09037E7</v>
      </c>
      <c r="H139" s="7">
        <v>5.51076178E8</v>
      </c>
      <c r="I139" s="7">
        <v>132493.0</v>
      </c>
      <c r="J139" s="7">
        <v>123238.0</v>
      </c>
      <c r="K139" s="7">
        <v>9255.0</v>
      </c>
      <c r="L139" s="7">
        <v>65.9</v>
      </c>
      <c r="M139" s="7">
        <v>-0.16</v>
      </c>
      <c r="N139" s="7">
        <v>15701.0</v>
      </c>
      <c r="O139" s="7">
        <v>7442779.0</v>
      </c>
      <c r="P139" s="7" t="s">
        <v>409</v>
      </c>
      <c r="Q139" s="7">
        <v>514.83</v>
      </c>
      <c r="R139" s="3">
        <f t="shared" si="1"/>
        <v>514.83</v>
      </c>
      <c r="S139" s="9">
        <v>3239.98</v>
      </c>
      <c r="T139" s="10">
        <v>3239.98</v>
      </c>
      <c r="V139" s="5">
        <f t="shared" si="2"/>
        <v>2725.15</v>
      </c>
    </row>
    <row r="140" ht="22.5" customHeight="1">
      <c r="B140" s="7" t="s">
        <v>97</v>
      </c>
      <c r="C140" s="7">
        <v>506.0</v>
      </c>
      <c r="D140" s="7">
        <v>1406.0</v>
      </c>
      <c r="E140" s="7">
        <v>4444227.0</v>
      </c>
      <c r="F140" s="7">
        <v>4421328.0</v>
      </c>
      <c r="G140" s="7">
        <v>5886723.0</v>
      </c>
      <c r="H140" s="7">
        <v>1.07738869E8</v>
      </c>
      <c r="I140" s="7">
        <v>157087.0</v>
      </c>
      <c r="J140" s="7">
        <v>119169.0</v>
      </c>
      <c r="K140" s="7">
        <v>37918.0</v>
      </c>
      <c r="L140" s="7">
        <v>19.11</v>
      </c>
      <c r="M140" s="7">
        <v>-0.04</v>
      </c>
      <c r="N140" s="7">
        <v>45343.0</v>
      </c>
      <c r="O140" s="7">
        <v>1470523.0</v>
      </c>
      <c r="P140" s="7" t="s">
        <v>410</v>
      </c>
      <c r="Q140" s="7">
        <v>516.0</v>
      </c>
      <c r="R140" s="3">
        <f t="shared" si="1"/>
        <v>516</v>
      </c>
      <c r="S140" s="9">
        <v>249.24</v>
      </c>
      <c r="T140" s="10">
        <v>249.24</v>
      </c>
      <c r="V140" s="5">
        <f t="shared" si="2"/>
        <v>-266.76</v>
      </c>
    </row>
    <row r="141" ht="22.5" customHeight="1">
      <c r="B141" s="7" t="s">
        <v>111</v>
      </c>
      <c r="C141" s="7">
        <v>72078.0</v>
      </c>
      <c r="D141" s="7">
        <v>517728.0</v>
      </c>
      <c r="E141" s="7">
        <v>2080165.0</v>
      </c>
      <c r="F141" s="7">
        <v>2042550.0</v>
      </c>
      <c r="G141" s="7">
        <v>1.4346697E7</v>
      </c>
      <c r="H141" s="7">
        <v>7.25324856E8</v>
      </c>
      <c r="I141" s="7">
        <v>131258.0</v>
      </c>
      <c r="J141" s="7">
        <v>120962.0</v>
      </c>
      <c r="K141" s="7">
        <v>10296.0</v>
      </c>
      <c r="L141" s="7">
        <v>26.63</v>
      </c>
      <c r="M141" s="7">
        <v>-0.15</v>
      </c>
      <c r="N141" s="7">
        <v>12231.0</v>
      </c>
      <c r="O141" s="7">
        <v>2480172.0</v>
      </c>
      <c r="P141" s="7" t="s">
        <v>409</v>
      </c>
      <c r="Q141" s="7">
        <v>521.51</v>
      </c>
      <c r="R141" s="3">
        <f t="shared" si="1"/>
        <v>521.51</v>
      </c>
      <c r="S141" s="9">
        <v>435.3</v>
      </c>
      <c r="T141" s="10">
        <v>435.3</v>
      </c>
      <c r="V141" s="5">
        <f t="shared" si="2"/>
        <v>-86.21</v>
      </c>
    </row>
    <row r="142" ht="22.5" customHeight="1">
      <c r="B142" s="7" t="s">
        <v>163</v>
      </c>
      <c r="C142" s="7">
        <v>72078.0</v>
      </c>
      <c r="D142" s="7">
        <v>517728.0</v>
      </c>
      <c r="E142" s="7">
        <v>2109883.0</v>
      </c>
      <c r="F142" s="7">
        <v>2071321.0</v>
      </c>
      <c r="G142" s="7">
        <v>1.4238847E7</v>
      </c>
      <c r="H142" s="7">
        <v>7.68718265E8</v>
      </c>
      <c r="I142" s="7">
        <v>128685.0</v>
      </c>
      <c r="J142" s="7">
        <v>118362.0</v>
      </c>
      <c r="K142" s="7">
        <v>10323.0</v>
      </c>
      <c r="L142" s="7">
        <v>26.18</v>
      </c>
      <c r="M142" s="7">
        <v>-0.15</v>
      </c>
      <c r="N142" s="7">
        <v>12355.0</v>
      </c>
      <c r="O142" s="7">
        <v>2539819.0</v>
      </c>
      <c r="P142" s="7" t="s">
        <v>410</v>
      </c>
      <c r="Q142" s="7">
        <v>540.13</v>
      </c>
      <c r="R142" s="3">
        <f t="shared" si="1"/>
        <v>540.13</v>
      </c>
      <c r="S142" s="9">
        <v>514.22</v>
      </c>
      <c r="T142" s="10">
        <v>514.22</v>
      </c>
      <c r="V142" s="5">
        <f t="shared" si="2"/>
        <v>-25.91</v>
      </c>
    </row>
    <row r="143" ht="22.5" customHeight="1">
      <c r="B143" s="7" t="s">
        <v>161</v>
      </c>
      <c r="C143" s="7">
        <v>69644.0</v>
      </c>
      <c r="D143" s="7">
        <v>306029.0</v>
      </c>
      <c r="E143" s="7">
        <v>2039206.0</v>
      </c>
      <c r="F143" s="7">
        <v>1985225.0</v>
      </c>
      <c r="G143" s="7">
        <v>5182534.0</v>
      </c>
      <c r="H143" s="7">
        <v>1.004134562E9</v>
      </c>
      <c r="I143" s="7">
        <v>105741.0</v>
      </c>
      <c r="J143" s="7">
        <v>99942.0</v>
      </c>
      <c r="K143" s="7">
        <v>5799.0</v>
      </c>
      <c r="L143" s="7">
        <v>51.53</v>
      </c>
      <c r="M143" s="7">
        <v>-0.11</v>
      </c>
      <c r="N143" s="7">
        <v>7798.0</v>
      </c>
      <c r="O143" s="7">
        <v>1338204.0</v>
      </c>
      <c r="P143" s="7" t="s">
        <v>410</v>
      </c>
      <c r="Q143" s="7">
        <v>541.03</v>
      </c>
      <c r="R143" s="3">
        <f t="shared" si="1"/>
        <v>541.03</v>
      </c>
      <c r="S143" s="9">
        <v>518.49</v>
      </c>
      <c r="T143" s="10">
        <v>518.49</v>
      </c>
      <c r="V143" s="5">
        <f t="shared" si="2"/>
        <v>-22.54</v>
      </c>
    </row>
    <row r="144" ht="22.5" customHeight="1">
      <c r="B144" s="7" t="s">
        <v>191</v>
      </c>
      <c r="C144" s="7">
        <v>137472.0</v>
      </c>
      <c r="D144" s="7">
        <v>810768.0</v>
      </c>
      <c r="E144" s="7">
        <v>2798648.0</v>
      </c>
      <c r="F144" s="7">
        <v>2781445.0</v>
      </c>
      <c r="G144" s="7">
        <v>4425755.0</v>
      </c>
      <c r="H144" s="7">
        <v>2.28516761E8</v>
      </c>
      <c r="I144" s="7">
        <v>79863.0</v>
      </c>
      <c r="J144" s="7">
        <v>65971.0</v>
      </c>
      <c r="K144" s="7">
        <v>13892.0</v>
      </c>
      <c r="L144" s="7">
        <v>22.04</v>
      </c>
      <c r="M144" s="7">
        <v>-0.06</v>
      </c>
      <c r="N144" s="7">
        <v>18041.0</v>
      </c>
      <c r="O144" s="7">
        <v>1472824.0</v>
      </c>
      <c r="P144" s="7" t="s">
        <v>409</v>
      </c>
      <c r="Q144" s="7">
        <v>542.37</v>
      </c>
      <c r="R144" s="3">
        <f t="shared" si="1"/>
        <v>542.37</v>
      </c>
      <c r="S144" s="9">
        <v>998.34</v>
      </c>
      <c r="T144" s="10">
        <v>998.34</v>
      </c>
      <c r="V144" s="5">
        <f t="shared" si="2"/>
        <v>455.97</v>
      </c>
    </row>
    <row r="145" ht="22.5" customHeight="1">
      <c r="B145" s="7" t="s">
        <v>239</v>
      </c>
      <c r="C145" s="7">
        <v>2715.0</v>
      </c>
      <c r="D145" s="7">
        <v>11371.0</v>
      </c>
      <c r="E145" s="7">
        <v>2416436.0</v>
      </c>
      <c r="F145" s="7">
        <v>2376494.0</v>
      </c>
      <c r="G145" s="7">
        <v>5407660.0</v>
      </c>
      <c r="H145" s="7">
        <v>2.81208928E8</v>
      </c>
      <c r="I145" s="7">
        <v>143590.0</v>
      </c>
      <c r="J145" s="7">
        <v>132461.0</v>
      </c>
      <c r="K145" s="7">
        <v>11129.0</v>
      </c>
      <c r="L145" s="7">
        <v>37.69</v>
      </c>
      <c r="M145" s="7">
        <v>-0.1</v>
      </c>
      <c r="N145" s="7">
        <v>14134.0</v>
      </c>
      <c r="O145" s="7">
        <v>1074230.0</v>
      </c>
      <c r="P145" s="7" t="s">
        <v>409</v>
      </c>
      <c r="Q145" s="7">
        <v>550.11</v>
      </c>
      <c r="R145" s="3">
        <f t="shared" si="1"/>
        <v>550.11</v>
      </c>
      <c r="S145" s="9">
        <v>84.48</v>
      </c>
      <c r="T145" s="10">
        <v>84.48</v>
      </c>
      <c r="V145" s="5">
        <f t="shared" si="2"/>
        <v>-465.63</v>
      </c>
    </row>
    <row r="146" ht="22.5" customHeight="1">
      <c r="B146" s="7" t="s">
        <v>172</v>
      </c>
      <c r="C146" s="7">
        <v>42271.0</v>
      </c>
      <c r="D146" s="7">
        <v>247381.0</v>
      </c>
      <c r="E146" s="7">
        <v>3599597.0</v>
      </c>
      <c r="F146" s="7">
        <v>3523313.0</v>
      </c>
      <c r="G146" s="7">
        <v>8126269.0</v>
      </c>
      <c r="H146" s="7">
        <v>3.70337278E8</v>
      </c>
      <c r="I146" s="7">
        <v>138064.0</v>
      </c>
      <c r="J146" s="7">
        <v>123187.0</v>
      </c>
      <c r="K146" s="7">
        <v>14877.0</v>
      </c>
      <c r="L146" s="7">
        <v>22.26</v>
      </c>
      <c r="M146" s="7">
        <v>-0.12</v>
      </c>
      <c r="N146" s="7">
        <v>21629.0</v>
      </c>
      <c r="O146" s="7">
        <v>1772189.0</v>
      </c>
      <c r="P146" s="7" t="s">
        <v>409</v>
      </c>
      <c r="Q146" s="7">
        <v>550.74</v>
      </c>
      <c r="R146" s="3">
        <f t="shared" si="1"/>
        <v>550.74</v>
      </c>
      <c r="S146" s="9">
        <v>578.4</v>
      </c>
      <c r="T146" s="10">
        <v>578.4</v>
      </c>
      <c r="V146" s="5">
        <f t="shared" si="2"/>
        <v>27.66</v>
      </c>
    </row>
    <row r="147" ht="22.5" customHeight="1">
      <c r="B147" s="7" t="s">
        <v>73</v>
      </c>
      <c r="C147" s="7">
        <v>2514.0</v>
      </c>
      <c r="D147" s="7">
        <v>10733.0</v>
      </c>
      <c r="E147" s="7">
        <v>2803672.0</v>
      </c>
      <c r="F147" s="7">
        <v>2769809.0</v>
      </c>
      <c r="G147" s="7">
        <v>5092025.0</v>
      </c>
      <c r="H147" s="7">
        <v>2.81790935E8</v>
      </c>
      <c r="I147" s="7">
        <v>143271.0</v>
      </c>
      <c r="J147" s="7">
        <v>122938.0</v>
      </c>
      <c r="K147" s="7">
        <v>20333.0</v>
      </c>
      <c r="L147" s="7">
        <v>34.62</v>
      </c>
      <c r="M147" s="7">
        <v>-0.07</v>
      </c>
      <c r="N147" s="7">
        <v>24236.0</v>
      </c>
      <c r="O147" s="7">
        <v>1085595.0</v>
      </c>
      <c r="P147" s="7" t="s">
        <v>409</v>
      </c>
      <c r="Q147" s="7">
        <v>571.22</v>
      </c>
      <c r="R147" s="3">
        <f t="shared" si="1"/>
        <v>571.22</v>
      </c>
      <c r="S147" s="9">
        <v>96.51</v>
      </c>
      <c r="T147" s="10">
        <v>96.51</v>
      </c>
      <c r="V147" s="5">
        <f t="shared" si="2"/>
        <v>-474.71</v>
      </c>
    </row>
    <row r="148" ht="22.5" customHeight="1">
      <c r="B148" s="7" t="s">
        <v>72</v>
      </c>
      <c r="C148" s="7">
        <v>4660.0</v>
      </c>
      <c r="D148" s="7">
        <v>243504.0</v>
      </c>
      <c r="E148" s="7">
        <v>2227252.0</v>
      </c>
      <c r="F148" s="7">
        <v>2151527.0</v>
      </c>
      <c r="G148" s="7">
        <v>5392159.0</v>
      </c>
      <c r="H148" s="7">
        <v>3.91668933E8</v>
      </c>
      <c r="I148" s="7">
        <v>80897.0</v>
      </c>
      <c r="J148" s="7">
        <v>73343.0</v>
      </c>
      <c r="K148" s="7">
        <v>7554.0</v>
      </c>
      <c r="L148" s="7">
        <v>118.45</v>
      </c>
      <c r="M148" s="7">
        <v>-0.08</v>
      </c>
      <c r="N148" s="7">
        <v>10066.0</v>
      </c>
      <c r="O148" s="7">
        <v>1576727.0</v>
      </c>
      <c r="P148" s="7" t="s">
        <v>409</v>
      </c>
      <c r="Q148" s="7">
        <v>571.34</v>
      </c>
      <c r="R148" s="3">
        <f t="shared" si="1"/>
        <v>571.34</v>
      </c>
      <c r="S148" s="9">
        <v>850.11</v>
      </c>
      <c r="T148" s="10">
        <v>850.11</v>
      </c>
      <c r="V148" s="5">
        <f t="shared" si="2"/>
        <v>278.77</v>
      </c>
    </row>
    <row r="149" ht="22.5" customHeight="1">
      <c r="B149" s="7" t="s">
        <v>131</v>
      </c>
      <c r="C149" s="7">
        <v>1140.0</v>
      </c>
      <c r="D149" s="7">
        <v>4253.0</v>
      </c>
      <c r="E149" s="7">
        <v>4936936.0</v>
      </c>
      <c r="F149" s="7">
        <v>4883882.0</v>
      </c>
      <c r="G149" s="7">
        <v>7334518.0</v>
      </c>
      <c r="H149" s="7">
        <v>2.07287645E8</v>
      </c>
      <c r="I149" s="7">
        <v>202063.0</v>
      </c>
      <c r="J149" s="7">
        <v>166359.0</v>
      </c>
      <c r="K149" s="7">
        <v>35704.0</v>
      </c>
      <c r="L149" s="7">
        <v>19.78</v>
      </c>
      <c r="M149" s="7">
        <v>-0.06</v>
      </c>
      <c r="N149" s="7">
        <v>43218.0</v>
      </c>
      <c r="O149" s="7">
        <v>1814372.0</v>
      </c>
      <c r="P149" s="7" t="s">
        <v>410</v>
      </c>
      <c r="Q149" s="7">
        <v>585.41</v>
      </c>
      <c r="R149" s="3">
        <f t="shared" si="1"/>
        <v>585.41</v>
      </c>
      <c r="S149" s="9">
        <v>403.24</v>
      </c>
      <c r="T149" s="10">
        <v>403.24</v>
      </c>
      <c r="V149" s="5">
        <f t="shared" si="2"/>
        <v>-182.17</v>
      </c>
    </row>
    <row r="150" ht="22.5" customHeight="1">
      <c r="B150" s="7" t="s">
        <v>124</v>
      </c>
      <c r="C150" s="7">
        <v>895.0</v>
      </c>
      <c r="D150" s="7">
        <v>20756.0</v>
      </c>
      <c r="E150" s="7">
        <v>2130876.0</v>
      </c>
      <c r="F150" s="7">
        <v>2113515.0</v>
      </c>
      <c r="G150" s="7">
        <v>3676446.0</v>
      </c>
      <c r="H150" s="7">
        <v>2.26303628E8</v>
      </c>
      <c r="I150" s="7">
        <v>145078.0</v>
      </c>
      <c r="J150" s="7">
        <v>134887.0</v>
      </c>
      <c r="K150" s="7">
        <v>10191.0</v>
      </c>
      <c r="L150" s="7">
        <v>25.67</v>
      </c>
      <c r="M150" s="7">
        <v>-0.07</v>
      </c>
      <c r="N150" s="7">
        <v>12297.0</v>
      </c>
      <c r="O150" s="7">
        <v>1040400.0</v>
      </c>
      <c r="P150" s="7" t="s">
        <v>409</v>
      </c>
      <c r="Q150" s="7">
        <v>589.78</v>
      </c>
      <c r="R150" s="3">
        <f t="shared" si="1"/>
        <v>589.78</v>
      </c>
      <c r="S150" s="9">
        <v>69.26</v>
      </c>
      <c r="T150" s="10">
        <v>69.26</v>
      </c>
      <c r="V150" s="5">
        <f t="shared" si="2"/>
        <v>-520.52</v>
      </c>
    </row>
    <row r="151" ht="22.5" customHeight="1">
      <c r="B151" s="7" t="s">
        <v>135</v>
      </c>
      <c r="C151" s="7">
        <v>225296.0</v>
      </c>
      <c r="D151" s="7">
        <v>1180795.0</v>
      </c>
      <c r="E151" s="7">
        <v>1692823.0</v>
      </c>
      <c r="F151" s="7">
        <v>1555692.0</v>
      </c>
      <c r="G151" s="7">
        <v>9431199.0</v>
      </c>
      <c r="H151" s="7">
        <v>2.156760991E9</v>
      </c>
      <c r="I151" s="7">
        <v>68064.0</v>
      </c>
      <c r="J151" s="7">
        <v>63348.0</v>
      </c>
      <c r="K151" s="7">
        <v>4716.0</v>
      </c>
      <c r="L151" s="7">
        <v>136.57</v>
      </c>
      <c r="M151" s="7">
        <v>-0.11</v>
      </c>
      <c r="N151" s="7">
        <v>6738.0</v>
      </c>
      <c r="O151" s="7">
        <v>1343482.0</v>
      </c>
      <c r="P151" s="7" t="s">
        <v>410</v>
      </c>
      <c r="Q151" s="7">
        <v>591.55</v>
      </c>
      <c r="R151" s="3">
        <f t="shared" si="1"/>
        <v>591.55</v>
      </c>
      <c r="S151" s="9">
        <v>304.88</v>
      </c>
      <c r="T151" s="10">
        <v>304.88</v>
      </c>
      <c r="V151" s="5">
        <f t="shared" si="2"/>
        <v>-286.67</v>
      </c>
    </row>
    <row r="152" ht="22.5" customHeight="1">
      <c r="B152" s="7" t="s">
        <v>20</v>
      </c>
      <c r="C152" s="7">
        <v>13408.0</v>
      </c>
      <c r="D152" s="7">
        <v>309437.0</v>
      </c>
      <c r="E152" s="7">
        <v>3516200.0</v>
      </c>
      <c r="F152" s="7">
        <v>3429138.0</v>
      </c>
      <c r="G152" s="7">
        <v>6.052741E7</v>
      </c>
      <c r="H152" s="7">
        <v>5.8692104E8</v>
      </c>
      <c r="I152" s="7">
        <v>135180.0</v>
      </c>
      <c r="J152" s="7">
        <v>126381.0</v>
      </c>
      <c r="K152" s="7">
        <v>8799.0</v>
      </c>
      <c r="L152" s="7">
        <v>57.84</v>
      </c>
      <c r="M152" s="7">
        <v>-0.19</v>
      </c>
      <c r="N152" s="7">
        <v>15533.0</v>
      </c>
      <c r="O152" s="7">
        <v>1.0011406E7</v>
      </c>
      <c r="P152" s="7" t="s">
        <v>409</v>
      </c>
      <c r="Q152" s="7">
        <v>610.74</v>
      </c>
      <c r="R152" s="3">
        <f t="shared" si="1"/>
        <v>610.74</v>
      </c>
      <c r="S152" s="9">
        <v>544.51</v>
      </c>
      <c r="T152" s="10">
        <v>544.51</v>
      </c>
      <c r="V152" s="5">
        <f t="shared" si="2"/>
        <v>-66.23</v>
      </c>
    </row>
    <row r="153" ht="22.5" customHeight="1">
      <c r="B153" s="7" t="s">
        <v>167</v>
      </c>
      <c r="C153" s="7">
        <v>6658.0</v>
      </c>
      <c r="D153" s="7">
        <v>31909.0</v>
      </c>
      <c r="E153" s="7">
        <v>2030581.0</v>
      </c>
      <c r="F153" s="7">
        <v>2030017.0</v>
      </c>
      <c r="G153" s="7">
        <v>2042039.0</v>
      </c>
      <c r="H153" s="7">
        <v>1.870449057E9</v>
      </c>
      <c r="I153" s="7">
        <v>93459.0</v>
      </c>
      <c r="J153" s="7">
        <v>80047.0</v>
      </c>
      <c r="K153" s="7">
        <v>13412.0</v>
      </c>
      <c r="L153" s="7">
        <v>17.76</v>
      </c>
      <c r="M153" s="7">
        <v>0.0</v>
      </c>
      <c r="N153" s="7">
        <v>15131.0</v>
      </c>
      <c r="O153" s="7">
        <v>1128169.0</v>
      </c>
      <c r="P153" s="7" t="s">
        <v>410</v>
      </c>
      <c r="Q153" s="7">
        <v>612.36</v>
      </c>
      <c r="R153" s="3">
        <f t="shared" si="1"/>
        <v>612.36</v>
      </c>
      <c r="S153" s="9">
        <v>513.5</v>
      </c>
      <c r="T153" s="10">
        <v>513.5</v>
      </c>
      <c r="V153" s="5">
        <f t="shared" si="2"/>
        <v>-98.86</v>
      </c>
    </row>
    <row r="154" ht="22.5" customHeight="1">
      <c r="B154" s="7" t="s">
        <v>166</v>
      </c>
      <c r="C154" s="7">
        <v>58614.0</v>
      </c>
      <c r="D154" s="7">
        <v>175092.0</v>
      </c>
      <c r="E154" s="7">
        <v>2634963.0</v>
      </c>
      <c r="F154" s="7">
        <v>2577489.0</v>
      </c>
      <c r="G154" s="7">
        <v>7512966.0</v>
      </c>
      <c r="H154" s="7">
        <v>1.536618996E9</v>
      </c>
      <c r="I154" s="7">
        <v>134365.0</v>
      </c>
      <c r="J154" s="7">
        <v>121805.0</v>
      </c>
      <c r="K154" s="7">
        <v>12560.0</v>
      </c>
      <c r="L154" s="7">
        <v>32.72</v>
      </c>
      <c r="M154" s="7">
        <v>-0.11</v>
      </c>
      <c r="N154" s="7">
        <v>16216.0</v>
      </c>
      <c r="O154" s="7">
        <v>1468894.0</v>
      </c>
      <c r="P154" s="7" t="s">
        <v>410</v>
      </c>
      <c r="Q154" s="7">
        <v>635.08</v>
      </c>
      <c r="R154" s="3">
        <f t="shared" si="1"/>
        <v>635.08</v>
      </c>
      <c r="S154" s="9">
        <v>1118.96</v>
      </c>
      <c r="T154" s="10">
        <v>1118.96</v>
      </c>
      <c r="V154" s="5">
        <f t="shared" si="2"/>
        <v>483.88</v>
      </c>
    </row>
    <row r="155" ht="22.5" customHeight="1">
      <c r="B155" s="7" t="s">
        <v>101</v>
      </c>
      <c r="C155" s="7">
        <v>2935.0</v>
      </c>
      <c r="D155" s="7">
        <v>18371.0</v>
      </c>
      <c r="E155" s="7">
        <v>2196367.0</v>
      </c>
      <c r="F155" s="7">
        <v>2177601.0</v>
      </c>
      <c r="G155" s="7">
        <v>3208623.0</v>
      </c>
      <c r="H155" s="7">
        <v>1.5313611E8</v>
      </c>
      <c r="I155" s="7">
        <v>94496.0</v>
      </c>
      <c r="J155" s="7">
        <v>83543.0</v>
      </c>
      <c r="K155" s="7">
        <v>10953.0</v>
      </c>
      <c r="L155" s="7">
        <v>37.07</v>
      </c>
      <c r="M155" s="7">
        <v>-0.05</v>
      </c>
      <c r="N155" s="7">
        <v>13235.0</v>
      </c>
      <c r="O155" s="7">
        <v>1182979.0</v>
      </c>
      <c r="P155" s="7" t="s">
        <v>410</v>
      </c>
      <c r="Q155" s="7">
        <v>660.5</v>
      </c>
      <c r="R155" s="3">
        <f t="shared" si="1"/>
        <v>660.5</v>
      </c>
      <c r="S155" s="9">
        <v>418.05</v>
      </c>
      <c r="T155" s="10">
        <v>418.05</v>
      </c>
      <c r="V155" s="5">
        <f t="shared" si="2"/>
        <v>-242.45</v>
      </c>
    </row>
    <row r="156" ht="22.5" customHeight="1">
      <c r="B156" s="7" t="s">
        <v>78</v>
      </c>
      <c r="C156" s="7">
        <v>2477.0</v>
      </c>
      <c r="D156" s="7">
        <v>10608.0</v>
      </c>
      <c r="E156" s="7">
        <v>3077446.0</v>
      </c>
      <c r="F156" s="7">
        <v>3043298.0</v>
      </c>
      <c r="G156" s="7">
        <v>5309916.0</v>
      </c>
      <c r="H156" s="7">
        <v>3.09858148E8</v>
      </c>
      <c r="I156" s="7">
        <v>146726.0</v>
      </c>
      <c r="J156" s="7">
        <v>122275.0</v>
      </c>
      <c r="K156" s="7">
        <v>24451.0</v>
      </c>
      <c r="L156" s="7">
        <v>34.23</v>
      </c>
      <c r="M156" s="7">
        <v>-0.06</v>
      </c>
      <c r="N156" s="7">
        <v>29086.0</v>
      </c>
      <c r="O156" s="7">
        <v>1078563.0</v>
      </c>
      <c r="P156" s="7" t="s">
        <v>409</v>
      </c>
      <c r="Q156" s="7">
        <v>675.4</v>
      </c>
      <c r="R156" s="3">
        <f t="shared" si="1"/>
        <v>675.4</v>
      </c>
      <c r="S156" s="9">
        <v>177.19</v>
      </c>
      <c r="T156" s="10">
        <v>177.19</v>
      </c>
      <c r="V156" s="5">
        <f t="shared" si="2"/>
        <v>-498.21</v>
      </c>
    </row>
    <row r="157" ht="22.5" customHeight="1">
      <c r="B157" s="7" t="s">
        <v>170</v>
      </c>
      <c r="C157" s="7">
        <v>2425.0</v>
      </c>
      <c r="D157" s="7">
        <v>23032.0</v>
      </c>
      <c r="E157" s="7">
        <v>6363697.0</v>
      </c>
      <c r="F157" s="7">
        <v>6353853.0</v>
      </c>
      <c r="G157" s="7">
        <v>7171832.0</v>
      </c>
      <c r="H157" s="7">
        <v>5.88483869E8</v>
      </c>
      <c r="I157" s="7">
        <v>303765.0</v>
      </c>
      <c r="J157" s="7">
        <v>250808.0</v>
      </c>
      <c r="K157" s="7">
        <v>52957.0</v>
      </c>
      <c r="L157" s="7">
        <v>20.74</v>
      </c>
      <c r="M157" s="7">
        <v>-0.02</v>
      </c>
      <c r="N157" s="7">
        <v>59784.0</v>
      </c>
      <c r="O157" s="7">
        <v>2972149.0</v>
      </c>
      <c r="P157" s="7" t="s">
        <v>409</v>
      </c>
      <c r="Q157" s="7">
        <v>679.95</v>
      </c>
      <c r="R157" s="3">
        <f t="shared" si="1"/>
        <v>679.95</v>
      </c>
      <c r="S157" s="9">
        <v>287.55</v>
      </c>
      <c r="T157" s="10">
        <v>287.55</v>
      </c>
      <c r="V157" s="5">
        <f t="shared" si="2"/>
        <v>-392.4</v>
      </c>
    </row>
    <row r="158" ht="22.5" customHeight="1">
      <c r="B158" s="7" t="s">
        <v>196</v>
      </c>
      <c r="C158" s="7">
        <v>511.0</v>
      </c>
      <c r="D158" s="7">
        <v>1418.0</v>
      </c>
      <c r="E158" s="7">
        <v>7425844.0</v>
      </c>
      <c r="F158" s="7">
        <v>7375748.0</v>
      </c>
      <c r="G158" s="7">
        <v>1.0501938E7</v>
      </c>
      <c r="H158" s="7">
        <v>1.63737043E8</v>
      </c>
      <c r="I158" s="7">
        <v>383944.0</v>
      </c>
      <c r="J158" s="7">
        <v>349546.0</v>
      </c>
      <c r="K158" s="7">
        <v>34398.0</v>
      </c>
      <c r="L158" s="7">
        <v>18.67</v>
      </c>
      <c r="M158" s="7">
        <v>-0.06</v>
      </c>
      <c r="N158" s="7">
        <v>41964.0</v>
      </c>
      <c r="O158" s="7">
        <v>4019514.0</v>
      </c>
      <c r="P158" s="7" t="s">
        <v>410</v>
      </c>
      <c r="Q158" s="7">
        <v>691.99</v>
      </c>
      <c r="R158" s="3">
        <f t="shared" si="1"/>
        <v>691.99</v>
      </c>
      <c r="S158" s="9">
        <v>734.96</v>
      </c>
      <c r="T158" s="10">
        <v>734.96</v>
      </c>
      <c r="V158" s="5">
        <f t="shared" si="2"/>
        <v>42.97</v>
      </c>
    </row>
    <row r="159" ht="22.5" customHeight="1">
      <c r="B159" s="7" t="s">
        <v>140</v>
      </c>
      <c r="C159" s="7">
        <v>2484.0</v>
      </c>
      <c r="D159" s="7">
        <v>10627.0</v>
      </c>
      <c r="E159" s="7">
        <v>3300435.0</v>
      </c>
      <c r="F159" s="7">
        <v>3264992.0</v>
      </c>
      <c r="G159" s="7">
        <v>5531337.0</v>
      </c>
      <c r="H159" s="7">
        <v>3.42135985E8</v>
      </c>
      <c r="I159" s="7">
        <v>149494.0</v>
      </c>
      <c r="J159" s="7">
        <v>121452.0</v>
      </c>
      <c r="K159" s="7">
        <v>28042.0</v>
      </c>
      <c r="L159" s="7">
        <v>34.16</v>
      </c>
      <c r="M159" s="7">
        <v>-0.06</v>
      </c>
      <c r="N159" s="7">
        <v>33264.0</v>
      </c>
      <c r="O159" s="7">
        <v>1085913.0</v>
      </c>
      <c r="P159" s="7" t="s">
        <v>409</v>
      </c>
      <c r="Q159" s="7">
        <v>722.01</v>
      </c>
      <c r="R159" s="3">
        <f t="shared" si="1"/>
        <v>722.01</v>
      </c>
      <c r="S159" s="9">
        <v>374.44</v>
      </c>
      <c r="T159" s="10">
        <v>374.44</v>
      </c>
      <c r="V159" s="5">
        <f t="shared" si="2"/>
        <v>-347.57</v>
      </c>
    </row>
    <row r="160" ht="22.5" customHeight="1">
      <c r="B160" s="7" t="s">
        <v>99</v>
      </c>
      <c r="C160" s="7">
        <v>140.0</v>
      </c>
      <c r="D160" s="7">
        <v>560.0</v>
      </c>
      <c r="E160" s="7">
        <v>2.0231558E7</v>
      </c>
      <c r="F160" s="7">
        <v>2.0224055E7</v>
      </c>
      <c r="G160" s="7">
        <v>2.7540753E7</v>
      </c>
      <c r="H160" s="7">
        <v>1.5306665E8</v>
      </c>
      <c r="I160" s="7">
        <v>723304.0</v>
      </c>
      <c r="J160" s="7">
        <v>519193.0</v>
      </c>
      <c r="K160" s="7">
        <v>204111.0</v>
      </c>
      <c r="L160" s="7">
        <v>16.97</v>
      </c>
      <c r="M160" s="7">
        <v>-0.03</v>
      </c>
      <c r="N160" s="7">
        <v>231969.0</v>
      </c>
      <c r="O160" s="7">
        <v>1.0417212E7</v>
      </c>
      <c r="P160" s="7" t="s">
        <v>410</v>
      </c>
      <c r="Q160" s="7">
        <v>741.91</v>
      </c>
      <c r="R160" s="3">
        <f t="shared" si="1"/>
        <v>741.91</v>
      </c>
      <c r="S160" s="9">
        <v>253.78</v>
      </c>
      <c r="T160" s="10">
        <v>253.78</v>
      </c>
      <c r="V160" s="5">
        <f t="shared" si="2"/>
        <v>-488.13</v>
      </c>
    </row>
    <row r="161" ht="22.5" customHeight="1">
      <c r="B161" s="7" t="s">
        <v>160</v>
      </c>
      <c r="C161" s="7">
        <v>2960.0</v>
      </c>
      <c r="D161" s="7">
        <v>5555.0</v>
      </c>
      <c r="E161" s="7">
        <v>2.1190322E7</v>
      </c>
      <c r="F161" s="7">
        <v>1.6838457E7</v>
      </c>
      <c r="G161" s="7">
        <v>8.7591275E7</v>
      </c>
      <c r="H161" s="7">
        <v>6.27346373E8</v>
      </c>
      <c r="I161" s="7">
        <v>456098.0</v>
      </c>
      <c r="J161" s="7">
        <v>310176.0</v>
      </c>
      <c r="K161" s="7">
        <v>145922.0</v>
      </c>
      <c r="L161" s="7">
        <v>23.38</v>
      </c>
      <c r="M161" s="7">
        <v>-0.07</v>
      </c>
      <c r="N161" s="7">
        <v>175182.0</v>
      </c>
      <c r="O161" s="7">
        <v>3.0127348E7</v>
      </c>
      <c r="P161" s="7" t="s">
        <v>410</v>
      </c>
      <c r="Q161" s="7">
        <v>806.26</v>
      </c>
      <c r="R161" s="3">
        <f t="shared" si="1"/>
        <v>806.26</v>
      </c>
      <c r="S161" s="9">
        <v>977.22</v>
      </c>
      <c r="T161" s="10">
        <v>977.22</v>
      </c>
      <c r="V161" s="5">
        <f t="shared" si="2"/>
        <v>170.96</v>
      </c>
    </row>
    <row r="162" ht="22.5" customHeight="1">
      <c r="B162" s="7" t="s">
        <v>158</v>
      </c>
      <c r="C162" s="7">
        <v>51996.0</v>
      </c>
      <c r="D162" s="7">
        <v>147555.0</v>
      </c>
      <c r="E162" s="7">
        <v>1.0786805E7</v>
      </c>
      <c r="F162" s="7">
        <v>1.0731259E7</v>
      </c>
      <c r="G162" s="7">
        <v>1.23214312E8</v>
      </c>
      <c r="H162" s="7">
        <v>1.327422856E9</v>
      </c>
      <c r="I162" s="7">
        <v>377021.0</v>
      </c>
      <c r="J162" s="7">
        <v>299344.0</v>
      </c>
      <c r="K162" s="7">
        <v>77677.0</v>
      </c>
      <c r="L162" s="7">
        <v>49.79</v>
      </c>
      <c r="M162" s="7">
        <v>-0.03</v>
      </c>
      <c r="N162" s="7">
        <v>91752.0</v>
      </c>
      <c r="O162" s="7">
        <v>4.8198632E7</v>
      </c>
      <c r="P162" s="7" t="s">
        <v>410</v>
      </c>
      <c r="Q162" s="7">
        <v>806.44</v>
      </c>
      <c r="R162" s="3">
        <f t="shared" si="1"/>
        <v>806.44</v>
      </c>
      <c r="S162" s="9">
        <v>882.61</v>
      </c>
      <c r="T162" s="10">
        <v>882.61</v>
      </c>
      <c r="V162" s="5">
        <f t="shared" si="2"/>
        <v>76.17</v>
      </c>
    </row>
    <row r="163" ht="22.5" customHeight="1">
      <c r="B163" s="7" t="s">
        <v>88</v>
      </c>
      <c r="C163" s="7">
        <v>260342.0</v>
      </c>
      <c r="D163" s="7">
        <v>1377484.0</v>
      </c>
      <c r="E163" s="7">
        <v>1831504.0</v>
      </c>
      <c r="F163" s="7">
        <v>1652934.0</v>
      </c>
      <c r="G163" s="7">
        <v>1.1747247E7</v>
      </c>
      <c r="H163" s="7">
        <v>3.064606818E9</v>
      </c>
      <c r="I163" s="7">
        <v>69689.0</v>
      </c>
      <c r="J163" s="7">
        <v>64647.0</v>
      </c>
      <c r="K163" s="7">
        <v>5042.0</v>
      </c>
      <c r="L163" s="7">
        <v>201.65</v>
      </c>
      <c r="M163" s="7">
        <v>-0.11</v>
      </c>
      <c r="N163" s="7">
        <v>7041.0</v>
      </c>
      <c r="O163" s="7">
        <v>1699798.0</v>
      </c>
      <c r="P163" s="7" t="s">
        <v>409</v>
      </c>
      <c r="Q163" s="7">
        <v>815.94</v>
      </c>
      <c r="R163" s="3">
        <f t="shared" si="1"/>
        <v>815.94</v>
      </c>
      <c r="S163" s="9">
        <v>489.28</v>
      </c>
      <c r="T163" s="10">
        <v>489.28</v>
      </c>
      <c r="V163" s="5">
        <f t="shared" si="2"/>
        <v>-326.66</v>
      </c>
    </row>
    <row r="164" ht="22.5" customHeight="1">
      <c r="B164" s="7" t="s">
        <v>210</v>
      </c>
      <c r="C164" s="7">
        <v>8043699.0</v>
      </c>
      <c r="D164" s="7">
        <v>3.9376148E7</v>
      </c>
      <c r="E164" s="7">
        <v>13675.0</v>
      </c>
      <c r="F164" s="7">
        <v>12820.0</v>
      </c>
      <c r="G164" s="7">
        <v>1472090.0</v>
      </c>
      <c r="H164" s="7">
        <v>2.17646686E8</v>
      </c>
      <c r="I164" s="7">
        <v>254.0</v>
      </c>
      <c r="J164" s="7">
        <v>215.0</v>
      </c>
      <c r="K164" s="7">
        <v>39.0</v>
      </c>
      <c r="L164" s="7">
        <v>123.7</v>
      </c>
      <c r="M164" s="7">
        <v>-0.13</v>
      </c>
      <c r="N164" s="7">
        <v>67.0</v>
      </c>
      <c r="O164" s="7">
        <v>16698.0</v>
      </c>
      <c r="P164" s="7" t="s">
        <v>409</v>
      </c>
      <c r="Q164" s="7">
        <v>825.64</v>
      </c>
      <c r="R164" s="3">
        <f t="shared" si="1"/>
        <v>825.64</v>
      </c>
      <c r="S164" s="9">
        <v>2086.28</v>
      </c>
      <c r="T164" s="10">
        <v>2086.28</v>
      </c>
      <c r="V164" s="5">
        <f t="shared" si="2"/>
        <v>1260.64</v>
      </c>
    </row>
    <row r="165" ht="22.5" customHeight="1">
      <c r="B165" s="7" t="s">
        <v>199</v>
      </c>
      <c r="C165" s="7">
        <v>72078.0</v>
      </c>
      <c r="D165" s="7">
        <v>517705.0</v>
      </c>
      <c r="E165" s="7">
        <v>2918952.0</v>
      </c>
      <c r="F165" s="7">
        <v>2876495.0</v>
      </c>
      <c r="G165" s="7">
        <v>1.5344971E7</v>
      </c>
      <c r="H165" s="7">
        <v>1.223787346E9</v>
      </c>
      <c r="I165" s="7">
        <v>141647.0</v>
      </c>
      <c r="J165" s="7">
        <v>119626.0</v>
      </c>
      <c r="K165" s="7">
        <v>22021.0</v>
      </c>
      <c r="L165" s="7">
        <v>27.66</v>
      </c>
      <c r="M165" s="7">
        <v>-0.12</v>
      </c>
      <c r="N165" s="7">
        <v>26241.0</v>
      </c>
      <c r="O165" s="7">
        <v>2524827.0</v>
      </c>
      <c r="P165" s="7" t="s">
        <v>410</v>
      </c>
      <c r="Q165" s="7">
        <v>852.61</v>
      </c>
      <c r="R165" s="3">
        <f t="shared" si="1"/>
        <v>852.61</v>
      </c>
      <c r="S165" s="9">
        <v>1301.18</v>
      </c>
      <c r="T165" s="10">
        <v>1301.18</v>
      </c>
      <c r="V165" s="5">
        <f t="shared" si="2"/>
        <v>448.57</v>
      </c>
    </row>
    <row r="166" ht="22.5" customHeight="1">
      <c r="B166" s="7" t="s">
        <v>21</v>
      </c>
      <c r="C166" s="7">
        <v>9540.0</v>
      </c>
      <c r="D166" s="7">
        <v>61421.0</v>
      </c>
      <c r="E166" s="7">
        <v>4742703.0</v>
      </c>
      <c r="F166" s="7">
        <v>4666622.0</v>
      </c>
      <c r="G166" s="7">
        <v>1.564623E7</v>
      </c>
      <c r="H166" s="7">
        <v>8.43903913E8</v>
      </c>
      <c r="I166" s="7">
        <v>220806.0</v>
      </c>
      <c r="J166" s="7">
        <v>189404.0</v>
      </c>
      <c r="K166" s="7">
        <v>31402.0</v>
      </c>
      <c r="L166" s="7">
        <v>38.42</v>
      </c>
      <c r="M166" s="7">
        <v>-0.1</v>
      </c>
      <c r="N166" s="7">
        <v>39090.0</v>
      </c>
      <c r="O166" s="7">
        <v>2067410.0</v>
      </c>
      <c r="P166" s="7" t="s">
        <v>410</v>
      </c>
      <c r="Q166" s="7">
        <v>856.76</v>
      </c>
      <c r="R166" s="3">
        <f t="shared" si="1"/>
        <v>856.76</v>
      </c>
      <c r="S166" s="9">
        <v>13.91</v>
      </c>
      <c r="T166" s="10">
        <v>13.91</v>
      </c>
      <c r="V166" s="5">
        <f t="shared" si="2"/>
        <v>-842.85</v>
      </c>
    </row>
    <row r="167" ht="22.5" customHeight="1">
      <c r="B167" s="7" t="s">
        <v>194</v>
      </c>
      <c r="C167" s="7">
        <v>1094922.0</v>
      </c>
      <c r="D167" s="7">
        <v>5009021.0</v>
      </c>
      <c r="E167" s="7">
        <v>801236.0</v>
      </c>
      <c r="F167" s="7">
        <v>764974.0</v>
      </c>
      <c r="G167" s="7">
        <v>1.5596107E7</v>
      </c>
      <c r="H167" s="7">
        <v>2.151295444E9</v>
      </c>
      <c r="I167" s="7">
        <v>49599.0</v>
      </c>
      <c r="J167" s="7">
        <v>47218.0</v>
      </c>
      <c r="K167" s="7">
        <v>2381.0</v>
      </c>
      <c r="L167" s="7">
        <v>48.99</v>
      </c>
      <c r="M167" s="7">
        <v>-0.23</v>
      </c>
      <c r="N167" s="7">
        <v>3789.0</v>
      </c>
      <c r="O167" s="7">
        <v>1073846.0</v>
      </c>
      <c r="P167" s="7" t="s">
        <v>409</v>
      </c>
      <c r="Q167" s="7">
        <v>896.34</v>
      </c>
      <c r="R167" s="3">
        <f t="shared" si="1"/>
        <v>896.34</v>
      </c>
      <c r="S167" s="9">
        <v>1256.44</v>
      </c>
      <c r="T167" s="10">
        <v>1256.44</v>
      </c>
      <c r="V167" s="5">
        <f t="shared" si="2"/>
        <v>360.1</v>
      </c>
    </row>
    <row r="168" ht="22.5" customHeight="1">
      <c r="B168" s="7" t="s">
        <v>181</v>
      </c>
      <c r="C168" s="7">
        <v>2343808.0</v>
      </c>
      <c r="D168" s="7">
        <v>5010575.0</v>
      </c>
      <c r="E168" s="7">
        <v>1118712.0</v>
      </c>
      <c r="F168" s="7">
        <v>1009458.0</v>
      </c>
      <c r="G168" s="7">
        <v>9713748.0</v>
      </c>
      <c r="H168" s="7">
        <v>1.267345048E9</v>
      </c>
      <c r="I168" s="7">
        <v>22150.0</v>
      </c>
      <c r="J168" s="7">
        <v>16131.0</v>
      </c>
      <c r="K168" s="7">
        <v>6019.0</v>
      </c>
      <c r="L168" s="7">
        <v>353.61</v>
      </c>
      <c r="M168" s="7">
        <v>-0.07</v>
      </c>
      <c r="N168" s="7">
        <v>7963.0</v>
      </c>
      <c r="O168" s="7">
        <v>1266288.0</v>
      </c>
      <c r="P168" s="7" t="s">
        <v>410</v>
      </c>
      <c r="Q168" s="7">
        <v>898.78</v>
      </c>
      <c r="R168" s="3">
        <f t="shared" si="1"/>
        <v>898.78</v>
      </c>
      <c r="S168" s="9">
        <v>1088.27</v>
      </c>
      <c r="T168" s="10">
        <v>1088.27</v>
      </c>
      <c r="V168" s="5">
        <f t="shared" si="2"/>
        <v>189.49</v>
      </c>
    </row>
    <row r="169" ht="22.5" customHeight="1">
      <c r="B169" s="7" t="s">
        <v>139</v>
      </c>
      <c r="C169" s="7">
        <v>1314940.0</v>
      </c>
      <c r="D169" s="7">
        <v>2548425.0</v>
      </c>
      <c r="E169" s="7">
        <v>775496.0</v>
      </c>
      <c r="F169" s="7">
        <v>749451.0</v>
      </c>
      <c r="G169" s="7">
        <v>6691047.0</v>
      </c>
      <c r="H169" s="7">
        <v>2.348125667E9</v>
      </c>
      <c r="I169" s="7">
        <v>33833.0</v>
      </c>
      <c r="J169" s="7">
        <v>32073.0</v>
      </c>
      <c r="K169" s="7">
        <v>1760.0</v>
      </c>
      <c r="L169" s="7">
        <v>29.08</v>
      </c>
      <c r="M169" s="7">
        <v>-0.17</v>
      </c>
      <c r="N169" s="7">
        <v>3120.0</v>
      </c>
      <c r="O169" s="7">
        <v>670381.0</v>
      </c>
      <c r="P169" s="7" t="s">
        <v>409</v>
      </c>
      <c r="Q169" s="7">
        <v>899.83</v>
      </c>
      <c r="R169" s="3">
        <f t="shared" si="1"/>
        <v>899.83</v>
      </c>
      <c r="S169" s="9">
        <v>548.4</v>
      </c>
      <c r="T169" s="10">
        <v>548.4</v>
      </c>
      <c r="V169" s="5">
        <f t="shared" si="2"/>
        <v>-351.43</v>
      </c>
    </row>
    <row r="170" ht="22.5" customHeight="1">
      <c r="B170" s="7" t="s">
        <v>68</v>
      </c>
      <c r="C170" s="7">
        <v>3837.0</v>
      </c>
      <c r="D170" s="7">
        <v>15085.0</v>
      </c>
      <c r="E170" s="7">
        <v>3321194.0</v>
      </c>
      <c r="F170" s="7">
        <v>3273790.0</v>
      </c>
      <c r="G170" s="7">
        <v>6275848.0</v>
      </c>
      <c r="H170" s="7">
        <v>3.80826323E8</v>
      </c>
      <c r="I170" s="7">
        <v>150129.0</v>
      </c>
      <c r="J170" s="7">
        <v>129267.0</v>
      </c>
      <c r="K170" s="7">
        <v>20862.0</v>
      </c>
      <c r="L170" s="7">
        <v>38.29</v>
      </c>
      <c r="M170" s="7">
        <v>-0.07</v>
      </c>
      <c r="N170" s="7">
        <v>26442.0</v>
      </c>
      <c r="O170" s="7">
        <v>1087134.0</v>
      </c>
      <c r="P170" s="7" t="s">
        <v>409</v>
      </c>
      <c r="Q170" s="7">
        <v>901.51</v>
      </c>
      <c r="R170" s="3">
        <f t="shared" si="1"/>
        <v>901.51</v>
      </c>
      <c r="S170" s="9">
        <v>2076.56</v>
      </c>
      <c r="T170" s="10">
        <v>2076.56</v>
      </c>
      <c r="V170" s="5">
        <f t="shared" si="2"/>
        <v>1175.05</v>
      </c>
    </row>
    <row r="171" ht="22.5" customHeight="1">
      <c r="B171" s="7" t="s">
        <v>260</v>
      </c>
      <c r="C171" s="7">
        <v>123133.0</v>
      </c>
      <c r="D171" s="7">
        <v>796517.0</v>
      </c>
      <c r="E171" s="7">
        <v>859632.0</v>
      </c>
      <c r="F171" s="7">
        <v>827872.0</v>
      </c>
      <c r="G171" s="7">
        <v>3074760.0</v>
      </c>
      <c r="H171" s="7">
        <v>1.806287262E9</v>
      </c>
      <c r="I171" s="7">
        <v>28517.0</v>
      </c>
      <c r="J171" s="7">
        <v>25410.0</v>
      </c>
      <c r="K171" s="7">
        <v>3107.0</v>
      </c>
      <c r="L171" s="7">
        <v>76.93</v>
      </c>
      <c r="M171" s="7">
        <v>-0.12</v>
      </c>
      <c r="N171" s="7">
        <v>4687.0</v>
      </c>
      <c r="O171" s="7">
        <v>501584.0</v>
      </c>
      <c r="P171" s="7" t="s">
        <v>409</v>
      </c>
      <c r="Q171" s="7">
        <v>906.49</v>
      </c>
      <c r="R171" s="3">
        <f t="shared" si="1"/>
        <v>906.49</v>
      </c>
      <c r="S171" s="9">
        <v>1903.77</v>
      </c>
      <c r="T171" s="10">
        <v>1903.77</v>
      </c>
      <c r="V171" s="5">
        <f t="shared" si="2"/>
        <v>997.28</v>
      </c>
    </row>
    <row r="172" ht="22.5" customHeight="1">
      <c r="B172" s="7" t="s">
        <v>85</v>
      </c>
      <c r="C172" s="7">
        <v>708.0</v>
      </c>
      <c r="D172" s="7">
        <v>2539.0</v>
      </c>
      <c r="E172" s="7">
        <v>6069249.0</v>
      </c>
      <c r="F172" s="7">
        <v>6046897.0</v>
      </c>
      <c r="G172" s="7">
        <v>8929009.0</v>
      </c>
      <c r="H172" s="7">
        <v>2.76698704E8</v>
      </c>
      <c r="I172" s="7">
        <v>329601.0</v>
      </c>
      <c r="J172" s="7">
        <v>286920.0</v>
      </c>
      <c r="K172" s="7">
        <v>42681.0</v>
      </c>
      <c r="L172" s="7">
        <v>22.85</v>
      </c>
      <c r="M172" s="7">
        <v>-0.05</v>
      </c>
      <c r="N172" s="7">
        <v>49914.0</v>
      </c>
      <c r="O172" s="7">
        <v>2596335.0</v>
      </c>
      <c r="P172" s="7" t="s">
        <v>409</v>
      </c>
      <c r="Q172" s="7">
        <v>948.22</v>
      </c>
      <c r="R172" s="3">
        <f t="shared" si="1"/>
        <v>948.22</v>
      </c>
      <c r="S172" s="9">
        <v>423.06</v>
      </c>
      <c r="T172" s="10">
        <v>423.06</v>
      </c>
      <c r="V172" s="5">
        <f t="shared" si="2"/>
        <v>-525.16</v>
      </c>
    </row>
    <row r="173" ht="22.5" customHeight="1">
      <c r="B173" s="7" t="s">
        <v>133</v>
      </c>
      <c r="C173" s="7">
        <v>578891.0</v>
      </c>
      <c r="D173" s="7">
        <v>1735495.0</v>
      </c>
      <c r="E173" s="7">
        <v>6860434.0</v>
      </c>
      <c r="F173" s="7">
        <v>6575361.0</v>
      </c>
      <c r="G173" s="7">
        <v>6.1463733E7</v>
      </c>
      <c r="H173" s="7">
        <v>2.156292074E9</v>
      </c>
      <c r="I173" s="7">
        <v>253937.0</v>
      </c>
      <c r="J173" s="7">
        <v>228772.0</v>
      </c>
      <c r="K173" s="7">
        <v>25165.0</v>
      </c>
      <c r="L173" s="7">
        <v>59.47</v>
      </c>
      <c r="M173" s="7">
        <v>-0.17</v>
      </c>
      <c r="N173" s="7">
        <v>33126.0</v>
      </c>
      <c r="O173" s="7">
        <v>1.7438464E7</v>
      </c>
      <c r="P173" s="7" t="s">
        <v>410</v>
      </c>
      <c r="Q173" s="7">
        <v>956.9</v>
      </c>
      <c r="R173" s="3">
        <f t="shared" si="1"/>
        <v>956.9</v>
      </c>
      <c r="S173" s="9">
        <v>236.43</v>
      </c>
      <c r="T173" s="10">
        <v>236.43</v>
      </c>
      <c r="V173" s="5">
        <f t="shared" si="2"/>
        <v>-720.47</v>
      </c>
    </row>
    <row r="174" ht="22.5" customHeight="1">
      <c r="B174" s="7" t="s">
        <v>189</v>
      </c>
      <c r="C174" s="7">
        <v>153834.0</v>
      </c>
      <c r="D174" s="7">
        <v>459957.0</v>
      </c>
      <c r="E174" s="7">
        <v>5241521.0</v>
      </c>
      <c r="F174" s="7">
        <v>5040969.0</v>
      </c>
      <c r="G174" s="7">
        <v>4.3184927E7</v>
      </c>
      <c r="H174" s="7">
        <v>7.90857777E8</v>
      </c>
      <c r="I174" s="7">
        <v>171530.0</v>
      </c>
      <c r="J174" s="7">
        <v>141301.0</v>
      </c>
      <c r="K174" s="7">
        <v>30229.0</v>
      </c>
      <c r="L174" s="7">
        <v>107.22</v>
      </c>
      <c r="M174" s="7">
        <v>-0.07</v>
      </c>
      <c r="N174" s="7">
        <v>37822.0</v>
      </c>
      <c r="O174" s="7">
        <v>1.4279993E7</v>
      </c>
      <c r="P174" s="7" t="s">
        <v>410</v>
      </c>
      <c r="Q174" s="7">
        <v>979.75</v>
      </c>
      <c r="R174" s="3">
        <f t="shared" si="1"/>
        <v>979.75</v>
      </c>
      <c r="S174" s="9">
        <v>1221.39</v>
      </c>
      <c r="T174" s="10">
        <v>1221.39</v>
      </c>
      <c r="V174" s="5">
        <f t="shared" si="2"/>
        <v>241.64</v>
      </c>
    </row>
    <row r="175" ht="22.5" customHeight="1">
      <c r="B175" s="7" t="s">
        <v>117</v>
      </c>
      <c r="C175" s="7">
        <v>827.0</v>
      </c>
      <c r="D175" s="7">
        <v>20669.0</v>
      </c>
      <c r="E175" s="7">
        <v>2606255.0</v>
      </c>
      <c r="F175" s="7">
        <v>2584784.0</v>
      </c>
      <c r="G175" s="7">
        <v>4564394.0</v>
      </c>
      <c r="H175" s="7">
        <v>3.14083895E8</v>
      </c>
      <c r="I175" s="7">
        <v>159225.0</v>
      </c>
      <c r="J175" s="7">
        <v>140475.0</v>
      </c>
      <c r="K175" s="7">
        <v>18750.0</v>
      </c>
      <c r="L175" s="7">
        <v>22.53</v>
      </c>
      <c r="M175" s="7">
        <v>-0.07</v>
      </c>
      <c r="N175" s="7">
        <v>22066.0</v>
      </c>
      <c r="O175" s="7">
        <v>1024428.0</v>
      </c>
      <c r="P175" s="7" t="s">
        <v>409</v>
      </c>
      <c r="Q175" s="7">
        <v>985.11</v>
      </c>
      <c r="R175" s="3">
        <f t="shared" si="1"/>
        <v>985.11</v>
      </c>
      <c r="S175" s="9">
        <v>295.82</v>
      </c>
      <c r="T175" s="10">
        <v>295.82</v>
      </c>
      <c r="V175" s="5">
        <f t="shared" si="2"/>
        <v>-689.29</v>
      </c>
    </row>
    <row r="176" ht="22.5" customHeight="1">
      <c r="B176" s="7" t="s">
        <v>185</v>
      </c>
      <c r="C176" s="7">
        <v>3426.0</v>
      </c>
      <c r="D176" s="7">
        <v>15230.0</v>
      </c>
      <c r="E176" s="7">
        <v>7394618.0</v>
      </c>
      <c r="F176" s="7">
        <v>7394404.0</v>
      </c>
      <c r="G176" s="7">
        <v>7417288.0</v>
      </c>
      <c r="H176" s="7">
        <v>2.646281083E9</v>
      </c>
      <c r="I176" s="7">
        <v>320259.0</v>
      </c>
      <c r="J176" s="7">
        <v>269773.0</v>
      </c>
      <c r="K176" s="7">
        <v>50486.0</v>
      </c>
      <c r="L176" s="7">
        <v>19.0</v>
      </c>
      <c r="M176" s="7">
        <v>0.0</v>
      </c>
      <c r="N176" s="7">
        <v>57449.0</v>
      </c>
      <c r="O176" s="7">
        <v>3942472.0</v>
      </c>
      <c r="P176" s="7" t="s">
        <v>409</v>
      </c>
      <c r="Q176" s="7">
        <v>1049.38</v>
      </c>
      <c r="R176" s="3">
        <f t="shared" si="1"/>
        <v>1049.38</v>
      </c>
      <c r="S176" s="9">
        <v>1159.98</v>
      </c>
      <c r="T176" s="10">
        <v>1159.98</v>
      </c>
      <c r="V176" s="5">
        <f t="shared" si="2"/>
        <v>110.6</v>
      </c>
    </row>
    <row r="177" ht="22.5" customHeight="1">
      <c r="B177" s="7" t="s">
        <v>386</v>
      </c>
      <c r="C177" s="7">
        <v>95810.0</v>
      </c>
      <c r="D177" s="7">
        <v>287043.0</v>
      </c>
      <c r="E177" s="7">
        <v>5640217.0</v>
      </c>
      <c r="F177" s="7">
        <v>5530832.0</v>
      </c>
      <c r="G177" s="7">
        <v>1.6243364E7</v>
      </c>
      <c r="H177" s="7">
        <v>2.302685065E9</v>
      </c>
      <c r="I177" s="7">
        <v>254161.0</v>
      </c>
      <c r="J177" s="7">
        <v>234653.0</v>
      </c>
      <c r="K177" s="7">
        <v>19508.0</v>
      </c>
      <c r="L177" s="7">
        <v>63.08</v>
      </c>
      <c r="M177" s="7">
        <v>-0.1</v>
      </c>
      <c r="N177" s="7">
        <v>27692.0</v>
      </c>
      <c r="O177" s="7">
        <v>2935158.0</v>
      </c>
      <c r="P177" s="7" t="s">
        <v>410</v>
      </c>
      <c r="Q177" s="7">
        <v>1108.36</v>
      </c>
      <c r="R177" s="3">
        <f t="shared" si="1"/>
        <v>1108.36</v>
      </c>
      <c r="S177" s="9">
        <v>4965.4</v>
      </c>
      <c r="T177" s="10">
        <v>10000.0</v>
      </c>
      <c r="V177" s="5">
        <f t="shared" si="2"/>
        <v>8891.64</v>
      </c>
    </row>
    <row r="178" ht="22.5" customHeight="1">
      <c r="B178" s="7" t="s">
        <v>180</v>
      </c>
      <c r="C178" s="7">
        <v>5000.0</v>
      </c>
      <c r="D178" s="7">
        <v>21250.0</v>
      </c>
      <c r="E178" s="7">
        <v>1.0860941E7</v>
      </c>
      <c r="F178" s="7">
        <v>1.0630374E7</v>
      </c>
      <c r="G178" s="7">
        <v>1.8465449E7</v>
      </c>
      <c r="H178" s="7">
        <v>1.832843652E9</v>
      </c>
      <c r="I178" s="7">
        <v>467926.0</v>
      </c>
      <c r="J178" s="7">
        <v>402464.0</v>
      </c>
      <c r="K178" s="7">
        <v>65462.0</v>
      </c>
      <c r="L178" s="7">
        <v>20.13</v>
      </c>
      <c r="M178" s="7">
        <v>-0.06</v>
      </c>
      <c r="N178" s="7">
        <v>80514.0</v>
      </c>
      <c r="O178" s="7">
        <v>4624620.0</v>
      </c>
      <c r="P178" s="7" t="s">
        <v>410</v>
      </c>
      <c r="Q178" s="7">
        <v>1140.21</v>
      </c>
      <c r="R178" s="3">
        <f t="shared" si="1"/>
        <v>1140.21</v>
      </c>
      <c r="S178" s="9">
        <v>1013.2</v>
      </c>
      <c r="T178" s="10">
        <v>1013.2</v>
      </c>
      <c r="V178" s="5">
        <f t="shared" si="2"/>
        <v>-127.01</v>
      </c>
    </row>
    <row r="179" ht="22.5" customHeight="1">
      <c r="B179" s="7" t="s">
        <v>193</v>
      </c>
      <c r="C179" s="7">
        <v>10675.0</v>
      </c>
      <c r="D179" s="7">
        <v>84849.0</v>
      </c>
      <c r="E179" s="7">
        <v>4027217.0</v>
      </c>
      <c r="F179" s="7">
        <v>3952446.0</v>
      </c>
      <c r="G179" s="7">
        <v>6180068.0</v>
      </c>
      <c r="H179" s="7">
        <v>9.98135596E8</v>
      </c>
      <c r="I179" s="7">
        <v>111182.0</v>
      </c>
      <c r="J179" s="7">
        <v>80468.0</v>
      </c>
      <c r="K179" s="7">
        <v>30714.0</v>
      </c>
      <c r="L179" s="7">
        <v>28.45</v>
      </c>
      <c r="M179" s="7">
        <v>-0.04</v>
      </c>
      <c r="N179" s="7">
        <v>38122.0</v>
      </c>
      <c r="O179" s="7">
        <v>1378618.0</v>
      </c>
      <c r="P179" s="7" t="s">
        <v>410</v>
      </c>
      <c r="Q179" s="7">
        <v>1155.42</v>
      </c>
      <c r="R179" s="3">
        <f t="shared" si="1"/>
        <v>1155.42</v>
      </c>
      <c r="S179" s="9">
        <v>1023.96</v>
      </c>
      <c r="T179" s="10">
        <v>1023.96</v>
      </c>
      <c r="V179" s="5">
        <f t="shared" si="2"/>
        <v>-131.46</v>
      </c>
    </row>
    <row r="180" ht="22.5" customHeight="1">
      <c r="B180" s="7" t="s">
        <v>164</v>
      </c>
      <c r="C180" s="7">
        <v>851.0</v>
      </c>
      <c r="D180" s="7">
        <v>2702.0</v>
      </c>
      <c r="E180" s="7">
        <v>7885611.0</v>
      </c>
      <c r="F180" s="7">
        <v>7786538.0</v>
      </c>
      <c r="G180" s="7">
        <v>1.1337691E7</v>
      </c>
      <c r="H180" s="7">
        <v>2.64964925E8</v>
      </c>
      <c r="I180" s="7">
        <v>415625.0</v>
      </c>
      <c r="J180" s="7">
        <v>381443.0</v>
      </c>
      <c r="K180" s="7">
        <v>34182.0</v>
      </c>
      <c r="L180" s="7">
        <v>17.53</v>
      </c>
      <c r="M180" s="7">
        <v>-0.06</v>
      </c>
      <c r="N180" s="7">
        <v>41748.0</v>
      </c>
      <c r="O180" s="7">
        <v>4166041.0</v>
      </c>
      <c r="P180" s="7" t="s">
        <v>410</v>
      </c>
      <c r="Q180" s="7">
        <v>1196.8</v>
      </c>
      <c r="R180" s="3">
        <f t="shared" si="1"/>
        <v>1196.8</v>
      </c>
      <c r="S180" s="9">
        <v>1026.16</v>
      </c>
      <c r="T180" s="10">
        <v>1026.16</v>
      </c>
      <c r="V180" s="5">
        <f t="shared" si="2"/>
        <v>-170.64</v>
      </c>
    </row>
    <row r="181" ht="22.5" customHeight="1">
      <c r="B181" s="7" t="s">
        <v>116</v>
      </c>
      <c r="C181" s="7">
        <v>2187.0</v>
      </c>
      <c r="D181" s="7">
        <v>21286.0</v>
      </c>
      <c r="E181" s="7">
        <v>7888713.0</v>
      </c>
      <c r="F181" s="7">
        <v>7860034.0</v>
      </c>
      <c r="G181" s="7">
        <v>1.0457965E7</v>
      </c>
      <c r="H181" s="7">
        <v>4.96771499E8</v>
      </c>
      <c r="I181" s="7">
        <v>461921.0</v>
      </c>
      <c r="J181" s="7">
        <v>411407.0</v>
      </c>
      <c r="K181" s="7">
        <v>50514.0</v>
      </c>
      <c r="L181" s="7">
        <v>22.87</v>
      </c>
      <c r="M181" s="7">
        <v>-0.04</v>
      </c>
      <c r="N181" s="7">
        <v>57430.0</v>
      </c>
      <c r="O181" s="7">
        <v>4075170.0</v>
      </c>
      <c r="P181" s="7" t="s">
        <v>409</v>
      </c>
      <c r="Q181" s="7">
        <v>1209.88</v>
      </c>
      <c r="R181" s="3">
        <f t="shared" si="1"/>
        <v>1209.88</v>
      </c>
      <c r="S181" s="9">
        <v>18.08</v>
      </c>
      <c r="T181" s="10">
        <v>18.08</v>
      </c>
      <c r="V181" s="5">
        <f t="shared" si="2"/>
        <v>-1191.8</v>
      </c>
    </row>
    <row r="182" ht="22.5" customHeight="1">
      <c r="B182" s="7" t="s">
        <v>248</v>
      </c>
      <c r="C182" s="7">
        <v>895721.0</v>
      </c>
      <c r="D182" s="7">
        <v>1.7648874E7</v>
      </c>
      <c r="E182" s="7">
        <v>617243.0</v>
      </c>
      <c r="F182" s="7">
        <v>599215.0</v>
      </c>
      <c r="G182" s="7">
        <v>2146223.0</v>
      </c>
      <c r="H182" s="7">
        <v>1.222943558E9</v>
      </c>
      <c r="I182" s="7">
        <v>30302.0</v>
      </c>
      <c r="J182" s="7">
        <v>28255.0</v>
      </c>
      <c r="K182" s="7">
        <v>2047.0</v>
      </c>
      <c r="L182" s="7">
        <v>17.47</v>
      </c>
      <c r="M182" s="7">
        <v>-0.13</v>
      </c>
      <c r="N182" s="7">
        <v>2875.0</v>
      </c>
      <c r="O182" s="7">
        <v>477425.0</v>
      </c>
      <c r="P182" s="7" t="s">
        <v>409</v>
      </c>
      <c r="Q182" s="7">
        <v>1211.74</v>
      </c>
      <c r="R182" s="3">
        <f t="shared" si="1"/>
        <v>1211.74</v>
      </c>
      <c r="S182" s="9">
        <v>4169.42</v>
      </c>
      <c r="T182" s="10">
        <v>4169.42</v>
      </c>
      <c r="V182" s="5">
        <f t="shared" si="2"/>
        <v>2957.68</v>
      </c>
    </row>
    <row r="183" ht="22.5" customHeight="1">
      <c r="B183" s="7" t="s">
        <v>182</v>
      </c>
      <c r="C183" s="7">
        <v>113407.0</v>
      </c>
      <c r="D183" s="7">
        <v>1010625.0</v>
      </c>
      <c r="E183" s="7">
        <v>1331740.0</v>
      </c>
      <c r="F183" s="7">
        <v>1313590.0</v>
      </c>
      <c r="G183" s="7">
        <v>2178976.0</v>
      </c>
      <c r="H183" s="7">
        <v>2.583410306E9</v>
      </c>
      <c r="I183" s="7">
        <v>58254.0</v>
      </c>
      <c r="J183" s="7">
        <v>51213.0</v>
      </c>
      <c r="K183" s="7">
        <v>7041.0</v>
      </c>
      <c r="L183" s="7">
        <v>54.65</v>
      </c>
      <c r="M183" s="7">
        <v>-0.07</v>
      </c>
      <c r="N183" s="7">
        <v>8990.0</v>
      </c>
      <c r="O183" s="7">
        <v>532773.0</v>
      </c>
      <c r="P183" s="7" t="s">
        <v>410</v>
      </c>
      <c r="Q183" s="7">
        <v>1281.62</v>
      </c>
      <c r="R183" s="3">
        <f t="shared" si="1"/>
        <v>1281.62</v>
      </c>
      <c r="S183" s="9">
        <v>1017.96</v>
      </c>
      <c r="T183" s="10">
        <v>1017.96</v>
      </c>
      <c r="V183" s="5">
        <f t="shared" si="2"/>
        <v>-263.66</v>
      </c>
    </row>
    <row r="184" ht="22.5" customHeight="1">
      <c r="B184" s="7" t="s">
        <v>381</v>
      </c>
      <c r="C184" s="7">
        <v>3220.0</v>
      </c>
      <c r="D184" s="7">
        <v>12314.0</v>
      </c>
      <c r="E184" s="7">
        <v>8274335.0</v>
      </c>
      <c r="F184" s="7">
        <v>8140157.0</v>
      </c>
      <c r="G184" s="7">
        <v>2.6094528E7</v>
      </c>
      <c r="H184" s="7">
        <v>5.58440536E8</v>
      </c>
      <c r="I184" s="7">
        <v>474772.0</v>
      </c>
      <c r="J184" s="7">
        <v>444217.0</v>
      </c>
      <c r="K184" s="7">
        <v>30555.0</v>
      </c>
      <c r="L184" s="7">
        <v>29.89</v>
      </c>
      <c r="M184" s="7">
        <v>-0.11</v>
      </c>
      <c r="N184" s="7">
        <v>38560.0</v>
      </c>
      <c r="O184" s="7">
        <v>4957497.0</v>
      </c>
      <c r="P184" s="7" t="s">
        <v>409</v>
      </c>
      <c r="Q184" s="7">
        <v>1286.65</v>
      </c>
      <c r="R184" s="3">
        <f t="shared" si="1"/>
        <v>1286.65</v>
      </c>
      <c r="S184" s="9">
        <v>3620.12</v>
      </c>
      <c r="T184" s="10">
        <v>3620.12</v>
      </c>
      <c r="V184" s="5">
        <f t="shared" si="2"/>
        <v>2333.47</v>
      </c>
    </row>
    <row r="185" ht="22.5" customHeight="1">
      <c r="B185" s="7" t="s">
        <v>216</v>
      </c>
      <c r="C185" s="7">
        <v>3220.0</v>
      </c>
      <c r="D185" s="7">
        <v>12314.0</v>
      </c>
      <c r="E185" s="7">
        <v>8679326.0</v>
      </c>
      <c r="F185" s="7">
        <v>8542085.0</v>
      </c>
      <c r="G185" s="7">
        <v>2.867066E7</v>
      </c>
      <c r="H185" s="7">
        <v>5.68245142E8</v>
      </c>
      <c r="I185" s="7">
        <v>542868.0</v>
      </c>
      <c r="J185" s="7">
        <v>509017.0</v>
      </c>
      <c r="K185" s="7">
        <v>33851.0</v>
      </c>
      <c r="L185" s="7">
        <v>30.85</v>
      </c>
      <c r="M185" s="7">
        <v>-0.11</v>
      </c>
      <c r="N185" s="7">
        <v>43058.0</v>
      </c>
      <c r="O185" s="7">
        <v>4657550.0</v>
      </c>
      <c r="P185" s="7" t="s">
        <v>409</v>
      </c>
      <c r="Q185" s="7">
        <v>1350.92</v>
      </c>
      <c r="R185" s="3">
        <f t="shared" si="1"/>
        <v>1350.92</v>
      </c>
      <c r="S185" s="9">
        <v>2257.55</v>
      </c>
      <c r="T185" s="10">
        <v>2257.55</v>
      </c>
      <c r="V185" s="5">
        <f t="shared" si="2"/>
        <v>906.63</v>
      </c>
    </row>
    <row r="186" ht="22.5" customHeight="1">
      <c r="B186" s="7" t="s">
        <v>282</v>
      </c>
      <c r="C186" s="7">
        <v>98048.0</v>
      </c>
      <c r="D186" s="7">
        <v>293756.0</v>
      </c>
      <c r="E186" s="7">
        <v>5779678.0</v>
      </c>
      <c r="F186" s="7">
        <v>5663190.0</v>
      </c>
      <c r="G186" s="7">
        <v>1.6746887E7</v>
      </c>
      <c r="H186" s="7">
        <v>2.305221151E9</v>
      </c>
      <c r="I186" s="7">
        <v>261901.0</v>
      </c>
      <c r="J186" s="7">
        <v>243172.0</v>
      </c>
      <c r="K186" s="7">
        <v>18729.0</v>
      </c>
      <c r="L186" s="7">
        <v>83.15</v>
      </c>
      <c r="M186" s="7">
        <v>-0.11</v>
      </c>
      <c r="N186" s="7">
        <v>26944.0</v>
      </c>
      <c r="O186" s="7">
        <v>3092251.0</v>
      </c>
      <c r="P186" s="7" t="s">
        <v>410</v>
      </c>
      <c r="Q186" s="7">
        <v>1389.77</v>
      </c>
      <c r="R186" s="3">
        <f t="shared" si="1"/>
        <v>1389.77</v>
      </c>
      <c r="S186" s="9">
        <v>4845.13</v>
      </c>
      <c r="T186" s="10">
        <v>10000.0</v>
      </c>
      <c r="V186" s="5">
        <f t="shared" si="2"/>
        <v>8610.23</v>
      </c>
    </row>
    <row r="187" ht="22.5" customHeight="1">
      <c r="B187" s="7" t="s">
        <v>232</v>
      </c>
      <c r="C187" s="7">
        <v>371419.0</v>
      </c>
      <c r="D187" s="7">
        <v>7170905.0</v>
      </c>
      <c r="E187" s="7">
        <v>1108331.0</v>
      </c>
      <c r="F187" s="7">
        <v>1075865.0</v>
      </c>
      <c r="G187" s="7">
        <v>2.737435E7</v>
      </c>
      <c r="H187" s="7">
        <v>2.484349564E9</v>
      </c>
      <c r="I187" s="7">
        <v>39969.0</v>
      </c>
      <c r="J187" s="7">
        <v>35019.0</v>
      </c>
      <c r="K187" s="7">
        <v>4950.0</v>
      </c>
      <c r="L187" s="7">
        <v>100.8</v>
      </c>
      <c r="M187" s="7">
        <v>-0.1</v>
      </c>
      <c r="N187" s="7">
        <v>6987.0</v>
      </c>
      <c r="O187" s="7">
        <v>4114583.0</v>
      </c>
      <c r="P187" s="7" t="s">
        <v>410</v>
      </c>
      <c r="Q187" s="7">
        <v>1404.54</v>
      </c>
      <c r="R187" s="3">
        <f t="shared" si="1"/>
        <v>1404.54</v>
      </c>
      <c r="S187" s="9">
        <v>2047.11</v>
      </c>
      <c r="T187" s="10">
        <v>2047.11</v>
      </c>
      <c r="V187" s="5">
        <f t="shared" si="2"/>
        <v>642.57</v>
      </c>
    </row>
    <row r="188" ht="22.5" customHeight="1">
      <c r="B188" s="7" t="s">
        <v>169</v>
      </c>
      <c r="C188" s="7">
        <v>2187.0</v>
      </c>
      <c r="D188" s="7">
        <v>21286.0</v>
      </c>
      <c r="E188" s="7">
        <v>9425535.0</v>
      </c>
      <c r="F188" s="7">
        <v>9394948.0</v>
      </c>
      <c r="G188" s="7">
        <v>1.1965481E7</v>
      </c>
      <c r="H188" s="7">
        <v>5.94364655E8</v>
      </c>
      <c r="I188" s="7">
        <v>509850.0</v>
      </c>
      <c r="J188" s="7">
        <v>436287.0</v>
      </c>
      <c r="K188" s="7">
        <v>73563.0</v>
      </c>
      <c r="L188" s="7">
        <v>22.02</v>
      </c>
      <c r="M188" s="7">
        <v>-0.03</v>
      </c>
      <c r="N188" s="7">
        <v>83599.0</v>
      </c>
      <c r="O188" s="7">
        <v>4311646.0</v>
      </c>
      <c r="P188" s="7" t="s">
        <v>410</v>
      </c>
      <c r="Q188" s="7">
        <v>1408.32</v>
      </c>
      <c r="R188" s="3">
        <f t="shared" si="1"/>
        <v>1408.32</v>
      </c>
      <c r="S188" s="9">
        <v>791.64</v>
      </c>
      <c r="T188" s="10">
        <v>791.64</v>
      </c>
      <c r="V188" s="5">
        <f t="shared" si="2"/>
        <v>-616.68</v>
      </c>
    </row>
    <row r="189" ht="22.5" customHeight="1">
      <c r="B189" s="7" t="s">
        <v>209</v>
      </c>
      <c r="C189" s="7">
        <v>2750.0</v>
      </c>
      <c r="D189" s="7">
        <v>286160.0</v>
      </c>
      <c r="E189" s="7">
        <v>8135340.0</v>
      </c>
      <c r="F189" s="7">
        <v>7927195.0</v>
      </c>
      <c r="G189" s="7">
        <v>1.8510906E7</v>
      </c>
      <c r="H189" s="7">
        <v>3.57801521E8</v>
      </c>
      <c r="I189" s="7">
        <v>401129.0</v>
      </c>
      <c r="J189" s="7">
        <v>368175.0</v>
      </c>
      <c r="K189" s="7">
        <v>32954.0</v>
      </c>
      <c r="L189" s="7">
        <v>98.51</v>
      </c>
      <c r="M189" s="7">
        <v>-0.05</v>
      </c>
      <c r="N189" s="7">
        <v>40456.0</v>
      </c>
      <c r="O189" s="7">
        <v>6852179.0</v>
      </c>
      <c r="P189" s="7" t="s">
        <v>410</v>
      </c>
      <c r="Q189" s="7">
        <v>1433.65</v>
      </c>
      <c r="R189" s="3">
        <f t="shared" si="1"/>
        <v>1433.65</v>
      </c>
      <c r="S189" s="9">
        <v>1682.59</v>
      </c>
      <c r="T189" s="10">
        <v>1682.59</v>
      </c>
      <c r="V189" s="5">
        <f t="shared" si="2"/>
        <v>248.94</v>
      </c>
    </row>
    <row r="190" ht="22.5" customHeight="1">
      <c r="B190" s="7" t="s">
        <v>77</v>
      </c>
      <c r="C190" s="7">
        <v>4719.0</v>
      </c>
      <c r="D190" s="7">
        <v>14071.0</v>
      </c>
      <c r="E190" s="7">
        <v>5923606.0</v>
      </c>
      <c r="F190" s="7">
        <v>5853865.0</v>
      </c>
      <c r="G190" s="7">
        <v>9324860.0</v>
      </c>
      <c r="H190" s="7">
        <v>6.90333184E8</v>
      </c>
      <c r="I190" s="7">
        <v>299670.0</v>
      </c>
      <c r="J190" s="7">
        <v>262073.0</v>
      </c>
      <c r="K190" s="7">
        <v>37597.0</v>
      </c>
      <c r="L190" s="7">
        <v>36.73</v>
      </c>
      <c r="M190" s="7">
        <v>-0.05</v>
      </c>
      <c r="N190" s="7">
        <v>45028.0</v>
      </c>
      <c r="O190" s="7">
        <v>2546377.0</v>
      </c>
      <c r="P190" s="7" t="s">
        <v>410</v>
      </c>
      <c r="Q190" s="7">
        <v>1434.45</v>
      </c>
      <c r="R190" s="3">
        <f t="shared" si="1"/>
        <v>1434.45</v>
      </c>
      <c r="S190" s="9">
        <v>134.13</v>
      </c>
      <c r="T190" s="10">
        <v>134.13</v>
      </c>
      <c r="V190" s="5">
        <f t="shared" si="2"/>
        <v>-1300.32</v>
      </c>
    </row>
    <row r="191" ht="22.5" customHeight="1">
      <c r="B191" s="7" t="s">
        <v>214</v>
      </c>
      <c r="C191" s="7">
        <v>1236271.0</v>
      </c>
      <c r="D191" s="7">
        <v>4906536.0</v>
      </c>
      <c r="E191" s="7">
        <v>214418.0</v>
      </c>
      <c r="F191" s="7">
        <v>209445.0</v>
      </c>
      <c r="G191" s="7">
        <v>380066.0</v>
      </c>
      <c r="H191" s="7">
        <v>3.029838502E9</v>
      </c>
      <c r="I191" s="7">
        <v>5986.0</v>
      </c>
      <c r="J191" s="7">
        <v>4711.0</v>
      </c>
      <c r="K191" s="7">
        <v>1275.0</v>
      </c>
      <c r="L191" s="7">
        <v>21.04</v>
      </c>
      <c r="M191" s="7">
        <v>-0.07</v>
      </c>
      <c r="N191" s="7">
        <v>1650.0</v>
      </c>
      <c r="O191" s="7">
        <v>90036.0</v>
      </c>
      <c r="P191" s="7" t="s">
        <v>410</v>
      </c>
      <c r="Q191" s="7">
        <v>1439.66</v>
      </c>
      <c r="R191" s="3">
        <f t="shared" si="1"/>
        <v>1439.66</v>
      </c>
      <c r="S191" s="9">
        <v>1541.35</v>
      </c>
      <c r="T191" s="10">
        <v>1541.35</v>
      </c>
      <c r="V191" s="5">
        <f t="shared" si="2"/>
        <v>101.69</v>
      </c>
    </row>
    <row r="192" ht="22.5" customHeight="1">
      <c r="B192" s="7" t="s">
        <v>212</v>
      </c>
      <c r="C192" s="7">
        <v>482548.0</v>
      </c>
      <c r="D192" s="7">
        <v>1368963.0</v>
      </c>
      <c r="E192" s="7">
        <v>4389722.0</v>
      </c>
      <c r="F192" s="7">
        <v>4345077.0</v>
      </c>
      <c r="G192" s="7">
        <v>1.40949729E8</v>
      </c>
      <c r="H192" s="7">
        <v>3.776802154E9</v>
      </c>
      <c r="I192" s="7">
        <v>209918.0</v>
      </c>
      <c r="J192" s="7">
        <v>174692.0</v>
      </c>
      <c r="K192" s="7">
        <v>35226.0</v>
      </c>
      <c r="L192" s="7">
        <v>25.35</v>
      </c>
      <c r="M192" s="7">
        <v>-0.08</v>
      </c>
      <c r="N192" s="7">
        <v>42766.0</v>
      </c>
      <c r="O192" s="7">
        <v>4.9816045E7</v>
      </c>
      <c r="P192" s="7" t="s">
        <v>410</v>
      </c>
      <c r="Q192" s="7">
        <v>1457.14</v>
      </c>
      <c r="R192" s="3">
        <f t="shared" si="1"/>
        <v>1457.14</v>
      </c>
      <c r="S192" s="9">
        <v>1581.63</v>
      </c>
      <c r="T192" s="10">
        <v>1581.63</v>
      </c>
      <c r="V192" s="5">
        <f t="shared" si="2"/>
        <v>124.49</v>
      </c>
    </row>
    <row r="193" ht="22.5" customHeight="1">
      <c r="B193" s="7" t="s">
        <v>218</v>
      </c>
      <c r="C193" s="7">
        <v>9582411.0</v>
      </c>
      <c r="D193" s="7">
        <v>4.6593859E7</v>
      </c>
      <c r="E193" s="7">
        <v>41071.0</v>
      </c>
      <c r="F193" s="7">
        <v>38414.0</v>
      </c>
      <c r="G193" s="7">
        <v>5938833.0</v>
      </c>
      <c r="H193" s="7">
        <v>4.31250062E8</v>
      </c>
      <c r="I193" s="7">
        <v>1534.0</v>
      </c>
      <c r="J193" s="7">
        <v>1526.0</v>
      </c>
      <c r="K193" s="7">
        <v>8.0</v>
      </c>
      <c r="L193" s="7">
        <v>142.37</v>
      </c>
      <c r="M193" s="7">
        <v>-0.3</v>
      </c>
      <c r="N193" s="7">
        <v>70.0</v>
      </c>
      <c r="O193" s="7">
        <v>1489939.0</v>
      </c>
      <c r="P193" s="7" t="s">
        <v>409</v>
      </c>
      <c r="Q193" s="7">
        <v>1489.63</v>
      </c>
      <c r="R193" s="3">
        <f t="shared" si="1"/>
        <v>1489.63</v>
      </c>
      <c r="S193" s="9">
        <v>2888.42</v>
      </c>
      <c r="T193" s="10">
        <v>2888.42</v>
      </c>
      <c r="V193" s="5">
        <f t="shared" si="2"/>
        <v>1398.79</v>
      </c>
    </row>
    <row r="194" ht="22.5" customHeight="1">
      <c r="B194" s="7" t="s">
        <v>201</v>
      </c>
      <c r="C194" s="7">
        <v>20446.0</v>
      </c>
      <c r="D194" s="7">
        <v>689272.0</v>
      </c>
      <c r="E194" s="7">
        <v>1850764.0</v>
      </c>
      <c r="F194" s="7">
        <v>1805965.0</v>
      </c>
      <c r="G194" s="7">
        <v>3235816.0</v>
      </c>
      <c r="H194" s="7">
        <v>3.596567424E9</v>
      </c>
      <c r="I194" s="7">
        <v>84228.0</v>
      </c>
      <c r="J194" s="7">
        <v>77111.0</v>
      </c>
      <c r="K194" s="7">
        <v>7117.0</v>
      </c>
      <c r="L194" s="7">
        <v>24.71</v>
      </c>
      <c r="M194" s="7">
        <v>-0.08</v>
      </c>
      <c r="N194" s="7">
        <v>9062.0</v>
      </c>
      <c r="O194" s="7">
        <v>1121455.0</v>
      </c>
      <c r="P194" s="7" t="s">
        <v>410</v>
      </c>
      <c r="Q194" s="7">
        <v>1510.03</v>
      </c>
      <c r="R194" s="3">
        <f t="shared" si="1"/>
        <v>1510.03</v>
      </c>
      <c r="S194" s="9">
        <v>2207.54</v>
      </c>
      <c r="T194" s="10">
        <v>2207.54</v>
      </c>
      <c r="V194" s="5">
        <f t="shared" si="2"/>
        <v>697.51</v>
      </c>
    </row>
    <row r="195" ht="22.5" customHeight="1">
      <c r="B195" s="7" t="s">
        <v>223</v>
      </c>
      <c r="C195" s="7">
        <v>3835.0</v>
      </c>
      <c r="D195" s="7">
        <v>15069.0</v>
      </c>
      <c r="E195" s="7">
        <v>4634820.0</v>
      </c>
      <c r="F195" s="7">
        <v>4571932.0</v>
      </c>
      <c r="G195" s="7">
        <v>8410270.0</v>
      </c>
      <c r="H195" s="7">
        <v>5.53496648E8</v>
      </c>
      <c r="I195" s="7">
        <v>204432.0</v>
      </c>
      <c r="J195" s="7">
        <v>173471.0</v>
      </c>
      <c r="K195" s="7">
        <v>30961.0</v>
      </c>
      <c r="L195" s="7">
        <v>37.99</v>
      </c>
      <c r="M195" s="7">
        <v>-0.07</v>
      </c>
      <c r="N195" s="7">
        <v>38673.0</v>
      </c>
      <c r="O195" s="7">
        <v>1524217.0</v>
      </c>
      <c r="P195" s="7" t="s">
        <v>409</v>
      </c>
      <c r="Q195" s="7">
        <v>1579.75</v>
      </c>
      <c r="R195" s="3">
        <f t="shared" si="1"/>
        <v>1579.75</v>
      </c>
      <c r="S195" s="9">
        <v>1116.16</v>
      </c>
      <c r="T195" s="10">
        <v>1116.16</v>
      </c>
      <c r="V195" s="5">
        <f t="shared" si="2"/>
        <v>-463.59</v>
      </c>
    </row>
    <row r="196" ht="22.5" customHeight="1">
      <c r="B196" s="7" t="s">
        <v>243</v>
      </c>
      <c r="C196" s="7">
        <v>961.0</v>
      </c>
      <c r="D196" s="7">
        <v>146909.0</v>
      </c>
      <c r="E196" s="7">
        <v>7708441.0</v>
      </c>
      <c r="F196" s="7">
        <v>7425913.0</v>
      </c>
      <c r="G196" s="7">
        <v>1.7561726E7</v>
      </c>
      <c r="H196" s="7">
        <v>9.07581795E8</v>
      </c>
      <c r="I196" s="7">
        <v>302522.0</v>
      </c>
      <c r="J196" s="7">
        <v>269506.0</v>
      </c>
      <c r="K196" s="7">
        <v>33016.0</v>
      </c>
      <c r="L196" s="7">
        <v>47.27</v>
      </c>
      <c r="M196" s="7">
        <v>-0.07</v>
      </c>
      <c r="N196" s="7">
        <v>40500.0</v>
      </c>
      <c r="O196" s="7">
        <v>7420671.0</v>
      </c>
      <c r="P196" s="7" t="s">
        <v>409</v>
      </c>
      <c r="Q196" s="7">
        <v>1597.75</v>
      </c>
      <c r="R196" s="3">
        <f t="shared" si="1"/>
        <v>1597.75</v>
      </c>
      <c r="S196" s="9">
        <v>1402.92</v>
      </c>
      <c r="T196" s="10">
        <v>1402.92</v>
      </c>
      <c r="V196" s="5">
        <f t="shared" si="2"/>
        <v>-194.83</v>
      </c>
    </row>
    <row r="197" ht="22.5" customHeight="1">
      <c r="B197" s="7" t="s">
        <v>112</v>
      </c>
      <c r="C197" s="7">
        <v>720.0</v>
      </c>
      <c r="D197" s="7">
        <v>58758.0</v>
      </c>
      <c r="E197" s="7">
        <v>4923644.0</v>
      </c>
      <c r="F197" s="7">
        <v>4833639.0</v>
      </c>
      <c r="G197" s="7">
        <v>6783911.0</v>
      </c>
      <c r="H197" s="7">
        <v>2.71127153E8</v>
      </c>
      <c r="I197" s="7">
        <v>190779.0</v>
      </c>
      <c r="J197" s="7">
        <v>150292.0</v>
      </c>
      <c r="K197" s="7">
        <v>40487.0</v>
      </c>
      <c r="L197" s="7">
        <v>103.32</v>
      </c>
      <c r="M197" s="7">
        <v>-0.03</v>
      </c>
      <c r="N197" s="7">
        <v>47680.0</v>
      </c>
      <c r="O197" s="7">
        <v>2042595.0</v>
      </c>
      <c r="P197" s="7" t="s">
        <v>410</v>
      </c>
      <c r="Q197" s="7">
        <v>1640.8</v>
      </c>
      <c r="R197" s="3">
        <f t="shared" si="1"/>
        <v>1640.8</v>
      </c>
      <c r="S197" s="9">
        <v>308.78</v>
      </c>
      <c r="T197" s="10">
        <v>308.78</v>
      </c>
      <c r="V197" s="5">
        <f t="shared" si="2"/>
        <v>-1332.02</v>
      </c>
    </row>
    <row r="198" ht="22.5" customHeight="1">
      <c r="B198" s="7" t="s">
        <v>179</v>
      </c>
      <c r="C198" s="7">
        <v>381708.0</v>
      </c>
      <c r="D198" s="7">
        <v>1619095.0</v>
      </c>
      <c r="E198" s="7">
        <v>557960.0</v>
      </c>
      <c r="F198" s="7">
        <v>455225.0</v>
      </c>
      <c r="G198" s="7">
        <v>5370781.0</v>
      </c>
      <c r="H198" s="7">
        <v>4.71071275E9</v>
      </c>
      <c r="I198" s="7">
        <v>21302.0</v>
      </c>
      <c r="J198" s="7">
        <v>19666.0</v>
      </c>
      <c r="K198" s="7">
        <v>1636.0</v>
      </c>
      <c r="L198" s="7">
        <v>277.29</v>
      </c>
      <c r="M198" s="7">
        <v>-0.12</v>
      </c>
      <c r="N198" s="7">
        <v>2261.0</v>
      </c>
      <c r="O198" s="7">
        <v>619028.0</v>
      </c>
      <c r="P198" s="7" t="s">
        <v>409</v>
      </c>
      <c r="Q198" s="7">
        <v>1650.84</v>
      </c>
      <c r="R198" s="3">
        <f t="shared" si="1"/>
        <v>1650.84</v>
      </c>
      <c r="S198" s="9">
        <v>682.11</v>
      </c>
      <c r="T198" s="10">
        <v>682.11</v>
      </c>
      <c r="V198" s="5">
        <f t="shared" si="2"/>
        <v>-968.73</v>
      </c>
    </row>
    <row r="199" ht="22.5" customHeight="1">
      <c r="B199" s="7" t="s">
        <v>176</v>
      </c>
      <c r="C199" s="7">
        <v>3831.0</v>
      </c>
      <c r="D199" s="7">
        <v>15062.0</v>
      </c>
      <c r="E199" s="7">
        <v>5448295.0</v>
      </c>
      <c r="F199" s="7">
        <v>5371316.0</v>
      </c>
      <c r="G199" s="7">
        <v>1.0536846E7</v>
      </c>
      <c r="H199" s="7">
        <v>6.57077571E8</v>
      </c>
      <c r="I199" s="7">
        <v>277875.0</v>
      </c>
      <c r="J199" s="7">
        <v>247883.0</v>
      </c>
      <c r="K199" s="7">
        <v>29992.0</v>
      </c>
      <c r="L199" s="7">
        <v>38.51</v>
      </c>
      <c r="M199" s="7">
        <v>-0.08</v>
      </c>
      <c r="N199" s="7">
        <v>37745.0</v>
      </c>
      <c r="O199" s="7">
        <v>2149423.0</v>
      </c>
      <c r="P199" s="7" t="s">
        <v>409</v>
      </c>
      <c r="Q199" s="7">
        <v>1665.6</v>
      </c>
      <c r="R199" s="3">
        <f t="shared" si="1"/>
        <v>1665.6</v>
      </c>
      <c r="S199" s="9">
        <v>1326.6</v>
      </c>
      <c r="T199" s="10">
        <v>1326.6</v>
      </c>
      <c r="V199" s="5">
        <f t="shared" si="2"/>
        <v>-339</v>
      </c>
    </row>
    <row r="200" ht="22.5" customHeight="1">
      <c r="B200" s="7" t="s">
        <v>83</v>
      </c>
      <c r="C200" s="7">
        <v>2425.0</v>
      </c>
      <c r="D200" s="7">
        <v>23118.0</v>
      </c>
      <c r="E200" s="7">
        <v>1.1999864E7</v>
      </c>
      <c r="F200" s="7">
        <v>1.1978621E7</v>
      </c>
      <c r="G200" s="7">
        <v>1.3464824E7</v>
      </c>
      <c r="H200" s="7">
        <v>1.108500826E9</v>
      </c>
      <c r="I200" s="7">
        <v>520731.0</v>
      </c>
      <c r="J200" s="7">
        <v>395616.0</v>
      </c>
      <c r="K200" s="7">
        <v>125115.0</v>
      </c>
      <c r="L200" s="7">
        <v>21.26</v>
      </c>
      <c r="M200" s="7">
        <v>-0.02</v>
      </c>
      <c r="N200" s="7">
        <v>141520.0</v>
      </c>
      <c r="O200" s="7">
        <v>4426762.0</v>
      </c>
      <c r="P200" s="7" t="s">
        <v>409</v>
      </c>
      <c r="Q200" s="7">
        <v>1681.01</v>
      </c>
      <c r="R200" s="3">
        <f t="shared" si="1"/>
        <v>1681.01</v>
      </c>
      <c r="S200" s="9">
        <v>259.09</v>
      </c>
      <c r="T200" s="10">
        <v>259.09</v>
      </c>
      <c r="V200" s="5">
        <f t="shared" si="2"/>
        <v>-1421.92</v>
      </c>
    </row>
    <row r="201" ht="22.5" customHeight="1">
      <c r="B201" s="7" t="s">
        <v>328</v>
      </c>
      <c r="C201" s="7">
        <v>152376.0</v>
      </c>
      <c r="D201" s="7">
        <v>308482.0</v>
      </c>
      <c r="E201" s="7">
        <v>2079203.0</v>
      </c>
      <c r="F201" s="7">
        <v>2046797.0</v>
      </c>
      <c r="G201" s="7">
        <v>8937927.0</v>
      </c>
      <c r="H201" s="7">
        <v>7.074927951E9</v>
      </c>
      <c r="I201" s="7">
        <v>127971.0</v>
      </c>
      <c r="J201" s="7">
        <v>117367.0</v>
      </c>
      <c r="K201" s="7">
        <v>10604.0</v>
      </c>
      <c r="L201" s="7">
        <v>40.59</v>
      </c>
      <c r="M201" s="7">
        <v>-0.1</v>
      </c>
      <c r="N201" s="7">
        <v>12515.0</v>
      </c>
      <c r="O201" s="7">
        <v>1217414.0</v>
      </c>
      <c r="P201" s="7" t="s">
        <v>409</v>
      </c>
      <c r="Q201" s="7">
        <v>1712.82</v>
      </c>
      <c r="R201" s="3">
        <f t="shared" si="1"/>
        <v>1712.82</v>
      </c>
      <c r="S201" s="9">
        <v>5003.51</v>
      </c>
      <c r="T201" s="10">
        <v>10000.0</v>
      </c>
      <c r="V201" s="5">
        <f t="shared" si="2"/>
        <v>8287.18</v>
      </c>
    </row>
    <row r="202" ht="22.5" customHeight="1">
      <c r="B202" s="7" t="s">
        <v>159</v>
      </c>
      <c r="C202" s="7">
        <v>122472.0</v>
      </c>
      <c r="D202" s="7">
        <v>440385.0</v>
      </c>
      <c r="E202" s="7">
        <v>2252770.0</v>
      </c>
      <c r="F202" s="7">
        <v>2193264.0</v>
      </c>
      <c r="G202" s="7">
        <v>4.4009642E7</v>
      </c>
      <c r="H202" s="7">
        <v>9.869000877E9</v>
      </c>
      <c r="I202" s="7">
        <v>103641.0</v>
      </c>
      <c r="J202" s="7">
        <v>98548.0</v>
      </c>
      <c r="K202" s="7">
        <v>5093.0</v>
      </c>
      <c r="L202" s="7">
        <v>66.23</v>
      </c>
      <c r="M202" s="7">
        <v>-0.12</v>
      </c>
      <c r="N202" s="7">
        <v>7805.0</v>
      </c>
      <c r="O202" s="7">
        <v>3261991.0</v>
      </c>
      <c r="P202" s="7" t="s">
        <v>409</v>
      </c>
      <c r="Q202" s="7">
        <v>1737.99</v>
      </c>
      <c r="R202" s="3">
        <f t="shared" si="1"/>
        <v>1737.99</v>
      </c>
      <c r="S202" s="9">
        <v>659.68</v>
      </c>
      <c r="T202" s="10">
        <v>659.68</v>
      </c>
      <c r="V202" s="5">
        <f t="shared" si="2"/>
        <v>-1078.31</v>
      </c>
    </row>
    <row r="203" ht="22.5" customHeight="1">
      <c r="B203" s="7" t="s">
        <v>198</v>
      </c>
      <c r="C203" s="7">
        <v>2943830.0</v>
      </c>
      <c r="D203" s="7">
        <v>1.0335595E7</v>
      </c>
      <c r="E203" s="7">
        <v>507283.0</v>
      </c>
      <c r="F203" s="7">
        <v>482656.0</v>
      </c>
      <c r="G203" s="7">
        <v>8335132.0</v>
      </c>
      <c r="H203" s="7">
        <v>3.217646394E9</v>
      </c>
      <c r="I203" s="7">
        <v>27452.0</v>
      </c>
      <c r="J203" s="7">
        <v>26599.0</v>
      </c>
      <c r="K203" s="7">
        <v>853.0</v>
      </c>
      <c r="L203" s="7">
        <v>28.66</v>
      </c>
      <c r="M203" s="7">
        <v>-0.18</v>
      </c>
      <c r="N203" s="7">
        <v>1379.0</v>
      </c>
      <c r="O203" s="7">
        <v>1100025.0</v>
      </c>
      <c r="P203" s="7" t="s">
        <v>410</v>
      </c>
      <c r="Q203" s="7">
        <v>1755.83</v>
      </c>
      <c r="R203" s="3">
        <f t="shared" si="1"/>
        <v>1755.83</v>
      </c>
      <c r="S203" s="9">
        <v>3201.43</v>
      </c>
      <c r="T203" s="10">
        <v>3201.43</v>
      </c>
      <c r="V203" s="5">
        <f t="shared" si="2"/>
        <v>1445.6</v>
      </c>
    </row>
    <row r="204" ht="22.5" customHeight="1">
      <c r="B204" s="7" t="s">
        <v>206</v>
      </c>
      <c r="C204" s="7">
        <v>3220.0</v>
      </c>
      <c r="D204" s="7">
        <v>12314.0</v>
      </c>
      <c r="E204" s="7">
        <v>1.020088E7</v>
      </c>
      <c r="F204" s="7">
        <v>1.0042511E7</v>
      </c>
      <c r="G204" s="7">
        <v>3.0267984E7</v>
      </c>
      <c r="H204" s="7">
        <v>7.32180644E8</v>
      </c>
      <c r="I204" s="7">
        <v>535584.0</v>
      </c>
      <c r="J204" s="7">
        <v>485441.0</v>
      </c>
      <c r="K204" s="7">
        <v>50143.0</v>
      </c>
      <c r="L204" s="7">
        <v>34.94</v>
      </c>
      <c r="M204" s="7">
        <v>-0.1</v>
      </c>
      <c r="N204" s="7">
        <v>63680.0</v>
      </c>
      <c r="O204" s="7">
        <v>4791501.0</v>
      </c>
      <c r="P204" s="7" t="s">
        <v>409</v>
      </c>
      <c r="Q204" s="7">
        <v>1760.14</v>
      </c>
      <c r="R204" s="3">
        <f t="shared" si="1"/>
        <v>1760.14</v>
      </c>
      <c r="S204" s="9">
        <v>1590.88</v>
      </c>
      <c r="T204" s="10">
        <v>1590.88</v>
      </c>
      <c r="V204" s="5">
        <f t="shared" si="2"/>
        <v>-169.26</v>
      </c>
    </row>
    <row r="205" ht="22.5" customHeight="1">
      <c r="B205" s="7" t="s">
        <v>226</v>
      </c>
      <c r="C205" s="7">
        <v>508510.0</v>
      </c>
      <c r="D205" s="7">
        <v>1464738.0</v>
      </c>
      <c r="E205" s="7">
        <v>1591407.0</v>
      </c>
      <c r="F205" s="7">
        <v>1570773.0</v>
      </c>
      <c r="G205" s="7">
        <v>4.38845457E8</v>
      </c>
      <c r="H205" s="7">
        <v>4.310499009E9</v>
      </c>
      <c r="I205" s="7">
        <v>77283.0</v>
      </c>
      <c r="J205" s="7">
        <v>74546.0</v>
      </c>
      <c r="K205" s="7">
        <v>2737.0</v>
      </c>
      <c r="L205" s="7">
        <v>25.98</v>
      </c>
      <c r="M205" s="7">
        <v>-0.16</v>
      </c>
      <c r="N205" s="7">
        <v>4878.0</v>
      </c>
      <c r="O205" s="7">
        <v>2.17082155E8</v>
      </c>
      <c r="P205" s="7" t="s">
        <v>410</v>
      </c>
      <c r="Q205" s="7">
        <v>1760.93</v>
      </c>
      <c r="R205" s="3">
        <f t="shared" si="1"/>
        <v>1760.93</v>
      </c>
      <c r="S205" s="9">
        <v>3002.97</v>
      </c>
      <c r="T205" s="10">
        <v>3002.97</v>
      </c>
      <c r="V205" s="5">
        <f t="shared" si="2"/>
        <v>1242.04</v>
      </c>
    </row>
    <row r="206" ht="22.5" customHeight="1">
      <c r="B206" s="7" t="s">
        <v>307</v>
      </c>
      <c r="C206" s="7">
        <v>51315.0</v>
      </c>
      <c r="D206" s="7">
        <v>485537.0</v>
      </c>
      <c r="E206" s="7">
        <v>6909207.0</v>
      </c>
      <c r="F206" s="7">
        <v>6706986.0</v>
      </c>
      <c r="G206" s="7">
        <v>1.7855718E7</v>
      </c>
      <c r="H206" s="7">
        <v>1.560198646E9</v>
      </c>
      <c r="I206" s="7">
        <v>327678.0</v>
      </c>
      <c r="J206" s="7">
        <v>306587.0</v>
      </c>
      <c r="K206" s="7">
        <v>21091.0</v>
      </c>
      <c r="L206" s="7">
        <v>23.72</v>
      </c>
      <c r="M206" s="7">
        <v>-0.12</v>
      </c>
      <c r="N206" s="7">
        <v>29207.0</v>
      </c>
      <c r="O206" s="7">
        <v>4876209.0</v>
      </c>
      <c r="P206" s="7" t="s">
        <v>410</v>
      </c>
      <c r="Q206" s="7">
        <v>1857.44</v>
      </c>
      <c r="R206" s="3">
        <f t="shared" si="1"/>
        <v>1857.44</v>
      </c>
      <c r="S206" s="9">
        <v>5003.9</v>
      </c>
      <c r="T206" s="10">
        <v>10000.0</v>
      </c>
      <c r="V206" s="5">
        <f t="shared" si="2"/>
        <v>8142.56</v>
      </c>
    </row>
    <row r="207" ht="22.5" customHeight="1">
      <c r="B207" s="7" t="s">
        <v>174</v>
      </c>
      <c r="C207" s="7">
        <v>140.0</v>
      </c>
      <c r="D207" s="7">
        <v>560.0</v>
      </c>
      <c r="E207" s="7">
        <v>4.7957928E7</v>
      </c>
      <c r="F207" s="7">
        <v>4.7948339E7</v>
      </c>
      <c r="G207" s="7">
        <v>6.0944951E7</v>
      </c>
      <c r="H207" s="7">
        <v>2.53403773E8</v>
      </c>
      <c r="I207" s="7">
        <v>1644117.0</v>
      </c>
      <c r="J207" s="7">
        <v>1170014.0</v>
      </c>
      <c r="K207" s="7">
        <v>474103.0</v>
      </c>
      <c r="L207" s="7">
        <v>17.78</v>
      </c>
      <c r="M207" s="7">
        <v>-0.03</v>
      </c>
      <c r="N207" s="7">
        <v>541219.0</v>
      </c>
      <c r="O207" s="7">
        <v>2.1258348E7</v>
      </c>
      <c r="P207" s="7" t="s">
        <v>410</v>
      </c>
      <c r="Q207" s="7">
        <v>1955.63</v>
      </c>
      <c r="R207" s="3">
        <f t="shared" si="1"/>
        <v>1955.63</v>
      </c>
      <c r="S207" s="9">
        <v>234.6</v>
      </c>
      <c r="T207" s="10">
        <v>234.6</v>
      </c>
      <c r="V207" s="5">
        <f t="shared" si="2"/>
        <v>-1721.03</v>
      </c>
    </row>
    <row r="208" ht="22.5" customHeight="1">
      <c r="B208" s="7" t="s">
        <v>173</v>
      </c>
      <c r="C208" s="7">
        <v>900.0</v>
      </c>
      <c r="D208" s="7">
        <v>133080.0</v>
      </c>
      <c r="E208" s="7">
        <v>8733113.0</v>
      </c>
      <c r="F208" s="7">
        <v>8425335.0</v>
      </c>
      <c r="G208" s="7">
        <v>1.8891701E7</v>
      </c>
      <c r="H208" s="7">
        <v>9.87672458E8</v>
      </c>
      <c r="I208" s="7">
        <v>336048.0</v>
      </c>
      <c r="J208" s="7">
        <v>294802.0</v>
      </c>
      <c r="K208" s="7">
        <v>41246.0</v>
      </c>
      <c r="L208" s="7">
        <v>46.15</v>
      </c>
      <c r="M208" s="7">
        <v>-0.07</v>
      </c>
      <c r="N208" s="7">
        <v>50133.0</v>
      </c>
      <c r="O208" s="7">
        <v>7822558.0</v>
      </c>
      <c r="P208" s="7" t="s">
        <v>409</v>
      </c>
      <c r="Q208" s="7">
        <v>1986.28</v>
      </c>
      <c r="R208" s="3">
        <f t="shared" si="1"/>
        <v>1986.28</v>
      </c>
      <c r="S208" s="9">
        <v>240.68</v>
      </c>
      <c r="T208" s="10">
        <v>240.68</v>
      </c>
      <c r="V208" s="5">
        <f t="shared" si="2"/>
        <v>-1745.6</v>
      </c>
    </row>
    <row r="209" ht="22.5" customHeight="1">
      <c r="B209" s="7" t="s">
        <v>257</v>
      </c>
      <c r="C209" s="7">
        <v>569318.0</v>
      </c>
      <c r="D209" s="7">
        <v>1484813.0</v>
      </c>
      <c r="E209" s="7">
        <v>5506905.0</v>
      </c>
      <c r="F209" s="7">
        <v>5307734.0</v>
      </c>
      <c r="G209" s="7">
        <v>3.6722031E7</v>
      </c>
      <c r="H209" s="7">
        <v>3.748650263E9</v>
      </c>
      <c r="I209" s="7">
        <v>300711.0</v>
      </c>
      <c r="J209" s="7">
        <v>276713.0</v>
      </c>
      <c r="K209" s="7">
        <v>23998.0</v>
      </c>
      <c r="L209" s="7">
        <v>34.31</v>
      </c>
      <c r="M209" s="7">
        <v>-0.14</v>
      </c>
      <c r="N209" s="7">
        <v>31964.0</v>
      </c>
      <c r="O209" s="7">
        <v>6482321.0</v>
      </c>
      <c r="P209" s="7" t="s">
        <v>410</v>
      </c>
      <c r="Q209" s="7">
        <v>1995.04</v>
      </c>
      <c r="R209" s="3">
        <f t="shared" si="1"/>
        <v>1995.04</v>
      </c>
      <c r="S209" s="9">
        <v>4610.45</v>
      </c>
      <c r="T209" s="10">
        <v>4610.45</v>
      </c>
      <c r="V209" s="5">
        <f t="shared" si="2"/>
        <v>2615.41</v>
      </c>
    </row>
    <row r="210" ht="22.5" customHeight="1">
      <c r="B210" s="7" t="s">
        <v>231</v>
      </c>
      <c r="C210" s="7">
        <v>3220.0</v>
      </c>
      <c r="D210" s="7">
        <v>12314.0</v>
      </c>
      <c r="E210" s="7">
        <v>1.1340892E7</v>
      </c>
      <c r="F210" s="7">
        <v>1.1173383E7</v>
      </c>
      <c r="G210" s="7">
        <v>3.0617337E7</v>
      </c>
      <c r="H210" s="7">
        <v>7.83739444E8</v>
      </c>
      <c r="I210" s="7">
        <v>539293.0</v>
      </c>
      <c r="J210" s="7">
        <v>474947.0</v>
      </c>
      <c r="K210" s="7">
        <v>64346.0</v>
      </c>
      <c r="L210" s="7">
        <v>34.81</v>
      </c>
      <c r="M210" s="7">
        <v>-0.09</v>
      </c>
      <c r="N210" s="7">
        <v>81053.0</v>
      </c>
      <c r="O210" s="7">
        <v>4829401.0</v>
      </c>
      <c r="P210" s="7" t="s">
        <v>409</v>
      </c>
      <c r="Q210" s="7">
        <v>2008.15</v>
      </c>
      <c r="R210" s="3">
        <f t="shared" si="1"/>
        <v>2008.15</v>
      </c>
      <c r="S210" s="9">
        <v>588.06</v>
      </c>
      <c r="T210" s="10">
        <v>588.06</v>
      </c>
      <c r="V210" s="5">
        <f t="shared" si="2"/>
        <v>-1420.09</v>
      </c>
    </row>
    <row r="211" ht="22.5" customHeight="1">
      <c r="B211" s="7" t="s">
        <v>213</v>
      </c>
      <c r="C211" s="7">
        <v>17850.0</v>
      </c>
      <c r="D211" s="7">
        <v>149132.0</v>
      </c>
      <c r="E211" s="7">
        <v>8399167.0</v>
      </c>
      <c r="F211" s="7">
        <v>8283457.0</v>
      </c>
      <c r="G211" s="7">
        <v>1.203315E7</v>
      </c>
      <c r="H211" s="7">
        <v>4.180760536E9</v>
      </c>
      <c r="I211" s="7">
        <v>410953.0</v>
      </c>
      <c r="J211" s="7">
        <v>375938.0</v>
      </c>
      <c r="K211" s="7">
        <v>35015.0</v>
      </c>
      <c r="L211" s="7">
        <v>16.92</v>
      </c>
      <c r="M211" s="7">
        <v>-0.07</v>
      </c>
      <c r="N211" s="7">
        <v>43232.0</v>
      </c>
      <c r="O211" s="7">
        <v>4566088.0</v>
      </c>
      <c r="P211" s="7" t="s">
        <v>410</v>
      </c>
      <c r="Q211" s="7">
        <v>2023.19</v>
      </c>
      <c r="R211" s="3">
        <f t="shared" si="1"/>
        <v>2023.19</v>
      </c>
      <c r="S211" s="9">
        <v>1783.97</v>
      </c>
      <c r="T211" s="10">
        <v>1783.97</v>
      </c>
      <c r="V211" s="5">
        <f t="shared" si="2"/>
        <v>-239.22</v>
      </c>
    </row>
    <row r="212" ht="22.5" customHeight="1">
      <c r="B212" s="7" t="s">
        <v>252</v>
      </c>
      <c r="C212" s="7">
        <v>3066.0</v>
      </c>
      <c r="D212" s="7">
        <v>59739.0</v>
      </c>
      <c r="E212" s="7">
        <v>6790191.0</v>
      </c>
      <c r="F212" s="7">
        <v>6707689.0</v>
      </c>
      <c r="G212" s="7">
        <v>1.0635604E7</v>
      </c>
      <c r="H212" s="7">
        <v>1.326154079E9</v>
      </c>
      <c r="I212" s="7">
        <v>332989.0</v>
      </c>
      <c r="J212" s="7">
        <v>298484.0</v>
      </c>
      <c r="K212" s="7">
        <v>34505.0</v>
      </c>
      <c r="L212" s="7">
        <v>19.3</v>
      </c>
      <c r="M212" s="7">
        <v>-0.06</v>
      </c>
      <c r="N212" s="7">
        <v>42048.0</v>
      </c>
      <c r="O212" s="7">
        <v>3263691.0</v>
      </c>
      <c r="P212" s="7" t="s">
        <v>410</v>
      </c>
      <c r="Q212" s="7">
        <v>2050.85</v>
      </c>
      <c r="R212" s="3">
        <f t="shared" si="1"/>
        <v>2050.85</v>
      </c>
      <c r="S212" s="9">
        <v>4281.73</v>
      </c>
      <c r="T212" s="10">
        <v>4281.73</v>
      </c>
      <c r="V212" s="5">
        <f t="shared" si="2"/>
        <v>2230.88</v>
      </c>
    </row>
    <row r="213" ht="22.5" customHeight="1">
      <c r="B213" s="7" t="s">
        <v>188</v>
      </c>
      <c r="C213" s="7">
        <v>559571.0</v>
      </c>
      <c r="D213" s="7">
        <v>1.0144966E7</v>
      </c>
      <c r="E213" s="7">
        <v>669407.0</v>
      </c>
      <c r="F213" s="7">
        <v>497302.0</v>
      </c>
      <c r="G213" s="7">
        <v>6659446.0</v>
      </c>
      <c r="H213" s="7">
        <v>4.673173725E9</v>
      </c>
      <c r="I213" s="7">
        <v>9398.0</v>
      </c>
      <c r="J213" s="7">
        <v>7170.0</v>
      </c>
      <c r="K213" s="7">
        <v>2228.0</v>
      </c>
      <c r="L213" s="7">
        <v>1411.01</v>
      </c>
      <c r="M213" s="7">
        <v>-0.07</v>
      </c>
      <c r="N213" s="7">
        <v>3117.0</v>
      </c>
      <c r="O213" s="7">
        <v>1192543.0</v>
      </c>
      <c r="P213" s="7" t="s">
        <v>410</v>
      </c>
      <c r="Q213" s="7">
        <v>2052.9</v>
      </c>
      <c r="R213" s="3">
        <f t="shared" si="1"/>
        <v>2052.9</v>
      </c>
      <c r="S213" s="9">
        <v>1009.62</v>
      </c>
      <c r="T213" s="10">
        <v>1009.62</v>
      </c>
      <c r="V213" s="5">
        <f t="shared" si="2"/>
        <v>-1043.28</v>
      </c>
    </row>
    <row r="214" ht="22.5" customHeight="1">
      <c r="B214" s="7" t="s">
        <v>208</v>
      </c>
      <c r="C214" s="7">
        <v>2719.0</v>
      </c>
      <c r="D214" s="7">
        <v>11388.0</v>
      </c>
      <c r="E214" s="7">
        <v>5497933.0</v>
      </c>
      <c r="F214" s="7">
        <v>5419847.0</v>
      </c>
      <c r="G214" s="7">
        <v>1.062778E7</v>
      </c>
      <c r="H214" s="7">
        <v>6.70145619E8</v>
      </c>
      <c r="I214" s="7">
        <v>281977.0</v>
      </c>
      <c r="J214" s="7">
        <v>251206.0</v>
      </c>
      <c r="K214" s="7">
        <v>30771.0</v>
      </c>
      <c r="L214" s="7">
        <v>39.18</v>
      </c>
      <c r="M214" s="7">
        <v>-0.08</v>
      </c>
      <c r="N214" s="7">
        <v>38492.0</v>
      </c>
      <c r="O214" s="7">
        <v>2195488.0</v>
      </c>
      <c r="P214" s="7" t="s">
        <v>409</v>
      </c>
      <c r="Q214" s="7">
        <v>2057.24</v>
      </c>
      <c r="R214" s="3">
        <f t="shared" si="1"/>
        <v>2057.24</v>
      </c>
      <c r="S214" s="9">
        <v>992.59</v>
      </c>
      <c r="T214" s="10">
        <v>992.59</v>
      </c>
      <c r="V214" s="5">
        <f t="shared" si="2"/>
        <v>-1064.65</v>
      </c>
    </row>
    <row r="215" ht="22.5" customHeight="1">
      <c r="B215" s="7" t="s">
        <v>137</v>
      </c>
      <c r="C215" s="7">
        <v>3105.0</v>
      </c>
      <c r="D215" s="7">
        <v>9242.0</v>
      </c>
      <c r="E215" s="7">
        <v>7556700.0</v>
      </c>
      <c r="F215" s="7">
        <v>7478699.0</v>
      </c>
      <c r="G215" s="7">
        <v>1.1198463E7</v>
      </c>
      <c r="H215" s="7">
        <v>7.50239367E8</v>
      </c>
      <c r="I215" s="7">
        <v>454165.0</v>
      </c>
      <c r="J215" s="7">
        <v>417315.0</v>
      </c>
      <c r="K215" s="7">
        <v>36850.0</v>
      </c>
      <c r="L215" s="7">
        <v>33.97</v>
      </c>
      <c r="M215" s="7">
        <v>-0.05</v>
      </c>
      <c r="N215" s="7">
        <v>44310.0</v>
      </c>
      <c r="O215" s="7">
        <v>3772637.0</v>
      </c>
      <c r="P215" s="7" t="s">
        <v>410</v>
      </c>
      <c r="Q215" s="7">
        <v>2091.65</v>
      </c>
      <c r="R215" s="3">
        <f t="shared" si="1"/>
        <v>2091.65</v>
      </c>
      <c r="S215" s="9">
        <v>329.62</v>
      </c>
      <c r="T215" s="10">
        <v>329.62</v>
      </c>
      <c r="V215" s="5">
        <f t="shared" si="2"/>
        <v>-1762.03</v>
      </c>
    </row>
    <row r="216" ht="22.5" customHeight="1">
      <c r="B216" s="7" t="s">
        <v>200</v>
      </c>
      <c r="C216" s="7">
        <v>1376707.0</v>
      </c>
      <c r="D216" s="7">
        <v>5351985.0</v>
      </c>
      <c r="E216" s="7">
        <v>1511611.0</v>
      </c>
      <c r="F216" s="7">
        <v>1467472.0</v>
      </c>
      <c r="G216" s="7">
        <v>6856062.0</v>
      </c>
      <c r="H216" s="7">
        <v>5.274614555E9</v>
      </c>
      <c r="I216" s="7">
        <v>97957.0</v>
      </c>
      <c r="J216" s="7">
        <v>94138.0</v>
      </c>
      <c r="K216" s="7">
        <v>3819.0</v>
      </c>
      <c r="L216" s="7">
        <v>39.98</v>
      </c>
      <c r="M216" s="7">
        <v>-0.16</v>
      </c>
      <c r="N216" s="7">
        <v>5908.0</v>
      </c>
      <c r="O216" s="7">
        <v>1183899.0</v>
      </c>
      <c r="P216" s="7" t="s">
        <v>410</v>
      </c>
      <c r="Q216" s="7">
        <v>2093.38</v>
      </c>
      <c r="R216" s="3">
        <f t="shared" si="1"/>
        <v>2093.38</v>
      </c>
      <c r="S216" s="9">
        <v>1473.05</v>
      </c>
      <c r="T216" s="10">
        <v>1473.05</v>
      </c>
      <c r="V216" s="5">
        <f t="shared" si="2"/>
        <v>-620.33</v>
      </c>
    </row>
    <row r="217" ht="22.5" customHeight="1">
      <c r="B217" s="7" t="s">
        <v>175</v>
      </c>
      <c r="C217" s="7">
        <v>89190.0</v>
      </c>
      <c r="D217" s="7">
        <v>265715.0</v>
      </c>
      <c r="E217" s="7">
        <v>8995947.0</v>
      </c>
      <c r="F217" s="7">
        <v>8793124.0</v>
      </c>
      <c r="G217" s="7">
        <v>8.9802978E7</v>
      </c>
      <c r="H217" s="7">
        <v>1.831817258E9</v>
      </c>
      <c r="I217" s="7">
        <v>577827.0</v>
      </c>
      <c r="J217" s="7">
        <v>552382.0</v>
      </c>
      <c r="K217" s="7">
        <v>25445.0</v>
      </c>
      <c r="L217" s="7">
        <v>30.51</v>
      </c>
      <c r="M217" s="7">
        <v>-0.17</v>
      </c>
      <c r="N217" s="7">
        <v>36037.0</v>
      </c>
      <c r="O217" s="7">
        <v>1.1782224E7</v>
      </c>
      <c r="P217" s="7" t="s">
        <v>410</v>
      </c>
      <c r="Q217" s="7">
        <v>2102.56</v>
      </c>
      <c r="R217" s="3">
        <f t="shared" si="1"/>
        <v>2102.56</v>
      </c>
      <c r="S217" s="9">
        <v>1049.03</v>
      </c>
      <c r="T217" s="10">
        <v>1049.03</v>
      </c>
      <c r="V217" s="5">
        <f t="shared" si="2"/>
        <v>-1053.53</v>
      </c>
    </row>
    <row r="218" ht="22.5" customHeight="1">
      <c r="B218" s="7" t="s">
        <v>215</v>
      </c>
      <c r="C218" s="7">
        <v>15232.0</v>
      </c>
      <c r="D218" s="7">
        <v>147245.0</v>
      </c>
      <c r="E218" s="7">
        <v>8998660.0</v>
      </c>
      <c r="F218" s="7">
        <v>8875563.0</v>
      </c>
      <c r="G218" s="7">
        <v>1.2730813E7</v>
      </c>
      <c r="H218" s="7">
        <v>4.119515151E9</v>
      </c>
      <c r="I218" s="7">
        <v>416314.0</v>
      </c>
      <c r="J218" s="7">
        <v>374293.0</v>
      </c>
      <c r="K218" s="7">
        <v>42021.0</v>
      </c>
      <c r="L218" s="7">
        <v>17.08</v>
      </c>
      <c r="M218" s="7">
        <v>-0.07</v>
      </c>
      <c r="N218" s="7">
        <v>51917.0</v>
      </c>
      <c r="O218" s="7">
        <v>4577790.0</v>
      </c>
      <c r="P218" s="7" t="s">
        <v>410</v>
      </c>
      <c r="Q218" s="7">
        <v>2110.44</v>
      </c>
      <c r="R218" s="3">
        <f t="shared" si="1"/>
        <v>2110.44</v>
      </c>
      <c r="S218" s="9">
        <v>1478.7</v>
      </c>
      <c r="T218" s="10">
        <v>1478.7</v>
      </c>
      <c r="V218" s="5">
        <f t="shared" si="2"/>
        <v>-631.74</v>
      </c>
    </row>
    <row r="219" ht="22.5" customHeight="1">
      <c r="B219" s="7" t="s">
        <v>178</v>
      </c>
      <c r="C219" s="7">
        <v>172.0</v>
      </c>
      <c r="D219" s="7">
        <v>832.0</v>
      </c>
      <c r="E219" s="7">
        <v>1.4080709E7</v>
      </c>
      <c r="F219" s="7">
        <v>1.398118E7</v>
      </c>
      <c r="G219" s="7">
        <v>1.7929689E7</v>
      </c>
      <c r="H219" s="7">
        <v>3.28753372E8</v>
      </c>
      <c r="I219" s="7">
        <v>568532.0</v>
      </c>
      <c r="J219" s="7">
        <v>443254.0</v>
      </c>
      <c r="K219" s="7">
        <v>125278.0</v>
      </c>
      <c r="L219" s="7">
        <v>18.64</v>
      </c>
      <c r="M219" s="7">
        <v>-0.03</v>
      </c>
      <c r="N219" s="7">
        <v>148494.0</v>
      </c>
      <c r="O219" s="7">
        <v>4308371.0</v>
      </c>
      <c r="P219" s="7" t="s">
        <v>410</v>
      </c>
      <c r="Q219" s="7">
        <v>2328.77</v>
      </c>
      <c r="R219" s="3">
        <f t="shared" si="1"/>
        <v>2328.77</v>
      </c>
      <c r="S219" s="9">
        <v>2433.26</v>
      </c>
      <c r="T219" s="10">
        <v>2433.26</v>
      </c>
      <c r="V219" s="5">
        <f t="shared" si="2"/>
        <v>104.49</v>
      </c>
    </row>
    <row r="220" ht="22.5" customHeight="1">
      <c r="B220" s="7" t="s">
        <v>162</v>
      </c>
      <c r="C220" s="7">
        <v>6634.0</v>
      </c>
      <c r="D220" s="7">
        <v>23392.0</v>
      </c>
      <c r="E220" s="7">
        <v>9256525.0</v>
      </c>
      <c r="F220" s="7">
        <v>9084930.0</v>
      </c>
      <c r="G220" s="7">
        <v>1.9828154E7</v>
      </c>
      <c r="H220" s="7">
        <v>2.600377244E9</v>
      </c>
      <c r="I220" s="7">
        <v>385267.0</v>
      </c>
      <c r="J220" s="7">
        <v>337266.0</v>
      </c>
      <c r="K220" s="7">
        <v>48001.0</v>
      </c>
      <c r="L220" s="7">
        <v>61.43</v>
      </c>
      <c r="M220" s="7">
        <v>-0.06</v>
      </c>
      <c r="N220" s="7">
        <v>58425.0</v>
      </c>
      <c r="O220" s="7">
        <v>4619263.0</v>
      </c>
      <c r="P220" s="7" t="s">
        <v>409</v>
      </c>
      <c r="Q220" s="7">
        <v>2332.31</v>
      </c>
      <c r="R220" s="3">
        <f t="shared" si="1"/>
        <v>2332.31</v>
      </c>
      <c r="S220" s="9">
        <v>1355.97</v>
      </c>
      <c r="T220" s="10">
        <v>1355.97</v>
      </c>
      <c r="V220" s="5">
        <f t="shared" si="2"/>
        <v>-976.34</v>
      </c>
    </row>
    <row r="221" ht="22.5" customHeight="1">
      <c r="B221" s="7" t="s">
        <v>93</v>
      </c>
      <c r="C221" s="7">
        <v>2316.0</v>
      </c>
      <c r="D221" s="7">
        <v>30945.0</v>
      </c>
      <c r="E221" s="7">
        <v>8596064.0</v>
      </c>
      <c r="F221" s="7">
        <v>8547281.0</v>
      </c>
      <c r="G221" s="7">
        <v>1.2488308E7</v>
      </c>
      <c r="H221" s="7">
        <v>4.71658017E8</v>
      </c>
      <c r="I221" s="7">
        <v>451150.0</v>
      </c>
      <c r="J221" s="7">
        <v>405749.0</v>
      </c>
      <c r="K221" s="7">
        <v>45401.0</v>
      </c>
      <c r="L221" s="7">
        <v>22.9</v>
      </c>
      <c r="M221" s="7">
        <v>-0.04</v>
      </c>
      <c r="N221" s="7">
        <v>53848.0</v>
      </c>
      <c r="O221" s="7">
        <v>4329494.0</v>
      </c>
      <c r="P221" s="7" t="s">
        <v>409</v>
      </c>
      <c r="Q221" s="7">
        <v>2444.66</v>
      </c>
      <c r="R221" s="3">
        <f t="shared" si="1"/>
        <v>2444.66</v>
      </c>
      <c r="S221" s="9">
        <v>4275.01</v>
      </c>
      <c r="T221" s="10">
        <v>4275.01</v>
      </c>
      <c r="V221" s="5">
        <f t="shared" si="2"/>
        <v>1830.35</v>
      </c>
    </row>
    <row r="222" ht="22.5" customHeight="1">
      <c r="B222" s="7" t="s">
        <v>220</v>
      </c>
      <c r="C222" s="7">
        <v>171148.0</v>
      </c>
      <c r="D222" s="7">
        <v>6591010.0</v>
      </c>
      <c r="E222" s="7">
        <v>3180088.0</v>
      </c>
      <c r="F222" s="7">
        <v>3146971.0</v>
      </c>
      <c r="G222" s="7">
        <v>5300041.0</v>
      </c>
      <c r="H222" s="7">
        <v>1.837735893E9</v>
      </c>
      <c r="I222" s="7">
        <v>128653.0</v>
      </c>
      <c r="J222" s="7">
        <v>110518.0</v>
      </c>
      <c r="K222" s="7">
        <v>18135.0</v>
      </c>
      <c r="L222" s="7">
        <v>25.65</v>
      </c>
      <c r="M222" s="7">
        <v>-0.06</v>
      </c>
      <c r="N222" s="7">
        <v>23363.0</v>
      </c>
      <c r="O222" s="7">
        <v>1096680.0</v>
      </c>
      <c r="P222" s="7" t="s">
        <v>410</v>
      </c>
      <c r="Q222" s="7">
        <v>2469.59</v>
      </c>
      <c r="R222" s="3">
        <f t="shared" si="1"/>
        <v>2469.59</v>
      </c>
      <c r="S222" s="9">
        <v>1433.78</v>
      </c>
      <c r="T222" s="10">
        <v>1433.78</v>
      </c>
      <c r="V222" s="5">
        <f t="shared" si="2"/>
        <v>-1035.81</v>
      </c>
    </row>
    <row r="223" ht="22.5" customHeight="1">
      <c r="B223" s="7" t="s">
        <v>269</v>
      </c>
      <c r="C223" s="7">
        <v>88289.0</v>
      </c>
      <c r="D223" s="7">
        <v>4187682.0</v>
      </c>
      <c r="E223" s="7">
        <v>4485171.0</v>
      </c>
      <c r="F223" s="7">
        <v>4300328.0</v>
      </c>
      <c r="G223" s="7">
        <v>3.9712141E7</v>
      </c>
      <c r="H223" s="7">
        <v>7.223945521E9</v>
      </c>
      <c r="I223" s="7">
        <v>137288.0</v>
      </c>
      <c r="J223" s="7">
        <v>112481.0</v>
      </c>
      <c r="K223" s="7">
        <v>24807.0</v>
      </c>
      <c r="L223" s="7">
        <v>143.07</v>
      </c>
      <c r="M223" s="7">
        <v>-0.09</v>
      </c>
      <c r="N223" s="7">
        <v>32718.0</v>
      </c>
      <c r="O223" s="7">
        <v>1.0184121E7</v>
      </c>
      <c r="P223" s="7" t="s">
        <v>410</v>
      </c>
      <c r="Q223" s="7">
        <v>2506.94</v>
      </c>
      <c r="R223" s="3">
        <f t="shared" si="1"/>
        <v>2506.94</v>
      </c>
      <c r="S223" s="9">
        <v>5003.72</v>
      </c>
      <c r="T223" s="10">
        <v>10000.0</v>
      </c>
      <c r="V223" s="5">
        <f t="shared" si="2"/>
        <v>7493.06</v>
      </c>
    </row>
    <row r="224" ht="22.5" customHeight="1">
      <c r="B224" s="7" t="s">
        <v>202</v>
      </c>
      <c r="C224" s="7">
        <v>3220.0</v>
      </c>
      <c r="D224" s="7">
        <v>12314.0</v>
      </c>
      <c r="E224" s="7">
        <v>1.3503377E7</v>
      </c>
      <c r="F224" s="7">
        <v>1.3314157E7</v>
      </c>
      <c r="G224" s="7">
        <v>3.3073839E7</v>
      </c>
      <c r="H224" s="7">
        <v>9.40202633E8</v>
      </c>
      <c r="I224" s="7">
        <v>552902.0</v>
      </c>
      <c r="J224" s="7">
        <v>464861.0</v>
      </c>
      <c r="K224" s="7">
        <v>88041.0</v>
      </c>
      <c r="L224" s="7">
        <v>36.12</v>
      </c>
      <c r="M224" s="7">
        <v>-0.08</v>
      </c>
      <c r="N224" s="7">
        <v>110894.0</v>
      </c>
      <c r="O224" s="7">
        <v>4893504.0</v>
      </c>
      <c r="P224" s="7" t="s">
        <v>409</v>
      </c>
      <c r="Q224" s="7">
        <v>2508.98</v>
      </c>
      <c r="R224" s="3">
        <f t="shared" si="1"/>
        <v>2508.98</v>
      </c>
      <c r="S224" s="9">
        <v>5003.85</v>
      </c>
      <c r="T224" s="10">
        <v>10000.0</v>
      </c>
      <c r="V224" s="5">
        <f t="shared" si="2"/>
        <v>7491.02</v>
      </c>
    </row>
    <row r="225" ht="22.5" customHeight="1">
      <c r="B225" s="7" t="s">
        <v>242</v>
      </c>
      <c r="C225" s="7">
        <v>183200.0</v>
      </c>
      <c r="D225" s="7">
        <v>637206.0</v>
      </c>
      <c r="E225" s="7">
        <v>2579365.0</v>
      </c>
      <c r="F225" s="7">
        <v>2513829.0</v>
      </c>
      <c r="G225" s="7">
        <v>5.6406657E7</v>
      </c>
      <c r="H225" s="7">
        <v>1.4276447272E10</v>
      </c>
      <c r="I225" s="7">
        <v>111860.0</v>
      </c>
      <c r="J225" s="7">
        <v>104847.0</v>
      </c>
      <c r="K225" s="7">
        <v>7013.0</v>
      </c>
      <c r="L225" s="7">
        <v>67.46</v>
      </c>
      <c r="M225" s="7">
        <v>-0.11</v>
      </c>
      <c r="N225" s="7">
        <v>10718.0</v>
      </c>
      <c r="O225" s="7">
        <v>3724121.0</v>
      </c>
      <c r="P225" s="7" t="s">
        <v>409</v>
      </c>
      <c r="Q225" s="7">
        <v>2538.61</v>
      </c>
      <c r="R225" s="3">
        <f t="shared" si="1"/>
        <v>2538.61</v>
      </c>
      <c r="S225" s="9">
        <v>1617.52</v>
      </c>
      <c r="T225" s="10">
        <v>1617.52</v>
      </c>
      <c r="V225" s="5">
        <f t="shared" si="2"/>
        <v>-921.09</v>
      </c>
    </row>
    <row r="226" ht="22.5" customHeight="1">
      <c r="B226" s="7" t="s">
        <v>268</v>
      </c>
      <c r="C226" s="7">
        <v>4128.0</v>
      </c>
      <c r="D226" s="7">
        <v>72567.0</v>
      </c>
      <c r="E226" s="7">
        <v>8811757.0</v>
      </c>
      <c r="F226" s="7">
        <v>8522239.0</v>
      </c>
      <c r="G226" s="7">
        <v>1.4249085E8</v>
      </c>
      <c r="H226" s="7">
        <v>1.267580064E9</v>
      </c>
      <c r="I226" s="7">
        <v>443428.0</v>
      </c>
      <c r="J226" s="7">
        <v>421120.0</v>
      </c>
      <c r="K226" s="7">
        <v>22308.0</v>
      </c>
      <c r="L226" s="7">
        <v>70.05</v>
      </c>
      <c r="M226" s="7">
        <v>-0.22</v>
      </c>
      <c r="N226" s="7">
        <v>32433.0</v>
      </c>
      <c r="O226" s="7">
        <v>1.9174498E7</v>
      </c>
      <c r="P226" s="7" t="s">
        <v>409</v>
      </c>
      <c r="Q226" s="7">
        <v>2547.98</v>
      </c>
      <c r="R226" s="3">
        <f t="shared" si="1"/>
        <v>2547.98</v>
      </c>
      <c r="S226" s="9">
        <v>5003.75</v>
      </c>
      <c r="T226" s="10">
        <v>10000.0</v>
      </c>
      <c r="V226" s="5">
        <f t="shared" si="2"/>
        <v>7452.02</v>
      </c>
    </row>
    <row r="227" ht="22.5" customHeight="1">
      <c r="B227" s="7" t="s">
        <v>241</v>
      </c>
      <c r="C227" s="7">
        <v>189982.0</v>
      </c>
      <c r="D227" s="7">
        <v>384580.0</v>
      </c>
      <c r="E227" s="7">
        <v>1946252.0</v>
      </c>
      <c r="F227" s="7">
        <v>1908026.0</v>
      </c>
      <c r="G227" s="7">
        <v>4050307.0</v>
      </c>
      <c r="H227" s="7">
        <v>7.539397452E9</v>
      </c>
      <c r="I227" s="7">
        <v>95214.0</v>
      </c>
      <c r="J227" s="7">
        <v>87394.0</v>
      </c>
      <c r="K227" s="7">
        <v>7820.0</v>
      </c>
      <c r="L227" s="7">
        <v>30.39</v>
      </c>
      <c r="M227" s="7">
        <v>-0.08</v>
      </c>
      <c r="N227" s="7">
        <v>9745.0</v>
      </c>
      <c r="O227" s="7">
        <v>1253871.0</v>
      </c>
      <c r="P227" s="7" t="s">
        <v>410</v>
      </c>
      <c r="Q227" s="7">
        <v>2560.52</v>
      </c>
      <c r="R227" s="3">
        <f t="shared" si="1"/>
        <v>2560.52</v>
      </c>
      <c r="S227" s="9">
        <v>2291.12</v>
      </c>
      <c r="T227" s="10">
        <v>2291.12</v>
      </c>
      <c r="V227" s="5">
        <f t="shared" si="2"/>
        <v>-269.4</v>
      </c>
    </row>
    <row r="228" ht="22.5" customHeight="1">
      <c r="B228" s="7" t="s">
        <v>249</v>
      </c>
      <c r="C228" s="7">
        <v>351053.0</v>
      </c>
      <c r="D228" s="7">
        <v>1039313.0</v>
      </c>
      <c r="E228" s="7">
        <v>621714.0</v>
      </c>
      <c r="F228" s="7">
        <v>611069.0</v>
      </c>
      <c r="G228" s="7">
        <v>3577224.0</v>
      </c>
      <c r="H228" s="7">
        <v>6.535718551E9</v>
      </c>
      <c r="I228" s="7">
        <v>36947.0</v>
      </c>
      <c r="J228" s="7">
        <v>32712.0</v>
      </c>
      <c r="K228" s="7">
        <v>4235.0</v>
      </c>
      <c r="L228" s="7">
        <v>51.95</v>
      </c>
      <c r="M228" s="7">
        <v>-0.1</v>
      </c>
      <c r="N228" s="7">
        <v>4985.0</v>
      </c>
      <c r="O228" s="7">
        <v>357795.0</v>
      </c>
      <c r="P228" s="7" t="s">
        <v>409</v>
      </c>
      <c r="Q228" s="7">
        <v>2580.57</v>
      </c>
      <c r="R228" s="3">
        <f t="shared" si="1"/>
        <v>2580.57</v>
      </c>
      <c r="S228" s="9">
        <v>111.47</v>
      </c>
      <c r="T228" s="10">
        <v>111.47</v>
      </c>
      <c r="V228" s="5">
        <f t="shared" si="2"/>
        <v>-2469.1</v>
      </c>
    </row>
    <row r="229" ht="22.5" customHeight="1">
      <c r="B229" s="7" t="s">
        <v>203</v>
      </c>
      <c r="C229" s="7">
        <v>172.0</v>
      </c>
      <c r="D229" s="7">
        <v>832.0</v>
      </c>
      <c r="E229" s="7">
        <v>1.5323996E7</v>
      </c>
      <c r="F229" s="7">
        <v>1.5252728E7</v>
      </c>
      <c r="G229" s="7">
        <v>1.828906E7</v>
      </c>
      <c r="H229" s="7">
        <v>3.56275107E8</v>
      </c>
      <c r="I229" s="7">
        <v>593780.0</v>
      </c>
      <c r="J229" s="7">
        <v>445127.0</v>
      </c>
      <c r="K229" s="7">
        <v>148653.0</v>
      </c>
      <c r="L229" s="7">
        <v>19.78</v>
      </c>
      <c r="M229" s="7">
        <v>-0.02</v>
      </c>
      <c r="N229" s="7">
        <v>175004.0</v>
      </c>
      <c r="O229" s="7">
        <v>4302990.0</v>
      </c>
      <c r="P229" s="7" t="s">
        <v>410</v>
      </c>
      <c r="Q229" s="7">
        <v>2589.17</v>
      </c>
      <c r="R229" s="3">
        <f t="shared" si="1"/>
        <v>2589.17</v>
      </c>
      <c r="S229" s="9">
        <v>1606.2</v>
      </c>
      <c r="T229" s="10">
        <v>1606.2</v>
      </c>
      <c r="V229" s="5">
        <f t="shared" si="2"/>
        <v>-982.97</v>
      </c>
    </row>
    <row r="230" ht="22.5" customHeight="1">
      <c r="B230" s="7" t="s">
        <v>228</v>
      </c>
      <c r="C230" s="7">
        <v>3220.0</v>
      </c>
      <c r="D230" s="7">
        <v>12314.0</v>
      </c>
      <c r="E230" s="7">
        <v>1.5950926E7</v>
      </c>
      <c r="F230" s="7">
        <v>1.5733713E7</v>
      </c>
      <c r="G230" s="7">
        <v>3.6320624E7</v>
      </c>
      <c r="H230" s="7">
        <v>1.07317581E9</v>
      </c>
      <c r="I230" s="7">
        <v>578081.0</v>
      </c>
      <c r="J230" s="7">
        <v>463939.0</v>
      </c>
      <c r="K230" s="7">
        <v>114142.0</v>
      </c>
      <c r="L230" s="7">
        <v>36.25</v>
      </c>
      <c r="M230" s="7">
        <v>-0.07</v>
      </c>
      <c r="N230" s="7">
        <v>143975.0</v>
      </c>
      <c r="O230" s="7">
        <v>4890435.0</v>
      </c>
      <c r="P230" s="7" t="s">
        <v>409</v>
      </c>
      <c r="Q230" s="7">
        <v>2671.23</v>
      </c>
      <c r="R230" s="3">
        <f t="shared" si="1"/>
        <v>2671.23</v>
      </c>
      <c r="S230" s="9">
        <v>4943.47</v>
      </c>
      <c r="T230" s="10">
        <v>10000.0</v>
      </c>
      <c r="V230" s="5">
        <f t="shared" si="2"/>
        <v>7328.77</v>
      </c>
    </row>
    <row r="231" ht="22.5" customHeight="1">
      <c r="B231" s="7" t="s">
        <v>240</v>
      </c>
      <c r="C231" s="7">
        <v>984.0</v>
      </c>
      <c r="D231" s="7">
        <v>22937.0</v>
      </c>
      <c r="E231" s="7">
        <v>5114051.0</v>
      </c>
      <c r="F231" s="7">
        <v>5075164.0</v>
      </c>
      <c r="G231" s="7">
        <v>8571320.0</v>
      </c>
      <c r="H231" s="7">
        <v>8.21312152E8</v>
      </c>
      <c r="I231" s="7">
        <v>262421.0</v>
      </c>
      <c r="J231" s="7">
        <v>221068.0</v>
      </c>
      <c r="K231" s="7">
        <v>41353.0</v>
      </c>
      <c r="L231" s="7">
        <v>26.52</v>
      </c>
      <c r="M231" s="7">
        <v>-0.06</v>
      </c>
      <c r="N231" s="7">
        <v>48641.0</v>
      </c>
      <c r="O231" s="7">
        <v>1877847.0</v>
      </c>
      <c r="P231" s="7" t="s">
        <v>409</v>
      </c>
      <c r="Q231" s="7">
        <v>2730.31</v>
      </c>
      <c r="R231" s="3">
        <f t="shared" si="1"/>
        <v>2730.31</v>
      </c>
      <c r="S231" s="9">
        <v>1455.22</v>
      </c>
      <c r="T231" s="10">
        <v>1455.22</v>
      </c>
      <c r="V231" s="5">
        <f t="shared" si="2"/>
        <v>-1275.09</v>
      </c>
    </row>
    <row r="232" ht="22.5" customHeight="1">
      <c r="B232" s="7" t="s">
        <v>217</v>
      </c>
      <c r="C232" s="7">
        <v>310.0</v>
      </c>
      <c r="D232" s="7">
        <v>1081.0</v>
      </c>
      <c r="E232" s="7">
        <v>9538736.0</v>
      </c>
      <c r="F232" s="7">
        <v>9370243.0</v>
      </c>
      <c r="G232" s="7">
        <v>1.5180468E7</v>
      </c>
      <c r="H232" s="7">
        <v>3.37840161E8</v>
      </c>
      <c r="I232" s="7">
        <v>447853.0</v>
      </c>
      <c r="J232" s="7">
        <v>399192.0</v>
      </c>
      <c r="K232" s="7">
        <v>48661.0</v>
      </c>
      <c r="L232" s="7">
        <v>18.04</v>
      </c>
      <c r="M232" s="7">
        <v>-0.06</v>
      </c>
      <c r="N232" s="7">
        <v>60054.0</v>
      </c>
      <c r="O232" s="7">
        <v>4430993.0</v>
      </c>
      <c r="P232" s="7" t="s">
        <v>410</v>
      </c>
      <c r="Q232" s="7">
        <v>2783.23</v>
      </c>
      <c r="R232" s="3">
        <f t="shared" si="1"/>
        <v>2783.23</v>
      </c>
      <c r="S232" s="9">
        <v>1600.32</v>
      </c>
      <c r="T232" s="10">
        <v>1600.32</v>
      </c>
      <c r="V232" s="5">
        <f t="shared" si="2"/>
        <v>-1182.91</v>
      </c>
    </row>
    <row r="233" ht="22.5" customHeight="1">
      <c r="B233" s="7" t="s">
        <v>253</v>
      </c>
      <c r="C233" s="7">
        <v>76006.0</v>
      </c>
      <c r="D233" s="7">
        <v>3192315.0</v>
      </c>
      <c r="E233" s="7">
        <v>1117993.0</v>
      </c>
      <c r="F233" s="7">
        <v>1088598.0</v>
      </c>
      <c r="G233" s="7">
        <v>1921753.0</v>
      </c>
      <c r="H233" s="7">
        <v>5.649682368E9</v>
      </c>
      <c r="I233" s="7">
        <v>35830.0</v>
      </c>
      <c r="J233" s="7">
        <v>28793.0</v>
      </c>
      <c r="K233" s="7">
        <v>7037.0</v>
      </c>
      <c r="L233" s="7">
        <v>25.01</v>
      </c>
      <c r="M233" s="7">
        <v>-0.07</v>
      </c>
      <c r="N233" s="7">
        <v>8985.0</v>
      </c>
      <c r="O233" s="7">
        <v>483957.0</v>
      </c>
      <c r="P233" s="7" t="s">
        <v>410</v>
      </c>
      <c r="Q233" s="7">
        <v>2860.94</v>
      </c>
      <c r="R233" s="3">
        <f t="shared" si="1"/>
        <v>2860.94</v>
      </c>
      <c r="S233" s="9">
        <v>4941.64</v>
      </c>
      <c r="T233" s="10">
        <v>10000.0</v>
      </c>
      <c r="V233" s="5">
        <f t="shared" si="2"/>
        <v>7139.06</v>
      </c>
    </row>
    <row r="234" ht="22.5" customHeight="1">
      <c r="B234" s="7" t="s">
        <v>230</v>
      </c>
      <c r="C234" s="7">
        <v>3838.0</v>
      </c>
      <c r="D234" s="7">
        <v>15113.0</v>
      </c>
      <c r="E234" s="7">
        <v>6969017.0</v>
      </c>
      <c r="F234" s="7">
        <v>6867023.0</v>
      </c>
      <c r="G234" s="7">
        <v>1.4036658E7</v>
      </c>
      <c r="H234" s="7">
        <v>8.29464429E8</v>
      </c>
      <c r="I234" s="7">
        <v>413203.0</v>
      </c>
      <c r="J234" s="7">
        <v>382572.0</v>
      </c>
      <c r="K234" s="7">
        <v>30631.0</v>
      </c>
      <c r="L234" s="7">
        <v>38.01</v>
      </c>
      <c r="M234" s="7">
        <v>-0.08</v>
      </c>
      <c r="N234" s="7">
        <v>38356.0</v>
      </c>
      <c r="O234" s="7">
        <v>3329257.0</v>
      </c>
      <c r="P234" s="7" t="s">
        <v>409</v>
      </c>
      <c r="Q234" s="7">
        <v>2883.4</v>
      </c>
      <c r="R234" s="3">
        <f t="shared" si="1"/>
        <v>2883.4</v>
      </c>
      <c r="S234" s="9">
        <v>1397.74</v>
      </c>
      <c r="T234" s="10">
        <v>1397.74</v>
      </c>
      <c r="V234" s="5">
        <f t="shared" si="2"/>
        <v>-1485.66</v>
      </c>
    </row>
    <row r="235" ht="22.5" customHeight="1">
      <c r="B235" s="7" t="s">
        <v>250</v>
      </c>
      <c r="C235" s="7">
        <v>2187.0</v>
      </c>
      <c r="D235" s="7">
        <v>21364.0</v>
      </c>
      <c r="E235" s="7">
        <v>1.6259866E7</v>
      </c>
      <c r="F235" s="7">
        <v>1.6211961E7</v>
      </c>
      <c r="G235" s="7">
        <v>1.9085262E7</v>
      </c>
      <c r="H235" s="7">
        <v>1.014938276E9</v>
      </c>
      <c r="I235" s="7">
        <v>633304.0</v>
      </c>
      <c r="J235" s="7">
        <v>439772.0</v>
      </c>
      <c r="K235" s="7">
        <v>193532.0</v>
      </c>
      <c r="L235" s="7">
        <v>23.29</v>
      </c>
      <c r="M235" s="7">
        <v>-0.02</v>
      </c>
      <c r="N235" s="7">
        <v>221134.0</v>
      </c>
      <c r="O235" s="7">
        <v>4302540.0</v>
      </c>
      <c r="P235" s="7" t="s">
        <v>410</v>
      </c>
      <c r="Q235" s="7">
        <v>2944.23</v>
      </c>
      <c r="R235" s="3">
        <f t="shared" si="1"/>
        <v>2944.23</v>
      </c>
      <c r="S235" s="9">
        <v>1503.6</v>
      </c>
      <c r="T235" s="10">
        <v>1503.6</v>
      </c>
      <c r="V235" s="5">
        <f t="shared" si="2"/>
        <v>-1440.63</v>
      </c>
    </row>
    <row r="236" ht="22.5" customHeight="1">
      <c r="B236" s="7" t="s">
        <v>192</v>
      </c>
      <c r="C236" s="7">
        <v>3426.0</v>
      </c>
      <c r="D236" s="7">
        <v>20454.0</v>
      </c>
      <c r="E236" s="7">
        <v>2.1402475E7</v>
      </c>
      <c r="F236" s="7">
        <v>2.1402445E7</v>
      </c>
      <c r="G236" s="7">
        <v>2.1409592E7</v>
      </c>
      <c r="H236" s="7">
        <v>1.4284945497E10</v>
      </c>
      <c r="I236" s="7">
        <v>746607.0</v>
      </c>
      <c r="J236" s="7">
        <v>538925.0</v>
      </c>
      <c r="K236" s="7">
        <v>207682.0</v>
      </c>
      <c r="L236" s="7">
        <v>14.03</v>
      </c>
      <c r="M236" s="7">
        <v>0.0</v>
      </c>
      <c r="N236" s="7">
        <v>235596.0</v>
      </c>
      <c r="O236" s="7">
        <v>8914300.0</v>
      </c>
      <c r="P236" s="7" t="s">
        <v>409</v>
      </c>
      <c r="Q236" s="7">
        <v>2990.31</v>
      </c>
      <c r="R236" s="3">
        <f t="shared" si="1"/>
        <v>2990.31</v>
      </c>
      <c r="S236" s="9">
        <v>1201.17</v>
      </c>
      <c r="T236" s="10">
        <v>1201.17</v>
      </c>
      <c r="V236" s="5">
        <f t="shared" si="2"/>
        <v>-1789.14</v>
      </c>
    </row>
    <row r="237" ht="22.5" customHeight="1">
      <c r="B237" s="7" t="s">
        <v>265</v>
      </c>
      <c r="C237" s="7">
        <v>4128.0</v>
      </c>
      <c r="D237" s="7">
        <v>72564.0</v>
      </c>
      <c r="E237" s="7">
        <v>1.2086407E7</v>
      </c>
      <c r="F237" s="7">
        <v>1.1750859E7</v>
      </c>
      <c r="G237" s="7">
        <v>1.49176014E8</v>
      </c>
      <c r="H237" s="7">
        <v>1.640838761E9</v>
      </c>
      <c r="I237" s="7">
        <v>465185.0</v>
      </c>
      <c r="J237" s="7">
        <v>418072.0</v>
      </c>
      <c r="K237" s="7">
        <v>47113.0</v>
      </c>
      <c r="L237" s="7">
        <v>94.24</v>
      </c>
      <c r="M237" s="7">
        <v>-0.17</v>
      </c>
      <c r="N237" s="7">
        <v>67002.0</v>
      </c>
      <c r="O237" s="7">
        <v>1.8186574E7</v>
      </c>
      <c r="P237" s="7" t="s">
        <v>409</v>
      </c>
      <c r="Q237" s="7">
        <v>3002.98</v>
      </c>
      <c r="R237" s="3">
        <f t="shared" si="1"/>
        <v>3002.98</v>
      </c>
      <c r="S237" s="9">
        <v>5003.79</v>
      </c>
      <c r="T237" s="10">
        <v>10000.0</v>
      </c>
      <c r="V237" s="5">
        <f t="shared" si="2"/>
        <v>6997.02</v>
      </c>
    </row>
    <row r="238" ht="22.5" customHeight="1">
      <c r="B238" s="7" t="s">
        <v>391</v>
      </c>
      <c r="C238" s="7">
        <v>3222736.0</v>
      </c>
      <c r="D238" s="7">
        <v>6910393.0</v>
      </c>
      <c r="E238" s="7">
        <v>2909054.0</v>
      </c>
      <c r="F238" s="7">
        <v>2578497.0</v>
      </c>
      <c r="G238" s="7">
        <v>4.0337847E7</v>
      </c>
      <c r="H238" s="7">
        <v>3.919223962E9</v>
      </c>
      <c r="I238" s="7">
        <v>63886.0</v>
      </c>
      <c r="J238" s="7">
        <v>51665.0</v>
      </c>
      <c r="K238" s="7">
        <v>12221.0</v>
      </c>
      <c r="L238" s="7">
        <v>556.89</v>
      </c>
      <c r="M238" s="7">
        <v>-0.09</v>
      </c>
      <c r="N238" s="7">
        <v>16648.0</v>
      </c>
      <c r="O238" s="7">
        <v>4480275.0</v>
      </c>
      <c r="P238" s="7" t="s">
        <v>409</v>
      </c>
      <c r="Q238" s="7">
        <v>3083.14</v>
      </c>
      <c r="R238" s="3">
        <f t="shared" si="1"/>
        <v>3083.14</v>
      </c>
      <c r="S238" s="9">
        <v>4940.14</v>
      </c>
      <c r="T238" s="10">
        <v>10000.0</v>
      </c>
      <c r="V238" s="5">
        <f t="shared" si="2"/>
        <v>6916.86</v>
      </c>
    </row>
    <row r="239" ht="22.5" customHeight="1">
      <c r="B239" s="7" t="s">
        <v>258</v>
      </c>
      <c r="C239" s="7">
        <v>2309.0</v>
      </c>
      <c r="D239" s="7">
        <v>88734.0</v>
      </c>
      <c r="E239" s="7">
        <v>1.3603917E7</v>
      </c>
      <c r="F239" s="7">
        <v>1.3336939E7</v>
      </c>
      <c r="G239" s="7">
        <v>1.9729734E7</v>
      </c>
      <c r="H239" s="7">
        <v>1.169644739E9</v>
      </c>
      <c r="I239" s="7">
        <v>444707.0</v>
      </c>
      <c r="J239" s="7">
        <v>313451.0</v>
      </c>
      <c r="K239" s="7">
        <v>131256.0</v>
      </c>
      <c r="L239" s="7">
        <v>138.05</v>
      </c>
      <c r="M239" s="7">
        <v>-0.03</v>
      </c>
      <c r="N239" s="7">
        <v>152165.0</v>
      </c>
      <c r="O239" s="7">
        <v>5625735.0</v>
      </c>
      <c r="P239" s="7" t="s">
        <v>410</v>
      </c>
      <c r="Q239" s="7">
        <v>3171.74</v>
      </c>
      <c r="R239" s="3">
        <f t="shared" si="1"/>
        <v>3171.74</v>
      </c>
      <c r="S239" s="9">
        <v>4967.02</v>
      </c>
      <c r="T239" s="10">
        <v>10000.0</v>
      </c>
      <c r="V239" s="5">
        <f t="shared" si="2"/>
        <v>6828.26</v>
      </c>
    </row>
    <row r="240" ht="22.5" customHeight="1">
      <c r="B240" s="7" t="s">
        <v>262</v>
      </c>
      <c r="C240" s="7">
        <v>4128.0</v>
      </c>
      <c r="D240" s="7">
        <v>72562.0</v>
      </c>
      <c r="E240" s="7">
        <v>1.0396026E7</v>
      </c>
      <c r="F240" s="7">
        <v>1.0087416E7</v>
      </c>
      <c r="G240" s="7">
        <v>1.41983563E8</v>
      </c>
      <c r="H240" s="7">
        <v>1.438575991E9</v>
      </c>
      <c r="I240" s="7">
        <v>450894.0</v>
      </c>
      <c r="J240" s="7">
        <v>415764.0</v>
      </c>
      <c r="K240" s="7">
        <v>35130.0</v>
      </c>
      <c r="L240" s="7">
        <v>85.81</v>
      </c>
      <c r="M240" s="7">
        <v>-0.19</v>
      </c>
      <c r="N240" s="7">
        <v>49943.0</v>
      </c>
      <c r="O240" s="7">
        <v>1.8199405E7</v>
      </c>
      <c r="P240" s="7" t="s">
        <v>409</v>
      </c>
      <c r="Q240" s="7">
        <v>3194.66</v>
      </c>
      <c r="R240" s="3">
        <f t="shared" si="1"/>
        <v>3194.66</v>
      </c>
      <c r="S240" s="9">
        <v>5003.65</v>
      </c>
      <c r="T240" s="10">
        <v>10000.0</v>
      </c>
      <c r="V240" s="5">
        <f t="shared" si="2"/>
        <v>6805.34</v>
      </c>
    </row>
    <row r="241" ht="22.5" customHeight="1">
      <c r="B241" s="7" t="s">
        <v>143</v>
      </c>
      <c r="C241" s="7">
        <v>20965.0</v>
      </c>
      <c r="D241" s="7">
        <v>93387.0</v>
      </c>
      <c r="E241" s="7">
        <v>1.7153205E7</v>
      </c>
      <c r="F241" s="7">
        <v>1.6467122E7</v>
      </c>
      <c r="G241" s="7">
        <v>5.4492011E7</v>
      </c>
      <c r="H241" s="7">
        <v>2.731673605E9</v>
      </c>
      <c r="I241" s="7">
        <v>434334.0</v>
      </c>
      <c r="J241" s="7">
        <v>326508.0</v>
      </c>
      <c r="K241" s="7">
        <v>107826.0</v>
      </c>
      <c r="L241" s="7">
        <v>70.91</v>
      </c>
      <c r="M241" s="7">
        <v>-0.07</v>
      </c>
      <c r="N241" s="7">
        <v>139235.0</v>
      </c>
      <c r="O241" s="7">
        <v>1.0022117E7</v>
      </c>
      <c r="P241" s="7" t="s">
        <v>409</v>
      </c>
      <c r="Q241" s="7">
        <v>3214.73</v>
      </c>
      <c r="R241" s="3">
        <f t="shared" si="1"/>
        <v>3214.73</v>
      </c>
      <c r="S241" s="9">
        <v>677.41</v>
      </c>
      <c r="T241" s="10">
        <v>677.41</v>
      </c>
      <c r="V241" s="5">
        <f t="shared" si="2"/>
        <v>-2537.32</v>
      </c>
    </row>
    <row r="242" ht="22.5" customHeight="1">
      <c r="B242" s="7" t="s">
        <v>205</v>
      </c>
      <c r="C242" s="7">
        <v>2187.0</v>
      </c>
      <c r="D242" s="7">
        <v>21358.0</v>
      </c>
      <c r="E242" s="7">
        <v>1.7650332E7</v>
      </c>
      <c r="F242" s="7">
        <v>1.7597242E7</v>
      </c>
      <c r="G242" s="7">
        <v>2.0964437E7</v>
      </c>
      <c r="H242" s="7">
        <v>1.0884278E9</v>
      </c>
      <c r="I242" s="7">
        <v>729036.0</v>
      </c>
      <c r="J242" s="7">
        <v>536093.0</v>
      </c>
      <c r="K242" s="7">
        <v>192943.0</v>
      </c>
      <c r="L242" s="7">
        <v>23.18</v>
      </c>
      <c r="M242" s="7">
        <v>-0.02</v>
      </c>
      <c r="N242" s="7">
        <v>220977.0</v>
      </c>
      <c r="O242" s="7">
        <v>5311680.0</v>
      </c>
      <c r="P242" s="7" t="s">
        <v>409</v>
      </c>
      <c r="Q242" s="7">
        <v>3228.38</v>
      </c>
      <c r="R242" s="3">
        <f t="shared" si="1"/>
        <v>3228.38</v>
      </c>
      <c r="S242" s="9">
        <v>703.52</v>
      </c>
      <c r="T242" s="10">
        <v>703.52</v>
      </c>
      <c r="V242" s="5">
        <f t="shared" si="2"/>
        <v>-2524.86</v>
      </c>
    </row>
    <row r="243" ht="22.5" customHeight="1">
      <c r="B243" s="7" t="s">
        <v>264</v>
      </c>
      <c r="C243" s="7">
        <v>4288.0</v>
      </c>
      <c r="D243" s="7">
        <v>76700.0</v>
      </c>
      <c r="E243" s="7">
        <v>1.2716107E7</v>
      </c>
      <c r="F243" s="7">
        <v>1.236419E7</v>
      </c>
      <c r="G243" s="7">
        <v>1.74857326E8</v>
      </c>
      <c r="H243" s="7">
        <v>1.800278405E9</v>
      </c>
      <c r="I243" s="7">
        <v>464921.0</v>
      </c>
      <c r="J243" s="7">
        <v>414781.0</v>
      </c>
      <c r="K243" s="7">
        <v>50140.0</v>
      </c>
      <c r="L243" s="7">
        <v>99.05</v>
      </c>
      <c r="M243" s="7">
        <v>-0.17</v>
      </c>
      <c r="N243" s="7">
        <v>71978.0</v>
      </c>
      <c r="O243" s="7">
        <v>2.2163671E7</v>
      </c>
      <c r="P243" s="7" t="s">
        <v>409</v>
      </c>
      <c r="Q243" s="7">
        <v>3260.34</v>
      </c>
      <c r="R243" s="3">
        <f t="shared" si="1"/>
        <v>3260.34</v>
      </c>
      <c r="S243" s="9">
        <v>5003.65</v>
      </c>
      <c r="T243" s="10">
        <v>10000.0</v>
      </c>
      <c r="V243" s="5">
        <f t="shared" si="2"/>
        <v>6739.66</v>
      </c>
    </row>
    <row r="244" ht="22.5" customHeight="1">
      <c r="B244" s="7" t="s">
        <v>234</v>
      </c>
      <c r="C244" s="7">
        <v>2720.0</v>
      </c>
      <c r="D244" s="7">
        <v>11392.0</v>
      </c>
      <c r="E244" s="7">
        <v>7440286.0</v>
      </c>
      <c r="F244" s="7">
        <v>7331382.0</v>
      </c>
      <c r="G244" s="7">
        <v>1.5243282E7</v>
      </c>
      <c r="H244" s="7">
        <v>8.83704071E8</v>
      </c>
      <c r="I244" s="7">
        <v>459262.0</v>
      </c>
      <c r="J244" s="7">
        <v>428914.0</v>
      </c>
      <c r="K244" s="7">
        <v>30348.0</v>
      </c>
      <c r="L244" s="7">
        <v>38.28</v>
      </c>
      <c r="M244" s="7">
        <v>-0.09</v>
      </c>
      <c r="N244" s="7">
        <v>38087.0</v>
      </c>
      <c r="O244" s="7">
        <v>3685533.0</v>
      </c>
      <c r="P244" s="7" t="s">
        <v>409</v>
      </c>
      <c r="Q244" s="7">
        <v>3296.99</v>
      </c>
      <c r="R244" s="3">
        <f t="shared" si="1"/>
        <v>3296.99</v>
      </c>
      <c r="S244" s="9">
        <v>1654.59</v>
      </c>
      <c r="T244" s="10">
        <v>1654.59</v>
      </c>
      <c r="V244" s="5">
        <f t="shared" si="2"/>
        <v>-1642.4</v>
      </c>
    </row>
    <row r="245" ht="22.5" customHeight="1">
      <c r="B245" s="7" t="s">
        <v>312</v>
      </c>
      <c r="C245" s="7">
        <v>2197.0</v>
      </c>
      <c r="D245" s="7">
        <v>26977.0</v>
      </c>
      <c r="E245" s="7">
        <v>2.7323016E7</v>
      </c>
      <c r="F245" s="7">
        <v>2.7176242E7</v>
      </c>
      <c r="G245" s="7">
        <v>3.0355335E7</v>
      </c>
      <c r="H245" s="7">
        <v>3.27580415E8</v>
      </c>
      <c r="I245" s="7">
        <v>1235405.0</v>
      </c>
      <c r="J245" s="7">
        <v>1023529.0</v>
      </c>
      <c r="K245" s="7">
        <v>211876.0</v>
      </c>
      <c r="L245" s="7">
        <v>48.48</v>
      </c>
      <c r="M245" s="7">
        <v>-0.02</v>
      </c>
      <c r="N245" s="7">
        <v>238807.0</v>
      </c>
      <c r="O245" s="7">
        <v>1.3824649E7</v>
      </c>
      <c r="P245" s="7" t="s">
        <v>410</v>
      </c>
      <c r="Q245" s="7">
        <v>3360.47</v>
      </c>
      <c r="R245" s="3">
        <f t="shared" si="1"/>
        <v>3360.47</v>
      </c>
      <c r="S245" s="9">
        <v>4946.6</v>
      </c>
      <c r="T245" s="10">
        <v>10000.0</v>
      </c>
      <c r="V245" s="5">
        <f t="shared" si="2"/>
        <v>6639.53</v>
      </c>
    </row>
    <row r="246" ht="22.5" customHeight="1">
      <c r="B246" s="7" t="s">
        <v>314</v>
      </c>
      <c r="C246" s="7">
        <v>370944.0</v>
      </c>
      <c r="D246" s="7">
        <v>1254550.0</v>
      </c>
      <c r="E246" s="7">
        <v>3079731.0</v>
      </c>
      <c r="F246" s="7">
        <v>3000474.0</v>
      </c>
      <c r="G246" s="7">
        <v>8.627223E7</v>
      </c>
      <c r="H246" s="7">
        <v>2.6900926894E10</v>
      </c>
      <c r="I246" s="7">
        <v>119802.0</v>
      </c>
      <c r="J246" s="7">
        <v>110391.0</v>
      </c>
      <c r="K246" s="7">
        <v>9411.0</v>
      </c>
      <c r="L246" s="7">
        <v>71.94</v>
      </c>
      <c r="M246" s="7">
        <v>-0.11</v>
      </c>
      <c r="N246" s="7">
        <v>14663.0</v>
      </c>
      <c r="O246" s="7">
        <v>5114298.0</v>
      </c>
      <c r="P246" s="7" t="s">
        <v>409</v>
      </c>
      <c r="Q246" s="7">
        <v>3429.14</v>
      </c>
      <c r="R246" s="3">
        <f t="shared" si="1"/>
        <v>3429.14</v>
      </c>
      <c r="S246" s="9">
        <v>4951.85</v>
      </c>
      <c r="T246" s="10">
        <v>10000.0</v>
      </c>
      <c r="V246" s="5">
        <f t="shared" si="2"/>
        <v>6570.86</v>
      </c>
    </row>
    <row r="247" ht="22.5" customHeight="1">
      <c r="B247" s="7" t="s">
        <v>266</v>
      </c>
      <c r="C247" s="7">
        <v>4128.0</v>
      </c>
      <c r="D247" s="7">
        <v>72571.0</v>
      </c>
      <c r="E247" s="7">
        <v>1.0789974E7</v>
      </c>
      <c r="F247" s="7">
        <v>1.0469789E7</v>
      </c>
      <c r="G247" s="7">
        <v>1.57796084E8</v>
      </c>
      <c r="H247" s="7">
        <v>1.540660003E9</v>
      </c>
      <c r="I247" s="7">
        <v>459849.0</v>
      </c>
      <c r="J247" s="7">
        <v>422272.0</v>
      </c>
      <c r="K247" s="7">
        <v>37577.0</v>
      </c>
      <c r="L247" s="7">
        <v>87.84</v>
      </c>
      <c r="M247" s="7">
        <v>-0.19</v>
      </c>
      <c r="N247" s="7">
        <v>53588.0</v>
      </c>
      <c r="O247" s="7">
        <v>2.0237114E7</v>
      </c>
      <c r="P247" s="7" t="s">
        <v>409</v>
      </c>
      <c r="Q247" s="7">
        <v>3432.05</v>
      </c>
      <c r="R247" s="3">
        <f t="shared" si="1"/>
        <v>3432.05</v>
      </c>
      <c r="S247" s="9">
        <v>2348.13</v>
      </c>
      <c r="T247" s="10">
        <v>2348.13</v>
      </c>
      <c r="V247" s="5">
        <f t="shared" si="2"/>
        <v>-1083.92</v>
      </c>
    </row>
    <row r="248" ht="22.5" customHeight="1">
      <c r="B248" s="7" t="s">
        <v>155</v>
      </c>
      <c r="C248" s="7">
        <v>69644.0</v>
      </c>
      <c r="D248" s="7">
        <v>305432.0</v>
      </c>
      <c r="E248" s="7">
        <v>8496656.0</v>
      </c>
      <c r="F248" s="7">
        <v>8302409.0</v>
      </c>
      <c r="G248" s="7">
        <v>2.05475E7</v>
      </c>
      <c r="H248" s="7">
        <v>2.455437575E9</v>
      </c>
      <c r="I248" s="7">
        <v>416407.0</v>
      </c>
      <c r="J248" s="7">
        <v>389182.0</v>
      </c>
      <c r="K248" s="7">
        <v>27225.0</v>
      </c>
      <c r="L248" s="7">
        <v>47.72</v>
      </c>
      <c r="M248" s="7">
        <v>-0.1</v>
      </c>
      <c r="N248" s="7">
        <v>36063.0</v>
      </c>
      <c r="O248" s="7">
        <v>5369434.0</v>
      </c>
      <c r="P248" s="7" t="s">
        <v>409</v>
      </c>
      <c r="Q248" s="7">
        <v>3459.93</v>
      </c>
      <c r="R248" s="3">
        <f t="shared" si="1"/>
        <v>3459.93</v>
      </c>
      <c r="S248" s="9">
        <v>1063.86</v>
      </c>
      <c r="T248" s="10">
        <v>1063.86</v>
      </c>
      <c r="V248" s="5">
        <f t="shared" si="2"/>
        <v>-2396.07</v>
      </c>
    </row>
    <row r="249" ht="22.5" customHeight="1">
      <c r="B249" s="7" t="s">
        <v>227</v>
      </c>
      <c r="C249" s="7">
        <v>895721.0</v>
      </c>
      <c r="D249" s="7">
        <v>1.768805E7</v>
      </c>
      <c r="E249" s="7">
        <v>3522898.0</v>
      </c>
      <c r="F249" s="7">
        <v>3432716.0</v>
      </c>
      <c r="G249" s="7">
        <v>9590602.0</v>
      </c>
      <c r="H249" s="7">
        <v>4.499314213E9</v>
      </c>
      <c r="I249" s="7">
        <v>118845.0</v>
      </c>
      <c r="J249" s="7">
        <v>101126.0</v>
      </c>
      <c r="K249" s="7">
        <v>17719.0</v>
      </c>
      <c r="L249" s="7">
        <v>22.87</v>
      </c>
      <c r="M249" s="7">
        <v>-0.1</v>
      </c>
      <c r="N249" s="7">
        <v>24095.0</v>
      </c>
      <c r="O249" s="7">
        <v>1749920.0</v>
      </c>
      <c r="P249" s="7" t="s">
        <v>409</v>
      </c>
      <c r="Q249" s="7">
        <v>3585.92</v>
      </c>
      <c r="R249" s="3">
        <f t="shared" si="1"/>
        <v>3585.92</v>
      </c>
      <c r="S249" s="9">
        <v>3873.87</v>
      </c>
      <c r="T249" s="10">
        <v>3873.87</v>
      </c>
      <c r="V249" s="5">
        <f t="shared" si="2"/>
        <v>287.95</v>
      </c>
    </row>
    <row r="250" ht="22.5" customHeight="1">
      <c r="B250" s="7" t="s">
        <v>324</v>
      </c>
      <c r="C250" s="7">
        <v>81119.0</v>
      </c>
      <c r="D250" s="7">
        <v>804926.0</v>
      </c>
      <c r="E250" s="7">
        <v>5530416.0</v>
      </c>
      <c r="F250" s="7">
        <v>3909547.0</v>
      </c>
      <c r="G250" s="7">
        <v>2.33429744E8</v>
      </c>
      <c r="H250" s="7">
        <v>7.575935692E9</v>
      </c>
      <c r="I250" s="7">
        <v>138951.0</v>
      </c>
      <c r="J250" s="7">
        <v>130317.0</v>
      </c>
      <c r="K250" s="7">
        <v>8634.0</v>
      </c>
      <c r="L250" s="7">
        <v>437.47</v>
      </c>
      <c r="M250" s="7">
        <v>-0.18</v>
      </c>
      <c r="N250" s="7">
        <v>16893.0</v>
      </c>
      <c r="O250" s="7">
        <v>2.7077812E7</v>
      </c>
      <c r="P250" s="7" t="s">
        <v>409</v>
      </c>
      <c r="Q250" s="7">
        <v>3595.61</v>
      </c>
      <c r="R250" s="3">
        <f t="shared" si="1"/>
        <v>3595.61</v>
      </c>
      <c r="S250" s="9">
        <v>5003.87</v>
      </c>
      <c r="T250" s="10">
        <v>10000.0</v>
      </c>
      <c r="V250" s="5">
        <f t="shared" si="2"/>
        <v>6404.39</v>
      </c>
    </row>
    <row r="251" ht="22.5" customHeight="1">
      <c r="B251" s="7" t="s">
        <v>387</v>
      </c>
      <c r="C251" s="7">
        <v>103136.0</v>
      </c>
      <c r="D251" s="7">
        <v>4673415.0</v>
      </c>
      <c r="E251" s="7">
        <v>1361471.0</v>
      </c>
      <c r="F251" s="7">
        <v>1321452.0</v>
      </c>
      <c r="G251" s="7">
        <v>2535580.0</v>
      </c>
      <c r="H251" s="7">
        <v>6.772927653E9</v>
      </c>
      <c r="I251" s="7">
        <v>50880.0</v>
      </c>
      <c r="J251" s="7">
        <v>43909.0</v>
      </c>
      <c r="K251" s="7">
        <v>6971.0</v>
      </c>
      <c r="L251" s="7">
        <v>25.63</v>
      </c>
      <c r="M251" s="7">
        <v>-0.08</v>
      </c>
      <c r="N251" s="7">
        <v>8922.0</v>
      </c>
      <c r="O251" s="7">
        <v>764353.0</v>
      </c>
      <c r="P251" s="7" t="s">
        <v>410</v>
      </c>
      <c r="Q251" s="7">
        <v>3658.13</v>
      </c>
      <c r="R251" s="3">
        <f t="shared" si="1"/>
        <v>3658.13</v>
      </c>
      <c r="S251" s="9">
        <v>5003.92</v>
      </c>
      <c r="T251" s="10">
        <v>10000.0</v>
      </c>
      <c r="V251" s="5">
        <f t="shared" si="2"/>
        <v>6341.87</v>
      </c>
    </row>
    <row r="252" ht="22.5" customHeight="1">
      <c r="B252" s="7" t="s">
        <v>245</v>
      </c>
      <c r="C252" s="7">
        <v>400.0</v>
      </c>
      <c r="D252" s="7">
        <v>30664.0</v>
      </c>
      <c r="E252" s="7">
        <v>1.4335805E7</v>
      </c>
      <c r="F252" s="7">
        <v>1.3943563E7</v>
      </c>
      <c r="G252" s="7">
        <v>1.8395849E7</v>
      </c>
      <c r="H252" s="7">
        <v>3.85357059E8</v>
      </c>
      <c r="I252" s="7">
        <v>362017.0</v>
      </c>
      <c r="J252" s="7">
        <v>246720.0</v>
      </c>
      <c r="K252" s="7">
        <v>115297.0</v>
      </c>
      <c r="L252" s="7">
        <v>78.08</v>
      </c>
      <c r="M252" s="7">
        <v>-0.05</v>
      </c>
      <c r="N252" s="7">
        <v>139401.0</v>
      </c>
      <c r="O252" s="7">
        <v>5435512.0</v>
      </c>
      <c r="P252" s="7" t="s">
        <v>409</v>
      </c>
      <c r="Q252" s="7">
        <v>3689.67</v>
      </c>
      <c r="R252" s="3">
        <f t="shared" si="1"/>
        <v>3689.67</v>
      </c>
      <c r="S252" s="9">
        <v>2915.48</v>
      </c>
      <c r="T252" s="10">
        <v>2915.48</v>
      </c>
      <c r="V252" s="5">
        <f t="shared" si="2"/>
        <v>-774.19</v>
      </c>
    </row>
    <row r="253" ht="22.5" customHeight="1">
      <c r="B253" s="7" t="s">
        <v>246</v>
      </c>
      <c r="C253" s="7">
        <v>2365527.0</v>
      </c>
      <c r="D253" s="7">
        <v>1.050804E7</v>
      </c>
      <c r="E253" s="7">
        <v>982197.0</v>
      </c>
      <c r="F253" s="7">
        <v>970766.0</v>
      </c>
      <c r="G253" s="7">
        <v>1655621.0</v>
      </c>
      <c r="H253" s="7">
        <v>4.213296333E9</v>
      </c>
      <c r="I253" s="7">
        <v>33984.0</v>
      </c>
      <c r="J253" s="7">
        <v>26421.0</v>
      </c>
      <c r="K253" s="7">
        <v>7563.0</v>
      </c>
      <c r="L253" s="7">
        <v>15.69</v>
      </c>
      <c r="M253" s="7">
        <v>-0.06</v>
      </c>
      <c r="N253" s="7">
        <v>9363.0</v>
      </c>
      <c r="O253" s="7">
        <v>301003.0</v>
      </c>
      <c r="P253" s="7" t="s">
        <v>410</v>
      </c>
      <c r="Q253" s="7">
        <v>3707.64</v>
      </c>
      <c r="R253" s="3">
        <f t="shared" si="1"/>
        <v>3707.64</v>
      </c>
      <c r="S253" s="9">
        <v>3170.36</v>
      </c>
      <c r="T253" s="10">
        <v>3170.36</v>
      </c>
      <c r="V253" s="5">
        <f t="shared" si="2"/>
        <v>-537.28</v>
      </c>
    </row>
    <row r="254" ht="22.5" customHeight="1">
      <c r="B254" s="7" t="s">
        <v>211</v>
      </c>
      <c r="C254" s="7">
        <v>1046.0</v>
      </c>
      <c r="D254" s="7">
        <v>22804.0</v>
      </c>
      <c r="E254" s="7">
        <v>8367779.0</v>
      </c>
      <c r="F254" s="7">
        <v>8306899.0</v>
      </c>
      <c r="G254" s="7">
        <v>1.5667013E7</v>
      </c>
      <c r="H254" s="7">
        <v>1.168511241E9</v>
      </c>
      <c r="I254" s="7">
        <v>563908.0</v>
      </c>
      <c r="J254" s="7">
        <v>521489.0</v>
      </c>
      <c r="K254" s="7">
        <v>42419.0</v>
      </c>
      <c r="L254" s="7">
        <v>28.54</v>
      </c>
      <c r="M254" s="7">
        <v>-0.07</v>
      </c>
      <c r="N254" s="7">
        <v>50247.0</v>
      </c>
      <c r="O254" s="7">
        <v>4180795.0</v>
      </c>
      <c r="P254" s="7" t="s">
        <v>409</v>
      </c>
      <c r="Q254" s="7">
        <v>3848.96</v>
      </c>
      <c r="R254" s="3">
        <f t="shared" si="1"/>
        <v>3848.96</v>
      </c>
      <c r="S254" s="9">
        <v>5004.0</v>
      </c>
      <c r="T254" s="10">
        <v>10000.0</v>
      </c>
      <c r="V254" s="5">
        <f t="shared" si="2"/>
        <v>6151.04</v>
      </c>
    </row>
    <row r="255" ht="22.5" customHeight="1">
      <c r="B255" s="7" t="s">
        <v>156</v>
      </c>
      <c r="C255" s="7">
        <v>752.0</v>
      </c>
      <c r="D255" s="7">
        <v>27325.0</v>
      </c>
      <c r="E255" s="7">
        <v>2.305215E7</v>
      </c>
      <c r="F255" s="7">
        <v>2.2452221E7</v>
      </c>
      <c r="G255" s="7">
        <v>4.2709932E7</v>
      </c>
      <c r="H255" s="7">
        <v>1.205895922E9</v>
      </c>
      <c r="I255" s="7">
        <v>903357.0</v>
      </c>
      <c r="J255" s="7">
        <v>784887.0</v>
      </c>
      <c r="K255" s="7">
        <v>118470.0</v>
      </c>
      <c r="L255" s="7">
        <v>43.17</v>
      </c>
      <c r="M255" s="7">
        <v>-0.07</v>
      </c>
      <c r="N255" s="7">
        <v>149434.0</v>
      </c>
      <c r="O255" s="7">
        <v>1.107424E7</v>
      </c>
      <c r="P255" s="7" t="s">
        <v>409</v>
      </c>
      <c r="Q255" s="7">
        <v>3889.23</v>
      </c>
      <c r="R255" s="3">
        <f t="shared" si="1"/>
        <v>3889.23</v>
      </c>
      <c r="S255" s="9">
        <v>1357.3</v>
      </c>
      <c r="T255" s="10">
        <v>1357.3</v>
      </c>
      <c r="V255" s="5">
        <f t="shared" si="2"/>
        <v>-2531.93</v>
      </c>
    </row>
    <row r="256" ht="22.5" customHeight="1">
      <c r="B256" s="7" t="s">
        <v>221</v>
      </c>
      <c r="C256" s="7">
        <v>2425.0</v>
      </c>
      <c r="D256" s="7">
        <v>23064.0</v>
      </c>
      <c r="E256" s="7">
        <v>2.0240553E7</v>
      </c>
      <c r="F256" s="7">
        <v>2.0217738E7</v>
      </c>
      <c r="G256" s="7">
        <v>2.1504224E7</v>
      </c>
      <c r="H256" s="7">
        <v>2.008506546E9</v>
      </c>
      <c r="I256" s="7">
        <v>860744.0</v>
      </c>
      <c r="J256" s="7">
        <v>646726.0</v>
      </c>
      <c r="K256" s="7">
        <v>214018.0</v>
      </c>
      <c r="L256" s="7">
        <v>19.63</v>
      </c>
      <c r="M256" s="7">
        <v>-0.01</v>
      </c>
      <c r="N256" s="7">
        <v>241237.0</v>
      </c>
      <c r="O256" s="7">
        <v>7610324.0</v>
      </c>
      <c r="P256" s="7" t="s">
        <v>410</v>
      </c>
      <c r="Q256" s="7">
        <v>3912.88</v>
      </c>
      <c r="R256" s="3">
        <f t="shared" si="1"/>
        <v>3912.88</v>
      </c>
      <c r="S256" s="9">
        <v>1915.82</v>
      </c>
      <c r="T256" s="10">
        <v>1915.82</v>
      </c>
      <c r="V256" s="5">
        <f t="shared" si="2"/>
        <v>-1997.06</v>
      </c>
    </row>
    <row r="257" ht="22.5" customHeight="1">
      <c r="B257" s="7" t="s">
        <v>229</v>
      </c>
      <c r="C257" s="7">
        <v>2722.0</v>
      </c>
      <c r="D257" s="7">
        <v>11400.0</v>
      </c>
      <c r="E257" s="7">
        <v>8794408.0</v>
      </c>
      <c r="F257" s="7">
        <v>8670293.0</v>
      </c>
      <c r="G257" s="7">
        <v>1.7289986E7</v>
      </c>
      <c r="H257" s="7">
        <v>1.022362579E9</v>
      </c>
      <c r="I257" s="7">
        <v>527278.0</v>
      </c>
      <c r="J257" s="7">
        <v>489806.0</v>
      </c>
      <c r="K257" s="7">
        <v>37472.0</v>
      </c>
      <c r="L257" s="7">
        <v>38.38</v>
      </c>
      <c r="M257" s="7">
        <v>-0.08</v>
      </c>
      <c r="N257" s="7">
        <v>46903.0</v>
      </c>
      <c r="O257" s="7">
        <v>4280742.0</v>
      </c>
      <c r="P257" s="7" t="s">
        <v>409</v>
      </c>
      <c r="Q257" s="7">
        <v>4127.58</v>
      </c>
      <c r="R257" s="3">
        <f t="shared" si="1"/>
        <v>4127.58</v>
      </c>
      <c r="S257" s="9">
        <v>2906.37</v>
      </c>
      <c r="T257" s="10">
        <v>2906.37</v>
      </c>
      <c r="V257" s="5">
        <f t="shared" si="2"/>
        <v>-1221.21</v>
      </c>
    </row>
    <row r="258" ht="22.5" customHeight="1">
      <c r="B258" s="7" t="s">
        <v>256</v>
      </c>
      <c r="C258" s="7">
        <v>63268.0</v>
      </c>
      <c r="D258" s="7">
        <v>374457.0</v>
      </c>
      <c r="E258" s="7">
        <v>1.1571051E7</v>
      </c>
      <c r="F258" s="7">
        <v>1.1318306E7</v>
      </c>
      <c r="G258" s="7">
        <v>3.9487608E7</v>
      </c>
      <c r="H258" s="7">
        <v>3.251898531E9</v>
      </c>
      <c r="I258" s="7">
        <v>551977.0</v>
      </c>
      <c r="J258" s="7">
        <v>501405.0</v>
      </c>
      <c r="K258" s="7">
        <v>50572.0</v>
      </c>
      <c r="L258" s="7">
        <v>57.68</v>
      </c>
      <c r="M258" s="7">
        <v>-0.11</v>
      </c>
      <c r="N258" s="7">
        <v>68539.0</v>
      </c>
      <c r="O258" s="7">
        <v>5971662.0</v>
      </c>
      <c r="P258" s="7" t="s">
        <v>409</v>
      </c>
      <c r="Q258" s="7">
        <v>4213.87</v>
      </c>
      <c r="R258" s="3">
        <f t="shared" si="1"/>
        <v>4213.87</v>
      </c>
      <c r="S258" s="9">
        <v>4987.5</v>
      </c>
      <c r="T258" s="10">
        <v>10000.0</v>
      </c>
      <c r="V258" s="5">
        <f t="shared" si="2"/>
        <v>5786.13</v>
      </c>
    </row>
    <row r="259" ht="22.5" customHeight="1">
      <c r="B259" s="7" t="s">
        <v>146</v>
      </c>
      <c r="C259" s="7">
        <v>520.0</v>
      </c>
      <c r="D259" s="7">
        <v>5763.0</v>
      </c>
      <c r="E259" s="7">
        <v>1.0453927E7</v>
      </c>
      <c r="F259" s="7">
        <v>1.0433377E7</v>
      </c>
      <c r="G259" s="7">
        <v>1.3228296E7</v>
      </c>
      <c r="H259" s="7">
        <v>4.06713995E8</v>
      </c>
      <c r="I259" s="7">
        <v>545654.0</v>
      </c>
      <c r="J259" s="7">
        <v>463041.0</v>
      </c>
      <c r="K259" s="7">
        <v>82613.0</v>
      </c>
      <c r="L259" s="7">
        <v>26.14</v>
      </c>
      <c r="M259" s="7">
        <v>-0.03</v>
      </c>
      <c r="N259" s="7">
        <v>95677.0</v>
      </c>
      <c r="O259" s="7">
        <v>4221994.0</v>
      </c>
      <c r="P259" s="7" t="s">
        <v>409</v>
      </c>
      <c r="Q259" s="7">
        <v>4301.7</v>
      </c>
      <c r="R259" s="3">
        <f t="shared" si="1"/>
        <v>4301.7</v>
      </c>
      <c r="S259" s="9">
        <v>176.07</v>
      </c>
      <c r="T259" s="10">
        <v>176.07</v>
      </c>
      <c r="V259" s="5">
        <f t="shared" si="2"/>
        <v>-4125.63</v>
      </c>
    </row>
    <row r="260" ht="22.5" customHeight="1">
      <c r="B260" s="7" t="s">
        <v>276</v>
      </c>
      <c r="C260" s="7">
        <v>293123.0</v>
      </c>
      <c r="D260" s="7">
        <v>943087.0</v>
      </c>
      <c r="E260" s="7">
        <v>7122494.0</v>
      </c>
      <c r="F260" s="7">
        <v>6915526.0</v>
      </c>
      <c r="G260" s="7">
        <v>4.555581E7</v>
      </c>
      <c r="H260" s="7">
        <v>1.268141671E10</v>
      </c>
      <c r="I260" s="7">
        <v>323097.0</v>
      </c>
      <c r="J260" s="7">
        <v>293255.0</v>
      </c>
      <c r="K260" s="7">
        <v>29842.0</v>
      </c>
      <c r="L260" s="7">
        <v>60.07</v>
      </c>
      <c r="M260" s="7">
        <v>-0.16</v>
      </c>
      <c r="N260" s="7">
        <v>37580.0</v>
      </c>
      <c r="O260" s="7">
        <v>1.1472168E7</v>
      </c>
      <c r="P260" s="7" t="s">
        <v>409</v>
      </c>
      <c r="Q260" s="7">
        <v>4423.97</v>
      </c>
      <c r="R260" s="3">
        <f t="shared" si="1"/>
        <v>4423.97</v>
      </c>
      <c r="S260" s="9">
        <v>4813.15</v>
      </c>
      <c r="T260" s="10">
        <v>10000.0</v>
      </c>
      <c r="V260" s="5">
        <f t="shared" si="2"/>
        <v>5576.03</v>
      </c>
    </row>
    <row r="261" ht="22.5" customHeight="1">
      <c r="B261" s="7" t="s">
        <v>225</v>
      </c>
      <c r="C261" s="7">
        <v>2721.0</v>
      </c>
      <c r="D261" s="7">
        <v>11396.0</v>
      </c>
      <c r="E261" s="7">
        <v>8178346.0</v>
      </c>
      <c r="F261" s="7">
        <v>8058542.0</v>
      </c>
      <c r="G261" s="7">
        <v>1.657759E7</v>
      </c>
      <c r="H261" s="7">
        <v>9.68226909E8</v>
      </c>
      <c r="I261" s="7">
        <v>524135.0</v>
      </c>
      <c r="J261" s="7">
        <v>493928.0</v>
      </c>
      <c r="K261" s="7">
        <v>30207.0</v>
      </c>
      <c r="L261" s="7">
        <v>38.44</v>
      </c>
      <c r="M261" s="7">
        <v>-0.09</v>
      </c>
      <c r="N261" s="7">
        <v>37949.0</v>
      </c>
      <c r="O261" s="7">
        <v>4246562.0</v>
      </c>
      <c r="P261" s="7" t="s">
        <v>409</v>
      </c>
      <c r="Q261" s="7">
        <v>4510.09</v>
      </c>
      <c r="R261" s="3">
        <f t="shared" si="1"/>
        <v>4510.09</v>
      </c>
      <c r="S261" s="9">
        <v>1847.59</v>
      </c>
      <c r="T261" s="10">
        <v>1847.59</v>
      </c>
      <c r="V261" s="5">
        <f t="shared" si="2"/>
        <v>-2662.5</v>
      </c>
    </row>
    <row r="262" ht="22.5" customHeight="1">
      <c r="B262" s="7" t="s">
        <v>392</v>
      </c>
      <c r="C262" s="7">
        <v>3515712.0</v>
      </c>
      <c r="D262" s="7">
        <v>7543854.0</v>
      </c>
      <c r="E262" s="7">
        <v>3646504.0</v>
      </c>
      <c r="F262" s="7">
        <v>3241159.0</v>
      </c>
      <c r="G262" s="7">
        <v>5.0291035E7</v>
      </c>
      <c r="H262" s="7">
        <v>4.860896251E9</v>
      </c>
      <c r="I262" s="7">
        <v>70257.0</v>
      </c>
      <c r="J262" s="7">
        <v>52525.0</v>
      </c>
      <c r="K262" s="7">
        <v>17732.0</v>
      </c>
      <c r="L262" s="7">
        <v>586.95</v>
      </c>
      <c r="M262" s="7">
        <v>-0.08</v>
      </c>
      <c r="N262" s="7">
        <v>24302.0</v>
      </c>
      <c r="O262" s="7">
        <v>5004882.0</v>
      </c>
      <c r="P262" s="7" t="s">
        <v>409</v>
      </c>
      <c r="Q262" s="7">
        <v>4690.19</v>
      </c>
      <c r="R262" s="3">
        <f t="shared" si="1"/>
        <v>4690.19</v>
      </c>
      <c r="S262" s="9">
        <v>4963.29</v>
      </c>
      <c r="T262" s="10">
        <v>10000.0</v>
      </c>
      <c r="V262" s="5">
        <f t="shared" si="2"/>
        <v>5309.81</v>
      </c>
    </row>
    <row r="263" ht="22.5" customHeight="1">
      <c r="B263" s="7" t="s">
        <v>34</v>
      </c>
      <c r="C263" s="7">
        <v>17349.0</v>
      </c>
      <c r="D263" s="7">
        <v>51071.0</v>
      </c>
      <c r="E263" s="7">
        <v>2.3207429E7</v>
      </c>
      <c r="F263" s="7">
        <v>2.3019742E7</v>
      </c>
      <c r="G263" s="7">
        <v>5.4415989E7</v>
      </c>
      <c r="H263" s="7">
        <v>3.818562805E9</v>
      </c>
      <c r="I263" s="7">
        <v>1078722.0</v>
      </c>
      <c r="J263" s="7">
        <v>908163.0</v>
      </c>
      <c r="K263" s="7">
        <v>170559.0</v>
      </c>
      <c r="L263" s="7">
        <v>42.22</v>
      </c>
      <c r="M263" s="7">
        <v>-0.06</v>
      </c>
      <c r="N263" s="7">
        <v>199589.0</v>
      </c>
      <c r="O263" s="7">
        <v>1.1402561E7</v>
      </c>
      <c r="P263" s="7" t="s">
        <v>410</v>
      </c>
      <c r="Q263" s="7">
        <v>4794.21</v>
      </c>
      <c r="R263" s="3">
        <f t="shared" si="1"/>
        <v>4794.21</v>
      </c>
      <c r="S263" s="9">
        <v>26.35</v>
      </c>
      <c r="T263" s="10">
        <v>26.35</v>
      </c>
      <c r="V263" s="5">
        <f t="shared" si="2"/>
        <v>-4767.86</v>
      </c>
    </row>
    <row r="264" ht="22.5" customHeight="1">
      <c r="B264" s="7" t="s">
        <v>385</v>
      </c>
      <c r="C264" s="7">
        <v>51138.0</v>
      </c>
      <c r="D264" s="7">
        <v>153348.0</v>
      </c>
      <c r="E264" s="7">
        <v>2.3814798E7</v>
      </c>
      <c r="F264" s="7">
        <v>2.3477966E7</v>
      </c>
      <c r="G264" s="7">
        <v>3.8605699E7</v>
      </c>
      <c r="H264" s="7">
        <v>2.526679782E9</v>
      </c>
      <c r="I264" s="7">
        <v>1041443.0</v>
      </c>
      <c r="J264" s="7">
        <v>907071.0</v>
      </c>
      <c r="K264" s="7">
        <v>134372.0</v>
      </c>
      <c r="L264" s="7">
        <v>24.87</v>
      </c>
      <c r="M264" s="7">
        <v>-0.06</v>
      </c>
      <c r="N264" s="7">
        <v>164692.0</v>
      </c>
      <c r="O264" s="7">
        <v>1.1082543E7</v>
      </c>
      <c r="P264" s="7" t="s">
        <v>410</v>
      </c>
      <c r="Q264" s="7">
        <v>4861.6</v>
      </c>
      <c r="R264" s="3">
        <f t="shared" si="1"/>
        <v>4861.6</v>
      </c>
      <c r="S264" s="9">
        <v>4132.46</v>
      </c>
      <c r="T264" s="10">
        <v>4132.46</v>
      </c>
      <c r="V264" s="5">
        <f t="shared" si="2"/>
        <v>-729.14</v>
      </c>
    </row>
    <row r="265" ht="22.5" customHeight="1">
      <c r="B265" s="7" t="s">
        <v>251</v>
      </c>
      <c r="C265" s="7">
        <v>772.0</v>
      </c>
      <c r="D265" s="7">
        <v>9601.0</v>
      </c>
      <c r="E265" s="7">
        <v>1.3354654E7</v>
      </c>
      <c r="F265" s="7">
        <v>1.331666E7</v>
      </c>
      <c r="G265" s="7">
        <v>1.5415911E7</v>
      </c>
      <c r="H265" s="7">
        <v>1.472949506E9</v>
      </c>
      <c r="I265" s="7">
        <v>462379.0</v>
      </c>
      <c r="J265" s="7">
        <v>334345.0</v>
      </c>
      <c r="K265" s="7">
        <v>128034.0</v>
      </c>
      <c r="L265" s="7">
        <v>24.34</v>
      </c>
      <c r="M265" s="7">
        <v>-0.02</v>
      </c>
      <c r="N265" s="7">
        <v>148709.0</v>
      </c>
      <c r="O265" s="7">
        <v>4573080.0</v>
      </c>
      <c r="P265" s="7" t="s">
        <v>410</v>
      </c>
      <c r="Q265" s="7">
        <v>4883.14</v>
      </c>
      <c r="R265" s="3">
        <f t="shared" si="1"/>
        <v>4883.14</v>
      </c>
      <c r="S265" s="9">
        <v>3803.19</v>
      </c>
      <c r="T265" s="10">
        <v>3803.19</v>
      </c>
      <c r="V265" s="5">
        <f t="shared" si="2"/>
        <v>-1079.95</v>
      </c>
    </row>
    <row r="266" ht="22.5" customHeight="1">
      <c r="B266" s="7" t="s">
        <v>267</v>
      </c>
      <c r="C266" s="7">
        <v>4288.0</v>
      </c>
      <c r="D266" s="7">
        <v>76698.0</v>
      </c>
      <c r="E266" s="7">
        <v>1.8308711E7</v>
      </c>
      <c r="F266" s="7">
        <v>1.7805419E7</v>
      </c>
      <c r="G266" s="7">
        <v>2.33113705E8</v>
      </c>
      <c r="H266" s="7">
        <v>2.498831463E9</v>
      </c>
      <c r="I266" s="7">
        <v>610758.0</v>
      </c>
      <c r="J266" s="7">
        <v>544231.0</v>
      </c>
      <c r="K266" s="7">
        <v>66527.0</v>
      </c>
      <c r="L266" s="7">
        <v>94.06</v>
      </c>
      <c r="M266" s="7">
        <v>-0.17</v>
      </c>
      <c r="N266" s="7">
        <v>99779.0</v>
      </c>
      <c r="O266" s="7">
        <v>2.9852692E7</v>
      </c>
      <c r="P266" s="7" t="s">
        <v>411</v>
      </c>
      <c r="Q266" s="7">
        <v>5003.82</v>
      </c>
      <c r="R266" s="3">
        <f t="shared" si="1"/>
        <v>10000</v>
      </c>
      <c r="S266" s="9">
        <v>5003.65</v>
      </c>
      <c r="T266" s="10">
        <v>10000.0</v>
      </c>
      <c r="V266" s="5">
        <f t="shared" si="2"/>
        <v>0</v>
      </c>
    </row>
    <row r="267" ht="22.5" customHeight="1">
      <c r="B267" s="7" t="s">
        <v>270</v>
      </c>
      <c r="C267" s="7">
        <v>4448.0</v>
      </c>
      <c r="D267" s="7">
        <v>80690.0</v>
      </c>
      <c r="E267" s="7">
        <v>1.7673874E7</v>
      </c>
      <c r="F267" s="7">
        <v>1.7213402E7</v>
      </c>
      <c r="G267" s="7">
        <v>1.87582175E8</v>
      </c>
      <c r="H267" s="7">
        <v>2.292739084E9</v>
      </c>
      <c r="I267" s="7">
        <v>562816.0</v>
      </c>
      <c r="J267" s="7">
        <v>493516.0</v>
      </c>
      <c r="K267" s="7">
        <v>69300.0</v>
      </c>
      <c r="L267" s="7">
        <v>95.59</v>
      </c>
      <c r="M267" s="7">
        <v>-0.15</v>
      </c>
      <c r="N267" s="7">
        <v>102429.0</v>
      </c>
      <c r="O267" s="7">
        <v>2.2470215E7</v>
      </c>
      <c r="P267" s="7" t="s">
        <v>411</v>
      </c>
      <c r="Q267" s="7">
        <v>5003.81</v>
      </c>
      <c r="R267" s="3">
        <f t="shared" si="1"/>
        <v>10000</v>
      </c>
      <c r="S267" s="9">
        <v>5003.58</v>
      </c>
      <c r="T267" s="10">
        <v>10000.0</v>
      </c>
      <c r="V267" s="5">
        <f t="shared" si="2"/>
        <v>0</v>
      </c>
    </row>
    <row r="268" ht="22.5" customHeight="1">
      <c r="B268" s="7" t="s">
        <v>271</v>
      </c>
      <c r="C268" s="7">
        <v>1176.0</v>
      </c>
      <c r="D268" s="7">
        <v>78498.0</v>
      </c>
      <c r="E268" s="7">
        <v>4.9650566E7</v>
      </c>
      <c r="F268" s="7">
        <v>4.8357286E7</v>
      </c>
      <c r="G268" s="7">
        <v>2.22204595E8</v>
      </c>
      <c r="H268" s="7">
        <v>1.411918355E9</v>
      </c>
      <c r="I268" s="7">
        <v>1078741.0</v>
      </c>
      <c r="J268" s="7">
        <v>917443.0</v>
      </c>
      <c r="K268" s="7">
        <v>161298.0</v>
      </c>
      <c r="L268" s="7">
        <v>60.46</v>
      </c>
      <c r="M268" s="7">
        <v>-0.09</v>
      </c>
      <c r="N268" s="7">
        <v>246263.0</v>
      </c>
      <c r="O268" s="7">
        <v>2.474317E7</v>
      </c>
      <c r="P268" s="7" t="s">
        <v>411</v>
      </c>
      <c r="Q268" s="7">
        <v>5003.84</v>
      </c>
      <c r="R268" s="3">
        <f t="shared" si="1"/>
        <v>10000</v>
      </c>
      <c r="S268" s="9">
        <v>5003.68</v>
      </c>
      <c r="T268" s="10">
        <v>10000.0</v>
      </c>
      <c r="V268" s="5">
        <f t="shared" si="2"/>
        <v>0</v>
      </c>
    </row>
    <row r="269" ht="22.5" customHeight="1">
      <c r="B269" s="7" t="s">
        <v>272</v>
      </c>
      <c r="C269" s="7">
        <v>1097.0</v>
      </c>
      <c r="D269" s="7">
        <v>23771.0</v>
      </c>
      <c r="E269" s="7">
        <v>8991606.0</v>
      </c>
      <c r="F269" s="7">
        <v>8913933.0</v>
      </c>
      <c r="G269" s="7">
        <v>1.819352E7</v>
      </c>
      <c r="H269" s="7">
        <v>1.206493069E9</v>
      </c>
      <c r="I269" s="7">
        <v>529353.0</v>
      </c>
      <c r="J269" s="7">
        <v>476551.0</v>
      </c>
      <c r="K269" s="7">
        <v>52802.0</v>
      </c>
      <c r="L269" s="7">
        <v>33.57</v>
      </c>
      <c r="M269" s="7">
        <v>-0.07</v>
      </c>
      <c r="N269" s="7">
        <v>62259.0</v>
      </c>
      <c r="O269" s="7">
        <v>4355531.0</v>
      </c>
      <c r="P269" s="7" t="s">
        <v>411</v>
      </c>
      <c r="Q269" s="7">
        <v>5003.8</v>
      </c>
      <c r="R269" s="3">
        <f t="shared" si="1"/>
        <v>10000</v>
      </c>
      <c r="S269" s="9">
        <v>5003.63</v>
      </c>
      <c r="T269" s="10">
        <v>10000.0</v>
      </c>
      <c r="V269" s="5">
        <f t="shared" si="2"/>
        <v>0</v>
      </c>
    </row>
    <row r="270" ht="22.5" customHeight="1">
      <c r="B270" s="7" t="s">
        <v>237</v>
      </c>
      <c r="C270" s="7">
        <v>15320.0</v>
      </c>
      <c r="D270" s="7">
        <v>245163.0</v>
      </c>
      <c r="E270" s="7">
        <v>1.205881E7</v>
      </c>
      <c r="F270" s="7">
        <v>1.1860387E7</v>
      </c>
      <c r="G270" s="7">
        <v>3.6775497E7</v>
      </c>
      <c r="H270" s="7">
        <v>4.27530484E9</v>
      </c>
      <c r="I270" s="7">
        <v>540204.0</v>
      </c>
      <c r="J270" s="7">
        <v>474247.0</v>
      </c>
      <c r="K270" s="7">
        <v>65957.0</v>
      </c>
      <c r="L270" s="7">
        <v>63.22</v>
      </c>
      <c r="M270" s="7">
        <v>-0.09</v>
      </c>
      <c r="N270" s="7">
        <v>84922.0</v>
      </c>
      <c r="O270" s="7">
        <v>5168427.0</v>
      </c>
      <c r="P270" s="7" t="s">
        <v>411</v>
      </c>
      <c r="Q270" s="7">
        <v>5003.72</v>
      </c>
      <c r="R270" s="3">
        <f t="shared" si="1"/>
        <v>10000</v>
      </c>
      <c r="S270" s="9">
        <v>5003.8</v>
      </c>
      <c r="T270" s="10">
        <v>10000.0</v>
      </c>
      <c r="V270" s="5">
        <f t="shared" si="2"/>
        <v>0</v>
      </c>
    </row>
    <row r="271" ht="22.5" customHeight="1">
      <c r="B271" s="7" t="s">
        <v>273</v>
      </c>
      <c r="C271" s="7">
        <v>1164.0</v>
      </c>
      <c r="D271" s="7">
        <v>28980.0</v>
      </c>
      <c r="E271" s="7">
        <v>1.0871906E7</v>
      </c>
      <c r="F271" s="7">
        <v>1.0781123E7</v>
      </c>
      <c r="G271" s="7">
        <v>2.1374645E7</v>
      </c>
      <c r="H271" s="7">
        <v>1.385063219E9</v>
      </c>
      <c r="I271" s="7">
        <v>556595.0</v>
      </c>
      <c r="J271" s="7">
        <v>477411.0</v>
      </c>
      <c r="K271" s="7">
        <v>79184.0</v>
      </c>
      <c r="L271" s="7">
        <v>33.58</v>
      </c>
      <c r="M271" s="7">
        <v>-0.07</v>
      </c>
      <c r="N271" s="7">
        <v>93744.0</v>
      </c>
      <c r="O271" s="7">
        <v>4400783.0</v>
      </c>
      <c r="P271" s="7" t="s">
        <v>411</v>
      </c>
      <c r="Q271" s="7">
        <v>5003.84</v>
      </c>
      <c r="R271" s="3">
        <f t="shared" si="1"/>
        <v>10000</v>
      </c>
      <c r="S271" s="9">
        <v>5003.79</v>
      </c>
      <c r="T271" s="10">
        <v>10000.0</v>
      </c>
      <c r="V271" s="5">
        <f t="shared" si="2"/>
        <v>0</v>
      </c>
    </row>
    <row r="272" ht="22.5" customHeight="1">
      <c r="B272" s="7" t="s">
        <v>238</v>
      </c>
      <c r="C272" s="7">
        <v>14665.0</v>
      </c>
      <c r="D272" s="7">
        <v>34976.0</v>
      </c>
      <c r="E272" s="7">
        <v>5.8388995E7</v>
      </c>
      <c r="F272" s="7">
        <v>5.1695936E7</v>
      </c>
      <c r="G272" s="7">
        <v>4.11382746E8</v>
      </c>
      <c r="H272" s="7">
        <v>3.243386695E9</v>
      </c>
      <c r="I272" s="7">
        <v>1068776.0</v>
      </c>
      <c r="J272" s="7">
        <v>440518.0</v>
      </c>
      <c r="K272" s="7">
        <v>628258.0</v>
      </c>
      <c r="L272" s="7">
        <v>44.18</v>
      </c>
      <c r="M272" s="7">
        <v>-0.05</v>
      </c>
      <c r="N272" s="7">
        <v>716640.0</v>
      </c>
      <c r="O272" s="7">
        <v>4.1599768E7</v>
      </c>
      <c r="P272" s="7" t="s">
        <v>411</v>
      </c>
      <c r="Q272" s="7">
        <v>5003.81</v>
      </c>
      <c r="R272" s="3">
        <f t="shared" si="1"/>
        <v>10000</v>
      </c>
      <c r="S272" s="9">
        <v>2152.59</v>
      </c>
      <c r="T272" s="10">
        <v>2152.59</v>
      </c>
      <c r="V272" s="5">
        <f t="shared" si="2"/>
        <v>-7847.41</v>
      </c>
    </row>
    <row r="273" ht="22.5" customHeight="1">
      <c r="B273" s="7" t="s">
        <v>274</v>
      </c>
      <c r="C273" s="7">
        <v>520.0</v>
      </c>
      <c r="D273" s="7">
        <v>5761.0</v>
      </c>
      <c r="E273" s="7">
        <v>1.1736177E7</v>
      </c>
      <c r="F273" s="7">
        <v>1.1712226E7</v>
      </c>
      <c r="G273" s="7">
        <v>1.4512172E7</v>
      </c>
      <c r="H273" s="7">
        <v>3.74629166E8</v>
      </c>
      <c r="I273" s="7">
        <v>549653.0</v>
      </c>
      <c r="J273" s="7">
        <v>448564.0</v>
      </c>
      <c r="K273" s="7">
        <v>101089.0</v>
      </c>
      <c r="L273" s="7">
        <v>25.95</v>
      </c>
      <c r="M273" s="7">
        <v>-0.02</v>
      </c>
      <c r="N273" s="7">
        <v>117608.0</v>
      </c>
      <c r="O273" s="7">
        <v>4269040.0</v>
      </c>
      <c r="P273" s="7" t="s">
        <v>411</v>
      </c>
      <c r="Q273" s="7">
        <v>5003.78</v>
      </c>
      <c r="R273" s="3">
        <f t="shared" si="1"/>
        <v>10000</v>
      </c>
      <c r="S273" s="9">
        <v>5003.57</v>
      </c>
      <c r="T273" s="10">
        <v>10000.0</v>
      </c>
      <c r="V273" s="5">
        <f t="shared" si="2"/>
        <v>0</v>
      </c>
    </row>
    <row r="274" ht="22.5" customHeight="1">
      <c r="B274" s="7" t="s">
        <v>275</v>
      </c>
      <c r="C274" s="7">
        <v>422649.0</v>
      </c>
      <c r="D274" s="7">
        <v>1265651.0</v>
      </c>
      <c r="E274" s="7">
        <v>3101900.0</v>
      </c>
      <c r="F274" s="7">
        <v>2990915.0</v>
      </c>
      <c r="G274" s="7">
        <v>1.8178256E7</v>
      </c>
      <c r="H274" s="7">
        <v>1.17352268E10</v>
      </c>
      <c r="I274" s="7">
        <v>119924.0</v>
      </c>
      <c r="J274" s="7">
        <v>101544.0</v>
      </c>
      <c r="K274" s="7">
        <v>18380.0</v>
      </c>
      <c r="L274" s="7">
        <v>103.59</v>
      </c>
      <c r="M274" s="7">
        <v>-0.14</v>
      </c>
      <c r="N274" s="7">
        <v>23319.0</v>
      </c>
      <c r="O274" s="7">
        <v>3915197.0</v>
      </c>
      <c r="P274" s="7" t="s">
        <v>411</v>
      </c>
      <c r="Q274" s="7">
        <v>5003.83</v>
      </c>
      <c r="R274" s="3">
        <f t="shared" si="1"/>
        <v>10000</v>
      </c>
      <c r="S274" s="9">
        <v>4786.83</v>
      </c>
      <c r="T274" s="10">
        <v>4786.83</v>
      </c>
      <c r="V274" s="5">
        <f t="shared" si="2"/>
        <v>-5213.17</v>
      </c>
    </row>
    <row r="275" ht="22.5" customHeight="1">
      <c r="B275" s="7" t="s">
        <v>277</v>
      </c>
      <c r="C275" s="7">
        <v>21734.0</v>
      </c>
      <c r="D275" s="7">
        <v>78990.0</v>
      </c>
      <c r="E275" s="7">
        <v>1.9188064E7</v>
      </c>
      <c r="F275" s="7">
        <v>1.8913552E7</v>
      </c>
      <c r="G275" s="7">
        <v>7.1091008E7</v>
      </c>
      <c r="H275" s="7">
        <v>3.351224193E9</v>
      </c>
      <c r="I275" s="7">
        <v>772497.0</v>
      </c>
      <c r="J275" s="7">
        <v>679132.0</v>
      </c>
      <c r="K275" s="7">
        <v>93365.0</v>
      </c>
      <c r="L275" s="7">
        <v>53.59</v>
      </c>
      <c r="M275" s="7">
        <v>-0.1</v>
      </c>
      <c r="N275" s="7">
        <v>125448.0</v>
      </c>
      <c r="O275" s="7">
        <v>9335401.0</v>
      </c>
      <c r="P275" s="7" t="s">
        <v>411</v>
      </c>
      <c r="Q275" s="7">
        <v>5003.82</v>
      </c>
      <c r="R275" s="3">
        <f t="shared" si="1"/>
        <v>10000</v>
      </c>
      <c r="S275" s="9">
        <v>5003.8</v>
      </c>
      <c r="T275" s="10">
        <v>10000.0</v>
      </c>
      <c r="V275" s="5">
        <f t="shared" si="2"/>
        <v>0</v>
      </c>
    </row>
    <row r="276" ht="22.5" customHeight="1">
      <c r="B276" s="7" t="s">
        <v>278</v>
      </c>
      <c r="C276" s="7">
        <v>63268.0</v>
      </c>
      <c r="D276" s="7">
        <v>396114.0</v>
      </c>
      <c r="E276" s="7">
        <v>1.4294846E7</v>
      </c>
      <c r="F276" s="7">
        <v>1.3989949E7</v>
      </c>
      <c r="G276" s="7">
        <v>5.3943966E7</v>
      </c>
      <c r="H276" s="7">
        <v>3.684407644E9</v>
      </c>
      <c r="I276" s="7">
        <v>591495.0</v>
      </c>
      <c r="J276" s="7">
        <v>526067.0</v>
      </c>
      <c r="K276" s="7">
        <v>65428.0</v>
      </c>
      <c r="L276" s="7">
        <v>55.58</v>
      </c>
      <c r="M276" s="7">
        <v>-0.11</v>
      </c>
      <c r="N276" s="7">
        <v>91733.0</v>
      </c>
      <c r="O276" s="7">
        <v>6345929.0</v>
      </c>
      <c r="P276" s="7" t="s">
        <v>411</v>
      </c>
      <c r="Q276" s="7">
        <v>5003.81</v>
      </c>
      <c r="R276" s="3">
        <f t="shared" si="1"/>
        <v>10000</v>
      </c>
      <c r="S276" s="9">
        <v>5003.84</v>
      </c>
      <c r="T276" s="10">
        <v>10000.0</v>
      </c>
      <c r="V276" s="5">
        <f t="shared" si="2"/>
        <v>0</v>
      </c>
    </row>
    <row r="277" ht="22.5" customHeight="1">
      <c r="B277" s="7" t="s">
        <v>279</v>
      </c>
      <c r="C277" s="7">
        <v>68940.0</v>
      </c>
      <c r="D277" s="7">
        <v>327952.0</v>
      </c>
      <c r="E277" s="7">
        <v>1.5155667E7</v>
      </c>
      <c r="F277" s="7">
        <v>1.483463E7</v>
      </c>
      <c r="G277" s="7">
        <v>3.7857912E7</v>
      </c>
      <c r="H277" s="7">
        <v>4.818212257E9</v>
      </c>
      <c r="I277" s="7">
        <v>512797.0</v>
      </c>
      <c r="J277" s="7">
        <v>428128.0</v>
      </c>
      <c r="K277" s="7">
        <v>84669.0</v>
      </c>
      <c r="L277" s="7">
        <v>59.51</v>
      </c>
      <c r="M277" s="7">
        <v>-0.09</v>
      </c>
      <c r="N277" s="7">
        <v>112974.0</v>
      </c>
      <c r="O277" s="7">
        <v>6011348.0</v>
      </c>
      <c r="P277" s="7" t="s">
        <v>411</v>
      </c>
      <c r="Q277" s="7">
        <v>5003.83</v>
      </c>
      <c r="R277" s="3">
        <f t="shared" si="1"/>
        <v>10000</v>
      </c>
      <c r="S277" s="9">
        <v>4999.78</v>
      </c>
      <c r="T277" s="10">
        <v>10000.0</v>
      </c>
      <c r="V277" s="5">
        <f t="shared" si="2"/>
        <v>0</v>
      </c>
    </row>
    <row r="278" ht="22.5" customHeight="1">
      <c r="B278" s="7" t="s">
        <v>247</v>
      </c>
      <c r="C278" s="7">
        <v>68940.0</v>
      </c>
      <c r="D278" s="7">
        <v>310541.0</v>
      </c>
      <c r="E278" s="7">
        <v>1.2055439E7</v>
      </c>
      <c r="F278" s="7">
        <v>1.1789653E7</v>
      </c>
      <c r="G278" s="7">
        <v>2.8590895E7</v>
      </c>
      <c r="H278" s="7">
        <v>4.991367972E9</v>
      </c>
      <c r="I278" s="7">
        <v>460678.0</v>
      </c>
      <c r="J278" s="7">
        <v>399737.0</v>
      </c>
      <c r="K278" s="7">
        <v>60941.0</v>
      </c>
      <c r="L278" s="7">
        <v>56.31</v>
      </c>
      <c r="M278" s="7">
        <v>-0.09</v>
      </c>
      <c r="N278" s="7">
        <v>80064.0</v>
      </c>
      <c r="O278" s="7">
        <v>5462255.0</v>
      </c>
      <c r="P278" s="7" t="s">
        <v>411</v>
      </c>
      <c r="Q278" s="7">
        <v>5003.05</v>
      </c>
      <c r="R278" s="3">
        <f t="shared" si="1"/>
        <v>10000</v>
      </c>
      <c r="S278" s="9">
        <v>2315.81</v>
      </c>
      <c r="T278" s="10">
        <v>2315.81</v>
      </c>
      <c r="V278" s="5">
        <f t="shared" si="2"/>
        <v>-7684.19</v>
      </c>
    </row>
    <row r="279" ht="22.5" customHeight="1">
      <c r="B279" s="7" t="s">
        <v>280</v>
      </c>
      <c r="C279" s="7">
        <v>69644.0</v>
      </c>
      <c r="D279" s="7">
        <v>368587.0</v>
      </c>
      <c r="E279" s="7">
        <v>1.2461377E7</v>
      </c>
      <c r="F279" s="7">
        <v>1.2173627E7</v>
      </c>
      <c r="G279" s="7">
        <v>3.2302825E7</v>
      </c>
      <c r="H279" s="7">
        <v>4.066296166E9</v>
      </c>
      <c r="I279" s="7">
        <v>444852.0</v>
      </c>
      <c r="J279" s="7">
        <v>387454.0</v>
      </c>
      <c r="K279" s="7">
        <v>57398.0</v>
      </c>
      <c r="L279" s="7">
        <v>80.93</v>
      </c>
      <c r="M279" s="7">
        <v>-0.09</v>
      </c>
      <c r="N279" s="7">
        <v>78003.0</v>
      </c>
      <c r="O279" s="7">
        <v>6201026.0</v>
      </c>
      <c r="P279" s="7" t="s">
        <v>411</v>
      </c>
      <c r="Q279" s="7">
        <v>5003.76</v>
      </c>
      <c r="R279" s="3">
        <f t="shared" si="1"/>
        <v>10000</v>
      </c>
      <c r="S279" s="9">
        <v>5003.84</v>
      </c>
      <c r="T279" s="10">
        <v>10000.0</v>
      </c>
      <c r="V279" s="5">
        <f t="shared" si="2"/>
        <v>0</v>
      </c>
    </row>
    <row r="280" ht="22.5" customHeight="1">
      <c r="B280" s="7" t="s">
        <v>219</v>
      </c>
      <c r="C280" s="7">
        <v>489685.0</v>
      </c>
      <c r="D280" s="7">
        <v>8702447.0</v>
      </c>
      <c r="E280" s="7">
        <v>1526487.0</v>
      </c>
      <c r="F280" s="7">
        <v>1189105.0</v>
      </c>
      <c r="G280" s="7">
        <v>1.7969449E7</v>
      </c>
      <c r="H280" s="7">
        <v>9.166293211E9</v>
      </c>
      <c r="I280" s="7">
        <v>27842.0</v>
      </c>
      <c r="J280" s="7">
        <v>22820.0</v>
      </c>
      <c r="K280" s="7">
        <v>5022.0</v>
      </c>
      <c r="L280" s="7">
        <v>1413.07</v>
      </c>
      <c r="M280" s="7">
        <v>-0.07</v>
      </c>
      <c r="N280" s="7">
        <v>6905.0</v>
      </c>
      <c r="O280" s="7">
        <v>2728777.0</v>
      </c>
      <c r="P280" s="7" t="s">
        <v>411</v>
      </c>
      <c r="Q280" s="7">
        <v>5003.51</v>
      </c>
      <c r="R280" s="3">
        <f t="shared" si="1"/>
        <v>10000</v>
      </c>
      <c r="S280" s="9">
        <v>1730.88</v>
      </c>
      <c r="T280" s="10">
        <v>1730.88</v>
      </c>
      <c r="V280" s="5">
        <f t="shared" si="2"/>
        <v>-8269.12</v>
      </c>
    </row>
    <row r="281" ht="22.5" customHeight="1">
      <c r="B281" s="7" t="s">
        <v>281</v>
      </c>
      <c r="C281" s="7">
        <v>8527.0</v>
      </c>
      <c r="D281" s="7">
        <v>25482.0</v>
      </c>
      <c r="E281" s="7">
        <v>1.3382961E7</v>
      </c>
      <c r="F281" s="7">
        <v>1.3382946E7</v>
      </c>
      <c r="G281" s="7">
        <v>1.3389722E7</v>
      </c>
      <c r="H281" s="7">
        <v>1.2277484015E10</v>
      </c>
      <c r="I281" s="7">
        <v>160062.0</v>
      </c>
      <c r="J281" s="7">
        <v>120644.0</v>
      </c>
      <c r="K281" s="7">
        <v>39418.0</v>
      </c>
      <c r="L281" s="7">
        <v>22.81</v>
      </c>
      <c r="M281" s="7">
        <v>0.0</v>
      </c>
      <c r="N281" s="7">
        <v>64087.0</v>
      </c>
      <c r="O281" s="7">
        <v>5113443.0</v>
      </c>
      <c r="P281" s="7" t="s">
        <v>411</v>
      </c>
      <c r="Q281" s="7">
        <v>5003.83</v>
      </c>
      <c r="R281" s="3">
        <f t="shared" si="1"/>
        <v>10000</v>
      </c>
      <c r="S281" s="9">
        <v>4999.41</v>
      </c>
      <c r="T281" s="10">
        <v>10000.0</v>
      </c>
      <c r="V281" s="5">
        <f t="shared" si="2"/>
        <v>0</v>
      </c>
    </row>
    <row r="282" ht="22.5" customHeight="1">
      <c r="B282" s="7" t="s">
        <v>244</v>
      </c>
      <c r="C282" s="7">
        <v>513.0</v>
      </c>
      <c r="D282" s="7">
        <v>1424.0</v>
      </c>
      <c r="E282" s="7">
        <v>2.8954337E7</v>
      </c>
      <c r="F282" s="7">
        <v>2.8789346E7</v>
      </c>
      <c r="G282" s="7">
        <v>3.3553524E7</v>
      </c>
      <c r="H282" s="7">
        <v>7.26425692E8</v>
      </c>
      <c r="I282" s="7">
        <v>1423911.0</v>
      </c>
      <c r="J282" s="7">
        <v>1265307.0</v>
      </c>
      <c r="K282" s="7">
        <v>158604.0</v>
      </c>
      <c r="L282" s="7">
        <v>21.25</v>
      </c>
      <c r="M282" s="7">
        <v>-0.03</v>
      </c>
      <c r="N282" s="7">
        <v>188019.0</v>
      </c>
      <c r="O282" s="7">
        <v>1.5042283E7</v>
      </c>
      <c r="P282" s="7" t="s">
        <v>411</v>
      </c>
      <c r="Q282" s="7">
        <v>5004.03</v>
      </c>
      <c r="R282" s="3">
        <f t="shared" si="1"/>
        <v>10000</v>
      </c>
      <c r="S282" s="9">
        <v>5003.8</v>
      </c>
      <c r="T282" s="10">
        <v>10000.0</v>
      </c>
      <c r="V282" s="5">
        <f t="shared" si="2"/>
        <v>0</v>
      </c>
    </row>
    <row r="283" ht="22.5" customHeight="1">
      <c r="B283" s="7" t="s">
        <v>283</v>
      </c>
      <c r="C283" s="7">
        <v>621.0</v>
      </c>
      <c r="D283" s="7">
        <v>1733.0</v>
      </c>
      <c r="E283" s="7">
        <v>2.8465401E7</v>
      </c>
      <c r="F283" s="7">
        <v>2.8318224E7</v>
      </c>
      <c r="G283" s="7">
        <v>3.7573703E7</v>
      </c>
      <c r="H283" s="7">
        <v>6.4380454E8</v>
      </c>
      <c r="I283" s="7">
        <v>1431514.0</v>
      </c>
      <c r="J283" s="7">
        <v>1278469.0</v>
      </c>
      <c r="K283" s="7">
        <v>153045.0</v>
      </c>
      <c r="L283" s="7">
        <v>24.15</v>
      </c>
      <c r="M283" s="7">
        <v>-0.04</v>
      </c>
      <c r="N283" s="7">
        <v>182694.0</v>
      </c>
      <c r="O283" s="7">
        <v>1.4523125E7</v>
      </c>
      <c r="P283" s="7" t="s">
        <v>411</v>
      </c>
      <c r="Q283" s="7">
        <v>5004.05</v>
      </c>
      <c r="R283" s="3">
        <f t="shared" si="1"/>
        <v>10000</v>
      </c>
      <c r="S283" s="9">
        <v>4998.84</v>
      </c>
      <c r="T283" s="10">
        <v>10000.0</v>
      </c>
      <c r="V283" s="5">
        <f t="shared" si="2"/>
        <v>0</v>
      </c>
    </row>
    <row r="284" ht="22.5" customHeight="1">
      <c r="B284" s="7" t="s">
        <v>284</v>
      </c>
      <c r="C284" s="7">
        <v>15232.0</v>
      </c>
      <c r="D284" s="7">
        <v>134756.0</v>
      </c>
      <c r="E284" s="7">
        <v>1.7511459E7</v>
      </c>
      <c r="F284" s="7">
        <v>1.7319561E7</v>
      </c>
      <c r="G284" s="7">
        <v>2.2770672E7</v>
      </c>
      <c r="H284" s="7">
        <v>9.422928597E9</v>
      </c>
      <c r="I284" s="7">
        <v>632178.0</v>
      </c>
      <c r="J284" s="7">
        <v>484099.0</v>
      </c>
      <c r="K284" s="7">
        <v>148079.0</v>
      </c>
      <c r="L284" s="7">
        <v>16.68</v>
      </c>
      <c r="M284" s="7">
        <v>-0.05</v>
      </c>
      <c r="N284" s="7">
        <v>177932.0</v>
      </c>
      <c r="O284" s="7">
        <v>5379744.0</v>
      </c>
      <c r="P284" s="7" t="s">
        <v>411</v>
      </c>
      <c r="Q284" s="7">
        <v>5004.03</v>
      </c>
      <c r="R284" s="3">
        <f t="shared" si="1"/>
        <v>10000</v>
      </c>
      <c r="S284" s="9">
        <v>5003.82</v>
      </c>
      <c r="T284" s="10">
        <v>10000.0</v>
      </c>
      <c r="V284" s="5">
        <f t="shared" si="2"/>
        <v>0</v>
      </c>
    </row>
    <row r="285" ht="22.5" customHeight="1">
      <c r="B285" s="7" t="s">
        <v>285</v>
      </c>
      <c r="C285" s="7">
        <v>4660.0</v>
      </c>
      <c r="D285" s="7">
        <v>13676.0</v>
      </c>
      <c r="E285" s="7">
        <v>1.7597047E7</v>
      </c>
      <c r="F285" s="7">
        <v>1.7487503E7</v>
      </c>
      <c r="G285" s="7">
        <v>2.1566485E7</v>
      </c>
      <c r="H285" s="7">
        <v>2.561958805E9</v>
      </c>
      <c r="I285" s="7">
        <v>684723.0</v>
      </c>
      <c r="J285" s="7">
        <v>535457.0</v>
      </c>
      <c r="K285" s="7">
        <v>149266.0</v>
      </c>
      <c r="L285" s="7">
        <v>45.5</v>
      </c>
      <c r="M285" s="7">
        <v>-0.02</v>
      </c>
      <c r="N285" s="7">
        <v>179078.0</v>
      </c>
      <c r="O285" s="7">
        <v>5282006.0</v>
      </c>
      <c r="P285" s="7" t="s">
        <v>411</v>
      </c>
      <c r="Q285" s="7">
        <v>5004.07</v>
      </c>
      <c r="R285" s="3">
        <f t="shared" si="1"/>
        <v>10000</v>
      </c>
      <c r="S285" s="9">
        <v>4998.87</v>
      </c>
      <c r="T285" s="10">
        <v>10000.0</v>
      </c>
      <c r="V285" s="5">
        <f t="shared" si="2"/>
        <v>0</v>
      </c>
    </row>
    <row r="286" ht="22.5" customHeight="1">
      <c r="B286" s="7" t="s">
        <v>286</v>
      </c>
      <c r="C286" s="7">
        <v>3633.0</v>
      </c>
      <c r="D286" s="7">
        <v>10625.0</v>
      </c>
      <c r="E286" s="7">
        <v>1.9020808E7</v>
      </c>
      <c r="F286" s="7">
        <v>1.8765351E7</v>
      </c>
      <c r="G286" s="7">
        <v>2.7115922E7</v>
      </c>
      <c r="H286" s="7">
        <v>3.792358087E9</v>
      </c>
      <c r="I286" s="7">
        <v>830212.0</v>
      </c>
      <c r="J286" s="7">
        <v>683248.0</v>
      </c>
      <c r="K286" s="7">
        <v>146964.0</v>
      </c>
      <c r="L286" s="7">
        <v>45.38</v>
      </c>
      <c r="M286" s="7">
        <v>-0.02</v>
      </c>
      <c r="N286" s="7">
        <v>176847.0</v>
      </c>
      <c r="O286" s="7">
        <v>6379764.0</v>
      </c>
      <c r="P286" s="7" t="s">
        <v>411</v>
      </c>
      <c r="Q286" s="7">
        <v>5004.06</v>
      </c>
      <c r="R286" s="3">
        <f t="shared" si="1"/>
        <v>10000</v>
      </c>
      <c r="S286" s="9">
        <v>5001.02</v>
      </c>
      <c r="T286" s="10">
        <v>10000.0</v>
      </c>
      <c r="V286" s="5">
        <f t="shared" si="2"/>
        <v>0</v>
      </c>
    </row>
    <row r="287" ht="22.5" customHeight="1">
      <c r="B287" s="7" t="s">
        <v>287</v>
      </c>
      <c r="C287" s="7">
        <v>97.0</v>
      </c>
      <c r="D287" s="7">
        <v>204.0</v>
      </c>
      <c r="E287" s="7">
        <v>3.0101744E7</v>
      </c>
      <c r="F287" s="7">
        <v>2.9885647E7</v>
      </c>
      <c r="G287" s="7">
        <v>3.5790238E7</v>
      </c>
      <c r="H287" s="7">
        <v>4.30003941E8</v>
      </c>
      <c r="I287" s="7">
        <v>1768546.0</v>
      </c>
      <c r="J287" s="7">
        <v>1615865.0</v>
      </c>
      <c r="K287" s="7">
        <v>152681.0</v>
      </c>
      <c r="L287" s="7">
        <v>18.59</v>
      </c>
      <c r="M287" s="7">
        <v>-0.03</v>
      </c>
      <c r="N287" s="7">
        <v>182327.0</v>
      </c>
      <c r="O287" s="7">
        <v>1.4880348E7</v>
      </c>
      <c r="P287" s="7" t="s">
        <v>411</v>
      </c>
      <c r="Q287" s="7">
        <v>5003.99</v>
      </c>
      <c r="R287" s="3">
        <f t="shared" si="1"/>
        <v>10000</v>
      </c>
      <c r="S287" s="9">
        <v>5003.8</v>
      </c>
      <c r="T287" s="10">
        <v>10000.0</v>
      </c>
      <c r="V287" s="5">
        <f t="shared" si="2"/>
        <v>0</v>
      </c>
    </row>
    <row r="288" ht="22.5" customHeight="1">
      <c r="B288" s="7" t="s">
        <v>288</v>
      </c>
      <c r="C288" s="7">
        <v>708290.0</v>
      </c>
      <c r="D288" s="7">
        <v>5425469.0</v>
      </c>
      <c r="E288" s="7">
        <v>3939614.0</v>
      </c>
      <c r="F288" s="7">
        <v>3768812.0</v>
      </c>
      <c r="G288" s="7">
        <v>5.1717319E7</v>
      </c>
      <c r="H288" s="7">
        <v>5.923146611E9</v>
      </c>
      <c r="I288" s="7">
        <v>104062.0</v>
      </c>
      <c r="J288" s="7">
        <v>91873.0</v>
      </c>
      <c r="K288" s="7">
        <v>12189.0</v>
      </c>
      <c r="L288" s="7">
        <v>222.71</v>
      </c>
      <c r="M288" s="7">
        <v>-0.16</v>
      </c>
      <c r="N288" s="7">
        <v>20157.0</v>
      </c>
      <c r="O288" s="7">
        <v>6596847.0</v>
      </c>
      <c r="P288" s="7" t="s">
        <v>411</v>
      </c>
      <c r="Q288" s="7">
        <v>5003.91</v>
      </c>
      <c r="R288" s="3">
        <f t="shared" si="1"/>
        <v>10000</v>
      </c>
      <c r="S288" s="9">
        <v>5000.16</v>
      </c>
      <c r="T288" s="10">
        <v>10000.0</v>
      </c>
      <c r="V288" s="5">
        <f t="shared" si="2"/>
        <v>0</v>
      </c>
    </row>
    <row r="289" ht="22.5" customHeight="1">
      <c r="B289" s="7" t="s">
        <v>289</v>
      </c>
      <c r="C289" s="7">
        <v>6154.0</v>
      </c>
      <c r="D289" s="7">
        <v>18364.0</v>
      </c>
      <c r="E289" s="7">
        <v>1.5601155E7</v>
      </c>
      <c r="F289" s="7">
        <v>1.5473574E7</v>
      </c>
      <c r="G289" s="7">
        <v>1.928491E7</v>
      </c>
      <c r="H289" s="7">
        <v>3.18217508E9</v>
      </c>
      <c r="I289" s="7">
        <v>657748.0</v>
      </c>
      <c r="J289" s="7">
        <v>516292.0</v>
      </c>
      <c r="K289" s="7">
        <v>141456.0</v>
      </c>
      <c r="L289" s="7">
        <v>51.52</v>
      </c>
      <c r="M289" s="7">
        <v>-0.02</v>
      </c>
      <c r="N289" s="7">
        <v>168965.0</v>
      </c>
      <c r="O289" s="7">
        <v>4036187.0</v>
      </c>
      <c r="P289" s="7" t="s">
        <v>411</v>
      </c>
      <c r="Q289" s="7">
        <v>5004.06</v>
      </c>
      <c r="R289" s="3">
        <f t="shared" si="1"/>
        <v>10000</v>
      </c>
      <c r="S289" s="9">
        <v>5001.1</v>
      </c>
      <c r="T289" s="10">
        <v>10000.0</v>
      </c>
      <c r="V289" s="5">
        <f t="shared" si="2"/>
        <v>0</v>
      </c>
    </row>
    <row r="290" ht="22.5" customHeight="1">
      <c r="B290" s="7" t="s">
        <v>290</v>
      </c>
      <c r="C290" s="7">
        <v>3018.0</v>
      </c>
      <c r="D290" s="7">
        <v>8982.0</v>
      </c>
      <c r="E290" s="7">
        <v>1.7953317E7</v>
      </c>
      <c r="F290" s="7">
        <v>1.7807297E7</v>
      </c>
      <c r="G290" s="7">
        <v>2.2029866E7</v>
      </c>
      <c r="H290" s="7">
        <v>2.059841426E9</v>
      </c>
      <c r="I290" s="7">
        <v>772766.0</v>
      </c>
      <c r="J290" s="7">
        <v>611350.0</v>
      </c>
      <c r="K290" s="7">
        <v>161416.0</v>
      </c>
      <c r="L290" s="7">
        <v>36.6</v>
      </c>
      <c r="M290" s="7">
        <v>-0.03</v>
      </c>
      <c r="N290" s="7">
        <v>190669.0</v>
      </c>
      <c r="O290" s="7">
        <v>5396613.0</v>
      </c>
      <c r="P290" s="7" t="s">
        <v>411</v>
      </c>
      <c r="Q290" s="7">
        <v>5004.06</v>
      </c>
      <c r="R290" s="3">
        <f t="shared" si="1"/>
        <v>10000</v>
      </c>
      <c r="S290" s="9">
        <v>5002.41</v>
      </c>
      <c r="T290" s="10">
        <v>10000.0</v>
      </c>
      <c r="V290" s="5">
        <f t="shared" si="2"/>
        <v>0</v>
      </c>
    </row>
    <row r="291" ht="22.5" customHeight="1">
      <c r="B291" s="7" t="s">
        <v>291</v>
      </c>
      <c r="C291" s="7">
        <v>4838.0</v>
      </c>
      <c r="D291" s="7">
        <v>14428.0</v>
      </c>
      <c r="E291" s="7">
        <v>1.3704298E7</v>
      </c>
      <c r="F291" s="7">
        <v>1.3590112E7</v>
      </c>
      <c r="G291" s="7">
        <v>1.8193138E7</v>
      </c>
      <c r="H291" s="7">
        <v>1.941687587E9</v>
      </c>
      <c r="I291" s="7">
        <v>599489.0</v>
      </c>
      <c r="J291" s="7">
        <v>484864.0</v>
      </c>
      <c r="K291" s="7">
        <v>114625.0</v>
      </c>
      <c r="L291" s="7">
        <v>47.32</v>
      </c>
      <c r="M291" s="7">
        <v>-0.03</v>
      </c>
      <c r="N291" s="7">
        <v>137008.0</v>
      </c>
      <c r="O291" s="7">
        <v>4140138.0</v>
      </c>
      <c r="P291" s="7" t="s">
        <v>411</v>
      </c>
      <c r="Q291" s="7">
        <v>5004.07</v>
      </c>
      <c r="R291" s="3">
        <f t="shared" si="1"/>
        <v>10000</v>
      </c>
      <c r="S291" s="9">
        <v>5003.63</v>
      </c>
      <c r="T291" s="10">
        <v>10000.0</v>
      </c>
      <c r="V291" s="5">
        <f t="shared" si="2"/>
        <v>0</v>
      </c>
    </row>
    <row r="292" ht="22.5" customHeight="1">
      <c r="B292" s="7" t="s">
        <v>292</v>
      </c>
      <c r="C292" s="7">
        <v>7193.0</v>
      </c>
      <c r="D292" s="7">
        <v>21469.0</v>
      </c>
      <c r="E292" s="7">
        <v>1.575464E7</v>
      </c>
      <c r="F292" s="7">
        <v>1.5593748E7</v>
      </c>
      <c r="G292" s="7">
        <v>2.1471205E7</v>
      </c>
      <c r="H292" s="7">
        <v>2.511785479E9</v>
      </c>
      <c r="I292" s="7">
        <v>622174.0</v>
      </c>
      <c r="J292" s="7">
        <v>490184.0</v>
      </c>
      <c r="K292" s="7">
        <v>131990.0</v>
      </c>
      <c r="L292" s="7">
        <v>63.76</v>
      </c>
      <c r="M292" s="7">
        <v>-0.03</v>
      </c>
      <c r="N292" s="7">
        <v>160379.0</v>
      </c>
      <c r="O292" s="7">
        <v>4114924.0</v>
      </c>
      <c r="P292" s="7" t="s">
        <v>411</v>
      </c>
      <c r="Q292" s="7">
        <v>5004.04</v>
      </c>
      <c r="R292" s="3">
        <f t="shared" si="1"/>
        <v>10000</v>
      </c>
      <c r="S292" s="9">
        <v>5000.67</v>
      </c>
      <c r="T292" s="10">
        <v>10000.0</v>
      </c>
      <c r="V292" s="5">
        <f t="shared" si="2"/>
        <v>0</v>
      </c>
    </row>
    <row r="293" ht="22.5" customHeight="1">
      <c r="B293" s="7" t="s">
        <v>293</v>
      </c>
      <c r="C293" s="7">
        <v>4000.0</v>
      </c>
      <c r="D293" s="7">
        <v>11914.0</v>
      </c>
      <c r="E293" s="7">
        <v>1.6390536E7</v>
      </c>
      <c r="F293" s="7">
        <v>1.6237238E7</v>
      </c>
      <c r="G293" s="7">
        <v>2.1134037E7</v>
      </c>
      <c r="H293" s="7">
        <v>1.959833418E9</v>
      </c>
      <c r="I293" s="7">
        <v>641520.0</v>
      </c>
      <c r="J293" s="7">
        <v>489566.0</v>
      </c>
      <c r="K293" s="7">
        <v>151954.0</v>
      </c>
      <c r="L293" s="7">
        <v>45.33</v>
      </c>
      <c r="M293" s="7">
        <v>-0.03</v>
      </c>
      <c r="N293" s="7">
        <v>181588.0</v>
      </c>
      <c r="O293" s="7">
        <v>4141588.0</v>
      </c>
      <c r="P293" s="7" t="s">
        <v>411</v>
      </c>
      <c r="Q293" s="7">
        <v>5004.05</v>
      </c>
      <c r="R293" s="3">
        <f t="shared" si="1"/>
        <v>10000</v>
      </c>
      <c r="S293" s="9">
        <v>4999.46</v>
      </c>
      <c r="T293" s="10">
        <v>10000.0</v>
      </c>
      <c r="V293" s="5">
        <f t="shared" si="2"/>
        <v>0</v>
      </c>
    </row>
    <row r="294" ht="22.5" customHeight="1">
      <c r="B294" s="7" t="s">
        <v>294</v>
      </c>
      <c r="C294" s="7">
        <v>4249.0</v>
      </c>
      <c r="D294" s="7">
        <v>12662.0</v>
      </c>
      <c r="E294" s="7">
        <v>1.3332423E7</v>
      </c>
      <c r="F294" s="7">
        <v>1.320295E7</v>
      </c>
      <c r="G294" s="7">
        <v>1.7781485E7</v>
      </c>
      <c r="H294" s="7">
        <v>1.532209249E9</v>
      </c>
      <c r="I294" s="7">
        <v>609974.0</v>
      </c>
      <c r="J294" s="7">
        <v>503885.0</v>
      </c>
      <c r="K294" s="7">
        <v>106089.0</v>
      </c>
      <c r="L294" s="7">
        <v>46.75</v>
      </c>
      <c r="M294" s="7">
        <v>-0.03</v>
      </c>
      <c r="N294" s="7">
        <v>127580.0</v>
      </c>
      <c r="O294" s="7">
        <v>4091056.0</v>
      </c>
      <c r="P294" s="7" t="s">
        <v>411</v>
      </c>
      <c r="Q294" s="7">
        <v>5004.07</v>
      </c>
      <c r="R294" s="3">
        <f t="shared" si="1"/>
        <v>10000</v>
      </c>
      <c r="S294" s="9">
        <v>5003.75</v>
      </c>
      <c r="T294" s="10">
        <v>10000.0</v>
      </c>
      <c r="V294" s="5">
        <f t="shared" si="2"/>
        <v>0</v>
      </c>
    </row>
    <row r="295" ht="22.5" customHeight="1">
      <c r="B295" s="7" t="s">
        <v>295</v>
      </c>
      <c r="C295" s="7">
        <v>5550.0</v>
      </c>
      <c r="D295" s="7">
        <v>16552.0</v>
      </c>
      <c r="E295" s="7">
        <v>1.6362035E7</v>
      </c>
      <c r="F295" s="7">
        <v>1.6195098E7</v>
      </c>
      <c r="G295" s="7">
        <v>2.1869232E7</v>
      </c>
      <c r="H295" s="7">
        <v>2.122063646E9</v>
      </c>
      <c r="I295" s="7">
        <v>645467.0</v>
      </c>
      <c r="J295" s="7">
        <v>505740.0</v>
      </c>
      <c r="K295" s="7">
        <v>139727.0</v>
      </c>
      <c r="L295" s="7">
        <v>53.54</v>
      </c>
      <c r="M295" s="7">
        <v>-0.03</v>
      </c>
      <c r="N295" s="7">
        <v>169783.0</v>
      </c>
      <c r="O295" s="7">
        <v>4089850.0</v>
      </c>
      <c r="P295" s="7" t="s">
        <v>411</v>
      </c>
      <c r="Q295" s="7">
        <v>5004.06</v>
      </c>
      <c r="R295" s="3">
        <f t="shared" si="1"/>
        <v>10000</v>
      </c>
      <c r="S295" s="9">
        <v>4998.74</v>
      </c>
      <c r="T295" s="10">
        <v>10000.0</v>
      </c>
      <c r="V295" s="5">
        <f t="shared" si="2"/>
        <v>0</v>
      </c>
    </row>
    <row r="296" ht="22.5" customHeight="1">
      <c r="B296" s="7" t="s">
        <v>296</v>
      </c>
      <c r="C296" s="7">
        <v>7282.0</v>
      </c>
      <c r="D296" s="7">
        <v>21738.0</v>
      </c>
      <c r="E296" s="7">
        <v>1.6549924E7</v>
      </c>
      <c r="F296" s="7">
        <v>1.6402689E7</v>
      </c>
      <c r="G296" s="7">
        <v>2.1633079E7</v>
      </c>
      <c r="H296" s="7">
        <v>3.325750807E9</v>
      </c>
      <c r="I296" s="7">
        <v>644516.0</v>
      </c>
      <c r="J296" s="7">
        <v>497423.0</v>
      </c>
      <c r="K296" s="7">
        <v>147093.0</v>
      </c>
      <c r="L296" s="7">
        <v>54.03</v>
      </c>
      <c r="M296" s="7">
        <v>-0.03</v>
      </c>
      <c r="N296" s="7">
        <v>176936.0</v>
      </c>
      <c r="O296" s="7">
        <v>4273336.0</v>
      </c>
      <c r="P296" s="7" t="s">
        <v>411</v>
      </c>
      <c r="Q296" s="7">
        <v>5004.07</v>
      </c>
      <c r="R296" s="3">
        <f t="shared" si="1"/>
        <v>10000</v>
      </c>
      <c r="S296" s="9">
        <v>5000.86</v>
      </c>
      <c r="T296" s="10">
        <v>10000.0</v>
      </c>
      <c r="V296" s="5">
        <f t="shared" si="2"/>
        <v>0</v>
      </c>
    </row>
    <row r="297" ht="22.5" customHeight="1">
      <c r="B297" s="7" t="s">
        <v>297</v>
      </c>
      <c r="C297" s="7">
        <v>3278.0</v>
      </c>
      <c r="D297" s="7">
        <v>9760.0</v>
      </c>
      <c r="E297" s="7">
        <v>1.4132216E7</v>
      </c>
      <c r="F297" s="7">
        <v>1.4005507E7</v>
      </c>
      <c r="G297" s="7">
        <v>1.8373994E7</v>
      </c>
      <c r="H297" s="7">
        <v>1.799104129E9</v>
      </c>
      <c r="I297" s="7">
        <v>654868.0</v>
      </c>
      <c r="J297" s="7">
        <v>524995.0</v>
      </c>
      <c r="K297" s="7">
        <v>129873.0</v>
      </c>
      <c r="L297" s="7">
        <v>31.38</v>
      </c>
      <c r="M297" s="7">
        <v>-0.03</v>
      </c>
      <c r="N297" s="7">
        <v>153032.0</v>
      </c>
      <c r="O297" s="7">
        <v>4036106.0</v>
      </c>
      <c r="P297" s="7" t="s">
        <v>411</v>
      </c>
      <c r="Q297" s="7">
        <v>5004.07</v>
      </c>
      <c r="R297" s="3">
        <f t="shared" si="1"/>
        <v>10000</v>
      </c>
      <c r="S297" s="9">
        <v>5003.81</v>
      </c>
      <c r="T297" s="10">
        <v>10000.0</v>
      </c>
      <c r="V297" s="5">
        <f t="shared" si="2"/>
        <v>0</v>
      </c>
    </row>
    <row r="298" ht="22.5" customHeight="1">
      <c r="B298" s="7" t="s">
        <v>298</v>
      </c>
      <c r="C298" s="7">
        <v>3096.0</v>
      </c>
      <c r="D298" s="7">
        <v>9215.0</v>
      </c>
      <c r="E298" s="7">
        <v>1.4527576E7</v>
      </c>
      <c r="F298" s="7">
        <v>1.4403671E7</v>
      </c>
      <c r="G298" s="7">
        <v>1.8187199E7</v>
      </c>
      <c r="H298" s="7">
        <v>1.721216496E9</v>
      </c>
      <c r="I298" s="7">
        <v>626927.0</v>
      </c>
      <c r="J298" s="7">
        <v>492792.0</v>
      </c>
      <c r="K298" s="7">
        <v>134135.0</v>
      </c>
      <c r="L298" s="7">
        <v>34.47</v>
      </c>
      <c r="M298" s="7">
        <v>-0.03</v>
      </c>
      <c r="N298" s="7">
        <v>158429.0</v>
      </c>
      <c r="O298" s="7">
        <v>4114017.0</v>
      </c>
      <c r="P298" s="7" t="s">
        <v>411</v>
      </c>
      <c r="Q298" s="7">
        <v>5004.06</v>
      </c>
      <c r="R298" s="3">
        <f t="shared" si="1"/>
        <v>10000</v>
      </c>
      <c r="S298" s="9">
        <v>4999.19</v>
      </c>
      <c r="T298" s="10">
        <v>10000.0</v>
      </c>
      <c r="V298" s="5">
        <f t="shared" si="2"/>
        <v>0</v>
      </c>
    </row>
    <row r="299" ht="22.5" customHeight="1">
      <c r="B299" s="7" t="s">
        <v>299</v>
      </c>
      <c r="C299" s="7">
        <v>4136.0</v>
      </c>
      <c r="D299" s="7">
        <v>12323.0</v>
      </c>
      <c r="E299" s="7">
        <v>1.8009597E7</v>
      </c>
      <c r="F299" s="7">
        <v>1.7839132E7</v>
      </c>
      <c r="G299" s="7">
        <v>2.390579E7</v>
      </c>
      <c r="H299" s="7">
        <v>2.201958046E9</v>
      </c>
      <c r="I299" s="7">
        <v>782887.0</v>
      </c>
      <c r="J299" s="7">
        <v>634313.0</v>
      </c>
      <c r="K299" s="7">
        <v>148574.0</v>
      </c>
      <c r="L299" s="7">
        <v>36.85</v>
      </c>
      <c r="M299" s="7">
        <v>-0.03</v>
      </c>
      <c r="N299" s="7">
        <v>178322.0</v>
      </c>
      <c r="O299" s="7">
        <v>5373178.0</v>
      </c>
      <c r="P299" s="7" t="s">
        <v>411</v>
      </c>
      <c r="Q299" s="7">
        <v>5004.06</v>
      </c>
      <c r="R299" s="3">
        <f t="shared" si="1"/>
        <v>10000</v>
      </c>
      <c r="S299" s="9">
        <v>4999.14</v>
      </c>
      <c r="T299" s="10">
        <v>10000.0</v>
      </c>
      <c r="V299" s="5">
        <f t="shared" si="2"/>
        <v>0</v>
      </c>
    </row>
    <row r="300" ht="22.5" customHeight="1">
      <c r="B300" s="7" t="s">
        <v>300</v>
      </c>
      <c r="C300" s="7">
        <v>6576.0</v>
      </c>
      <c r="D300" s="7">
        <v>19630.0</v>
      </c>
      <c r="E300" s="7">
        <v>1.3210871E7</v>
      </c>
      <c r="F300" s="7">
        <v>1.3081801E7</v>
      </c>
      <c r="G300" s="7">
        <v>1.8334873E7</v>
      </c>
      <c r="H300" s="7">
        <v>2.443293569E9</v>
      </c>
      <c r="I300" s="7">
        <v>585967.0</v>
      </c>
      <c r="J300" s="7">
        <v>482485.0</v>
      </c>
      <c r="K300" s="7">
        <v>103482.0</v>
      </c>
      <c r="L300" s="7">
        <v>46.22</v>
      </c>
      <c r="M300" s="7">
        <v>-0.03</v>
      </c>
      <c r="N300" s="7">
        <v>124682.0</v>
      </c>
      <c r="O300" s="7">
        <v>4182753.0</v>
      </c>
      <c r="P300" s="7" t="s">
        <v>411</v>
      </c>
      <c r="Q300" s="7">
        <v>5004.06</v>
      </c>
      <c r="R300" s="3">
        <f t="shared" si="1"/>
        <v>10000</v>
      </c>
      <c r="S300" s="9">
        <v>5003.83</v>
      </c>
      <c r="T300" s="10">
        <v>10000.0</v>
      </c>
      <c r="V300" s="5">
        <f t="shared" si="2"/>
        <v>0</v>
      </c>
    </row>
    <row r="301" ht="22.5" customHeight="1">
      <c r="B301" s="7" t="s">
        <v>301</v>
      </c>
      <c r="C301" s="7">
        <v>3001.0</v>
      </c>
      <c r="D301" s="7">
        <v>8931.0</v>
      </c>
      <c r="E301" s="7">
        <v>1.4007491E7</v>
      </c>
      <c r="F301" s="7">
        <v>1.3904533E7</v>
      </c>
      <c r="G301" s="7">
        <v>1.7808763E7</v>
      </c>
      <c r="H301" s="7">
        <v>1.478044106E9</v>
      </c>
      <c r="I301" s="7">
        <v>604693.0</v>
      </c>
      <c r="J301" s="7">
        <v>473124.0</v>
      </c>
      <c r="K301" s="7">
        <v>131569.0</v>
      </c>
      <c r="L301" s="7">
        <v>33.6</v>
      </c>
      <c r="M301" s="7">
        <v>-0.03</v>
      </c>
      <c r="N301" s="7">
        <v>154263.0</v>
      </c>
      <c r="O301" s="7">
        <v>4202237.0</v>
      </c>
      <c r="P301" s="7" t="s">
        <v>411</v>
      </c>
      <c r="Q301" s="7">
        <v>5004.08</v>
      </c>
      <c r="R301" s="3">
        <f t="shared" si="1"/>
        <v>10000</v>
      </c>
      <c r="S301" s="9">
        <v>4999.39</v>
      </c>
      <c r="T301" s="10">
        <v>10000.0</v>
      </c>
      <c r="V301" s="5">
        <f t="shared" si="2"/>
        <v>0</v>
      </c>
    </row>
    <row r="302" ht="22.5" customHeight="1">
      <c r="B302" s="7" t="s">
        <v>302</v>
      </c>
      <c r="C302" s="7">
        <v>4344.0</v>
      </c>
      <c r="D302" s="7">
        <v>12948.0</v>
      </c>
      <c r="E302" s="7">
        <v>1.7208709E7</v>
      </c>
      <c r="F302" s="7">
        <v>1.7042237E7</v>
      </c>
      <c r="G302" s="7">
        <v>2.2368906E7</v>
      </c>
      <c r="H302" s="7">
        <v>2.251371264E9</v>
      </c>
      <c r="I302" s="7">
        <v>717605.0</v>
      </c>
      <c r="J302" s="7">
        <v>568313.0</v>
      </c>
      <c r="K302" s="7">
        <v>149292.0</v>
      </c>
      <c r="L302" s="7">
        <v>35.72</v>
      </c>
      <c r="M302" s="7">
        <v>-0.03</v>
      </c>
      <c r="N302" s="7">
        <v>179024.0</v>
      </c>
      <c r="O302" s="7">
        <v>4749585.0</v>
      </c>
      <c r="P302" s="7" t="s">
        <v>411</v>
      </c>
      <c r="Q302" s="7">
        <v>5004.07</v>
      </c>
      <c r="R302" s="3">
        <f t="shared" si="1"/>
        <v>10000</v>
      </c>
      <c r="S302" s="9">
        <v>4998.81</v>
      </c>
      <c r="T302" s="10">
        <v>10000.0</v>
      </c>
      <c r="V302" s="5">
        <f t="shared" si="2"/>
        <v>0</v>
      </c>
    </row>
    <row r="303" ht="22.5" customHeight="1">
      <c r="B303" s="7" t="s">
        <v>303</v>
      </c>
      <c r="C303" s="7">
        <v>4699.0</v>
      </c>
      <c r="D303" s="7">
        <v>14013.0</v>
      </c>
      <c r="E303" s="7">
        <v>1.8731245E7</v>
      </c>
      <c r="F303" s="7">
        <v>1.8558343E7</v>
      </c>
      <c r="G303" s="7">
        <v>2.7327692E7</v>
      </c>
      <c r="H303" s="7">
        <v>2.1521714E9</v>
      </c>
      <c r="I303" s="7">
        <v>787202.0</v>
      </c>
      <c r="J303" s="7">
        <v>637135.0</v>
      </c>
      <c r="K303" s="7">
        <v>150067.0</v>
      </c>
      <c r="L303" s="7">
        <v>42.5</v>
      </c>
      <c r="M303" s="7">
        <v>-0.04</v>
      </c>
      <c r="N303" s="7">
        <v>179774.0</v>
      </c>
      <c r="O303" s="7">
        <v>6187655.0</v>
      </c>
      <c r="P303" s="7" t="s">
        <v>411</v>
      </c>
      <c r="Q303" s="7">
        <v>5004.03</v>
      </c>
      <c r="R303" s="3">
        <f t="shared" si="1"/>
        <v>10000</v>
      </c>
      <c r="S303" s="9">
        <v>5002.14</v>
      </c>
      <c r="T303" s="10">
        <v>10000.0</v>
      </c>
      <c r="V303" s="5">
        <f t="shared" si="2"/>
        <v>0</v>
      </c>
    </row>
    <row r="304" ht="22.5" customHeight="1">
      <c r="B304" s="7" t="s">
        <v>304</v>
      </c>
      <c r="C304" s="7">
        <v>4292.0</v>
      </c>
      <c r="D304" s="7">
        <v>12790.0</v>
      </c>
      <c r="E304" s="7">
        <v>1.9395025E7</v>
      </c>
      <c r="F304" s="7">
        <v>1.9238838E7</v>
      </c>
      <c r="G304" s="7">
        <v>2.5621949E7</v>
      </c>
      <c r="H304" s="7">
        <v>2.205496381E9</v>
      </c>
      <c r="I304" s="7">
        <v>902499.0</v>
      </c>
      <c r="J304" s="7">
        <v>748033.0</v>
      </c>
      <c r="K304" s="7">
        <v>154466.0</v>
      </c>
      <c r="L304" s="7">
        <v>45.87</v>
      </c>
      <c r="M304" s="7">
        <v>-0.03</v>
      </c>
      <c r="N304" s="7">
        <v>183996.0</v>
      </c>
      <c r="O304" s="7">
        <v>6446956.0</v>
      </c>
      <c r="P304" s="7" t="s">
        <v>411</v>
      </c>
      <c r="Q304" s="7">
        <v>5004.04</v>
      </c>
      <c r="R304" s="3">
        <f t="shared" si="1"/>
        <v>10000</v>
      </c>
      <c r="S304" s="9">
        <v>5003.29</v>
      </c>
      <c r="T304" s="10">
        <v>10000.0</v>
      </c>
      <c r="V304" s="5">
        <f t="shared" si="2"/>
        <v>0</v>
      </c>
    </row>
    <row r="305" ht="22.5" customHeight="1">
      <c r="B305" s="7" t="s">
        <v>305</v>
      </c>
      <c r="C305" s="7">
        <v>5418.0</v>
      </c>
      <c r="D305" s="7">
        <v>16168.0</v>
      </c>
      <c r="E305" s="7">
        <v>1.3281139E7</v>
      </c>
      <c r="F305" s="7">
        <v>1.3172627E7</v>
      </c>
      <c r="G305" s="7">
        <v>1.7804974E7</v>
      </c>
      <c r="H305" s="7">
        <v>2.085825943E9</v>
      </c>
      <c r="I305" s="7">
        <v>606514.0</v>
      </c>
      <c r="J305" s="7">
        <v>493886.0</v>
      </c>
      <c r="K305" s="7">
        <v>112628.0</v>
      </c>
      <c r="L305" s="7">
        <v>48.45</v>
      </c>
      <c r="M305" s="7">
        <v>-0.03</v>
      </c>
      <c r="N305" s="7">
        <v>133708.0</v>
      </c>
      <c r="O305" s="7">
        <v>4144088.0</v>
      </c>
      <c r="P305" s="7" t="s">
        <v>411</v>
      </c>
      <c r="Q305" s="7">
        <v>5004.06</v>
      </c>
      <c r="R305" s="3">
        <f t="shared" si="1"/>
        <v>10000</v>
      </c>
      <c r="S305" s="9">
        <v>3860.34</v>
      </c>
      <c r="T305" s="10">
        <v>3860.34</v>
      </c>
      <c r="V305" s="5">
        <f t="shared" si="2"/>
        <v>-6139.66</v>
      </c>
    </row>
    <row r="306" ht="22.5" customHeight="1">
      <c r="B306" s="7" t="s">
        <v>306</v>
      </c>
      <c r="C306" s="7">
        <v>5702.0</v>
      </c>
      <c r="D306" s="7">
        <v>17010.0</v>
      </c>
      <c r="E306" s="7">
        <v>1.4431646E7</v>
      </c>
      <c r="F306" s="7">
        <v>1.4292495E7</v>
      </c>
      <c r="G306" s="7">
        <v>1.9828039E7</v>
      </c>
      <c r="H306" s="7">
        <v>2.073955849E9</v>
      </c>
      <c r="I306" s="7">
        <v>608286.0</v>
      </c>
      <c r="J306" s="7">
        <v>490123.0</v>
      </c>
      <c r="K306" s="7">
        <v>118163.0</v>
      </c>
      <c r="L306" s="7">
        <v>56.08</v>
      </c>
      <c r="M306" s="7">
        <v>-0.03</v>
      </c>
      <c r="N306" s="7">
        <v>142784.0</v>
      </c>
      <c r="O306" s="7">
        <v>4118282.0</v>
      </c>
      <c r="P306" s="7" t="s">
        <v>411</v>
      </c>
      <c r="Q306" s="7">
        <v>5004.07</v>
      </c>
      <c r="R306" s="3">
        <f t="shared" si="1"/>
        <v>10000</v>
      </c>
      <c r="S306" s="9">
        <v>3932.01</v>
      </c>
      <c r="T306" s="10">
        <v>3932.01</v>
      </c>
      <c r="V306" s="5">
        <f t="shared" si="2"/>
        <v>-6067.99</v>
      </c>
    </row>
    <row r="307" ht="22.5" customHeight="1">
      <c r="B307" s="7" t="s">
        <v>308</v>
      </c>
      <c r="C307" s="7">
        <v>39544.0</v>
      </c>
      <c r="D307" s="7">
        <v>294276.0</v>
      </c>
      <c r="E307" s="7">
        <v>1.8489345E7</v>
      </c>
      <c r="F307" s="7">
        <v>1.8047114E7</v>
      </c>
      <c r="G307" s="7">
        <v>5.1170174E7</v>
      </c>
      <c r="H307" s="7">
        <v>3.455771521E9</v>
      </c>
      <c r="I307" s="7">
        <v>691076.0</v>
      </c>
      <c r="J307" s="7">
        <v>599823.0</v>
      </c>
      <c r="K307" s="7">
        <v>91253.0</v>
      </c>
      <c r="L307" s="7">
        <v>22.89</v>
      </c>
      <c r="M307" s="7">
        <v>-0.1</v>
      </c>
      <c r="N307" s="7">
        <v>123447.0</v>
      </c>
      <c r="O307" s="7">
        <v>9636660.0</v>
      </c>
      <c r="P307" s="7" t="s">
        <v>411</v>
      </c>
      <c r="Q307" s="7">
        <v>5003.88</v>
      </c>
      <c r="R307" s="3">
        <f t="shared" si="1"/>
        <v>10000</v>
      </c>
      <c r="S307" s="9">
        <v>4953.88</v>
      </c>
      <c r="T307" s="10">
        <v>10000.0</v>
      </c>
      <c r="V307" s="5">
        <f t="shared" si="2"/>
        <v>0</v>
      </c>
    </row>
    <row r="308" ht="22.5" customHeight="1">
      <c r="B308" s="7" t="s">
        <v>309</v>
      </c>
      <c r="C308" s="7">
        <v>1534.0</v>
      </c>
      <c r="D308" s="7">
        <v>132295.0</v>
      </c>
      <c r="E308" s="7">
        <v>1.8939247E7</v>
      </c>
      <c r="F308" s="7">
        <v>1.8501599E7</v>
      </c>
      <c r="G308" s="7">
        <v>2.9633197E7</v>
      </c>
      <c r="H308" s="7">
        <v>2.238214988E9</v>
      </c>
      <c r="I308" s="7">
        <v>524316.0</v>
      </c>
      <c r="J308" s="7">
        <v>395945.0</v>
      </c>
      <c r="K308" s="7">
        <v>128371.0</v>
      </c>
      <c r="L308" s="7">
        <v>76.42</v>
      </c>
      <c r="M308" s="7">
        <v>-0.05</v>
      </c>
      <c r="N308" s="7">
        <v>158785.0</v>
      </c>
      <c r="O308" s="7">
        <v>8097063.0</v>
      </c>
      <c r="P308" s="7" t="s">
        <v>411</v>
      </c>
      <c r="Q308" s="7">
        <v>5004.04</v>
      </c>
      <c r="R308" s="3">
        <f t="shared" si="1"/>
        <v>10000</v>
      </c>
      <c r="S308" s="9">
        <v>5003.94</v>
      </c>
      <c r="T308" s="10">
        <v>10000.0</v>
      </c>
      <c r="V308" s="5">
        <f t="shared" si="2"/>
        <v>0</v>
      </c>
    </row>
    <row r="309" ht="22.5" customHeight="1">
      <c r="B309" s="7" t="s">
        <v>310</v>
      </c>
      <c r="C309" s="7">
        <v>32402.0</v>
      </c>
      <c r="D309" s="7">
        <v>97364.0</v>
      </c>
      <c r="E309" s="7">
        <v>4656749.0</v>
      </c>
      <c r="F309" s="7">
        <v>4644220.0</v>
      </c>
      <c r="G309" s="7">
        <v>5191262.0</v>
      </c>
      <c r="H309" s="7">
        <v>9.498600649E9</v>
      </c>
      <c r="I309" s="7">
        <v>159051.0</v>
      </c>
      <c r="J309" s="7">
        <v>108383.0</v>
      </c>
      <c r="K309" s="7">
        <v>50668.0</v>
      </c>
      <c r="L309" s="7">
        <v>58.12</v>
      </c>
      <c r="M309" s="7">
        <v>-0.01</v>
      </c>
      <c r="N309" s="7">
        <v>57601.0</v>
      </c>
      <c r="O309" s="7">
        <v>1632636.0</v>
      </c>
      <c r="P309" s="7" t="s">
        <v>411</v>
      </c>
      <c r="Q309" s="7">
        <v>5004.04</v>
      </c>
      <c r="R309" s="3">
        <f t="shared" si="1"/>
        <v>10000</v>
      </c>
      <c r="S309" s="9">
        <v>5003.83</v>
      </c>
      <c r="T309" s="10">
        <v>10000.0</v>
      </c>
      <c r="V309" s="5">
        <f t="shared" si="2"/>
        <v>0</v>
      </c>
    </row>
    <row r="310" ht="22.5" customHeight="1">
      <c r="B310" s="7" t="s">
        <v>311</v>
      </c>
      <c r="C310" s="7">
        <v>69641.0</v>
      </c>
      <c r="D310" s="7">
        <v>226367.0</v>
      </c>
      <c r="E310" s="7">
        <v>1887994.0</v>
      </c>
      <c r="F310" s="7">
        <v>1864667.0</v>
      </c>
      <c r="G310" s="7">
        <v>5307436.0</v>
      </c>
      <c r="H310" s="7">
        <v>8.893024775E9</v>
      </c>
      <c r="I310" s="7">
        <v>91321.0</v>
      </c>
      <c r="J310" s="7">
        <v>83273.0</v>
      </c>
      <c r="K310" s="7">
        <v>8048.0</v>
      </c>
      <c r="L310" s="7">
        <v>106.0</v>
      </c>
      <c r="M310" s="7">
        <v>-0.06</v>
      </c>
      <c r="N310" s="7">
        <v>9966.0</v>
      </c>
      <c r="O310" s="7">
        <v>1135718.0</v>
      </c>
      <c r="P310" s="7" t="s">
        <v>411</v>
      </c>
      <c r="Q310" s="7">
        <v>5004.01</v>
      </c>
      <c r="R310" s="3">
        <f t="shared" si="1"/>
        <v>10000</v>
      </c>
      <c r="S310" s="9">
        <v>5003.94</v>
      </c>
      <c r="T310" s="10">
        <v>10000.0</v>
      </c>
      <c r="V310" s="5">
        <f t="shared" si="2"/>
        <v>0</v>
      </c>
    </row>
    <row r="311" ht="22.5" customHeight="1">
      <c r="B311" s="7" t="s">
        <v>313</v>
      </c>
      <c r="C311" s="7">
        <v>81920.0</v>
      </c>
      <c r="D311" s="7">
        <v>1.6496017E7</v>
      </c>
      <c r="E311" s="7">
        <v>7597542.0</v>
      </c>
      <c r="F311" s="7">
        <v>6857587.0</v>
      </c>
      <c r="G311" s="7">
        <v>2.96024322E8</v>
      </c>
      <c r="H311" s="7">
        <v>4.427653166E9</v>
      </c>
      <c r="I311" s="7">
        <v>269752.0</v>
      </c>
      <c r="J311" s="7">
        <v>243155.0</v>
      </c>
      <c r="K311" s="7">
        <v>26597.0</v>
      </c>
      <c r="L311" s="7">
        <v>317.19</v>
      </c>
      <c r="M311" s="7">
        <v>-0.08</v>
      </c>
      <c r="N311" s="7">
        <v>33483.0</v>
      </c>
      <c r="O311" s="7">
        <v>6.2321504E7</v>
      </c>
      <c r="P311" s="7" t="s">
        <v>411</v>
      </c>
      <c r="Q311" s="7">
        <v>5003.88</v>
      </c>
      <c r="R311" s="3">
        <f t="shared" si="1"/>
        <v>10000</v>
      </c>
      <c r="S311" s="9">
        <v>4875.16</v>
      </c>
      <c r="T311" s="10">
        <v>10000.0</v>
      </c>
      <c r="V311" s="5">
        <f t="shared" si="2"/>
        <v>0</v>
      </c>
    </row>
    <row r="312" ht="22.5" customHeight="1">
      <c r="B312" s="7" t="s">
        <v>150</v>
      </c>
      <c r="C312" s="7">
        <v>77824.0</v>
      </c>
      <c r="D312" s="7">
        <v>282013.0</v>
      </c>
      <c r="E312" s="7">
        <v>7770078.0</v>
      </c>
      <c r="F312" s="7">
        <v>7574101.0</v>
      </c>
      <c r="G312" s="7">
        <v>1.16693963E8</v>
      </c>
      <c r="H312" s="7">
        <v>2.4295282185E10</v>
      </c>
      <c r="I312" s="7">
        <v>332683.0</v>
      </c>
      <c r="J312" s="7">
        <v>315114.0</v>
      </c>
      <c r="K312" s="7">
        <v>17569.0</v>
      </c>
      <c r="L312" s="7">
        <v>73.96</v>
      </c>
      <c r="M312" s="7">
        <v>-0.11</v>
      </c>
      <c r="N312" s="7">
        <v>25821.0</v>
      </c>
      <c r="O312" s="7">
        <v>9890303.0</v>
      </c>
      <c r="P312" s="7" t="s">
        <v>411</v>
      </c>
      <c r="Q312" s="7">
        <v>5004.01</v>
      </c>
      <c r="R312" s="3">
        <f t="shared" si="1"/>
        <v>10000</v>
      </c>
      <c r="S312" s="9">
        <v>373.93</v>
      </c>
      <c r="T312" s="10">
        <v>373.93</v>
      </c>
      <c r="V312" s="5">
        <f t="shared" si="2"/>
        <v>-9626.07</v>
      </c>
    </row>
    <row r="313" ht="22.5" customHeight="1">
      <c r="B313" s="7" t="s">
        <v>261</v>
      </c>
      <c r="C313" s="7">
        <v>264264.0</v>
      </c>
      <c r="D313" s="7">
        <v>895141.0</v>
      </c>
      <c r="E313" s="7">
        <v>3634122.0</v>
      </c>
      <c r="F313" s="7">
        <v>3548338.0</v>
      </c>
      <c r="G313" s="7">
        <v>7.2521945E7</v>
      </c>
      <c r="H313" s="7">
        <v>2.2630702276E10</v>
      </c>
      <c r="I313" s="7">
        <v>117232.0</v>
      </c>
      <c r="J313" s="7">
        <v>104553.0</v>
      </c>
      <c r="K313" s="7">
        <v>12679.0</v>
      </c>
      <c r="L313" s="7">
        <v>73.69</v>
      </c>
      <c r="M313" s="7">
        <v>-0.09</v>
      </c>
      <c r="N313" s="7">
        <v>19618.0</v>
      </c>
      <c r="O313" s="7">
        <v>4316557.0</v>
      </c>
      <c r="P313" s="7" t="s">
        <v>411</v>
      </c>
      <c r="Q313" s="7">
        <v>5004.03</v>
      </c>
      <c r="R313" s="3">
        <f t="shared" si="1"/>
        <v>10000</v>
      </c>
      <c r="S313" s="9">
        <v>2042.58</v>
      </c>
      <c r="T313" s="10">
        <v>2042.58</v>
      </c>
      <c r="V313" s="5">
        <f t="shared" si="2"/>
        <v>-7957.42</v>
      </c>
    </row>
    <row r="314" ht="22.5" customHeight="1">
      <c r="B314" s="7" t="s">
        <v>315</v>
      </c>
      <c r="C314" s="7">
        <v>505648.0</v>
      </c>
      <c r="D314" s="7">
        <v>1677281.0</v>
      </c>
      <c r="E314" s="7">
        <v>1844633.0</v>
      </c>
      <c r="F314" s="7">
        <v>1789375.0</v>
      </c>
      <c r="G314" s="7">
        <v>8.0955076E7</v>
      </c>
      <c r="H314" s="7">
        <v>2.4522247839E10</v>
      </c>
      <c r="I314" s="7">
        <v>97118.0</v>
      </c>
      <c r="J314" s="7">
        <v>93762.0</v>
      </c>
      <c r="K314" s="7">
        <v>3356.0</v>
      </c>
      <c r="L314" s="7">
        <v>64.56</v>
      </c>
      <c r="M314" s="7">
        <v>-0.14</v>
      </c>
      <c r="N314" s="7">
        <v>5462.0</v>
      </c>
      <c r="O314" s="7">
        <v>5163562.0</v>
      </c>
      <c r="P314" s="7" t="s">
        <v>411</v>
      </c>
      <c r="Q314" s="7">
        <v>5003.98</v>
      </c>
      <c r="R314" s="3">
        <f t="shared" si="1"/>
        <v>10000</v>
      </c>
      <c r="S314" s="9">
        <v>5003.89</v>
      </c>
      <c r="T314" s="10">
        <v>10000.0</v>
      </c>
      <c r="V314" s="5">
        <f t="shared" si="2"/>
        <v>0</v>
      </c>
    </row>
    <row r="315" ht="22.5" customHeight="1">
      <c r="B315" s="7" t="s">
        <v>317</v>
      </c>
      <c r="C315" s="7">
        <v>70675.0</v>
      </c>
      <c r="D315" s="7">
        <v>106388.0</v>
      </c>
      <c r="E315" s="7">
        <v>1.715631E7</v>
      </c>
      <c r="F315" s="7">
        <v>1.6776621E7</v>
      </c>
      <c r="G315" s="7">
        <v>1.30580749E8</v>
      </c>
      <c r="H315" s="7">
        <v>3.299750003E9</v>
      </c>
      <c r="I315" s="7">
        <v>491771.0</v>
      </c>
      <c r="J315" s="7">
        <v>418670.0</v>
      </c>
      <c r="K315" s="7">
        <v>73101.0</v>
      </c>
      <c r="L315" s="7">
        <v>91.85</v>
      </c>
      <c r="M315" s="7">
        <v>-0.1</v>
      </c>
      <c r="N315" s="7">
        <v>106040.0</v>
      </c>
      <c r="O315" s="7">
        <v>1.4093144E7</v>
      </c>
      <c r="P315" s="7" t="s">
        <v>411</v>
      </c>
      <c r="Q315" s="7">
        <v>5004.05</v>
      </c>
      <c r="R315" s="3">
        <f t="shared" si="1"/>
        <v>10000</v>
      </c>
      <c r="S315" s="9">
        <v>4926.8</v>
      </c>
      <c r="T315" s="10">
        <v>10000.0</v>
      </c>
      <c r="V315" s="5">
        <f t="shared" si="2"/>
        <v>0</v>
      </c>
    </row>
    <row r="316" ht="22.5" customHeight="1">
      <c r="B316" s="7" t="s">
        <v>318</v>
      </c>
      <c r="C316" s="7">
        <v>111475.0</v>
      </c>
      <c r="D316" s="7">
        <v>138053.0</v>
      </c>
      <c r="E316" s="7">
        <v>1.8452352E7</v>
      </c>
      <c r="F316" s="7">
        <v>1.799939E7</v>
      </c>
      <c r="G316" s="7">
        <v>1.87304615E8</v>
      </c>
      <c r="H316" s="7">
        <v>3.290322378E9</v>
      </c>
      <c r="I316" s="7">
        <v>578657.0</v>
      </c>
      <c r="J316" s="7">
        <v>519497.0</v>
      </c>
      <c r="K316" s="7">
        <v>59160.0</v>
      </c>
      <c r="L316" s="7">
        <v>73.68</v>
      </c>
      <c r="M316" s="7">
        <v>-0.12</v>
      </c>
      <c r="N316" s="7">
        <v>92688.0</v>
      </c>
      <c r="O316" s="7">
        <v>2.1861933E7</v>
      </c>
      <c r="P316" s="7" t="s">
        <v>411</v>
      </c>
      <c r="Q316" s="7">
        <v>5004.03</v>
      </c>
      <c r="R316" s="3">
        <f t="shared" si="1"/>
        <v>10000</v>
      </c>
      <c r="S316" s="9">
        <v>4947.15</v>
      </c>
      <c r="T316" s="10">
        <v>10000.0</v>
      </c>
      <c r="V316" s="5">
        <f t="shared" si="2"/>
        <v>0</v>
      </c>
    </row>
    <row r="317" ht="22.5" customHeight="1">
      <c r="B317" s="7" t="s">
        <v>319</v>
      </c>
      <c r="C317" s="7">
        <v>168019.0</v>
      </c>
      <c r="D317" s="7">
        <v>173814.0</v>
      </c>
      <c r="E317" s="7">
        <v>1.8441129E7</v>
      </c>
      <c r="F317" s="7">
        <v>1.7972531E7</v>
      </c>
      <c r="G317" s="7">
        <v>2.25128105E8</v>
      </c>
      <c r="H317" s="7">
        <v>3.665934243E9</v>
      </c>
      <c r="I317" s="7">
        <v>598661.0</v>
      </c>
      <c r="J317" s="7">
        <v>543003.0</v>
      </c>
      <c r="K317" s="7">
        <v>55658.0</v>
      </c>
      <c r="L317" s="7">
        <v>71.69</v>
      </c>
      <c r="M317" s="7">
        <v>-0.13</v>
      </c>
      <c r="N317" s="7">
        <v>89340.0</v>
      </c>
      <c r="O317" s="7">
        <v>2.7717273E7</v>
      </c>
      <c r="P317" s="7" t="s">
        <v>411</v>
      </c>
      <c r="Q317" s="7">
        <v>5003.94</v>
      </c>
      <c r="R317" s="3">
        <f t="shared" si="1"/>
        <v>10000</v>
      </c>
      <c r="S317" s="9">
        <v>5003.89</v>
      </c>
      <c r="T317" s="10">
        <v>10000.0</v>
      </c>
      <c r="V317" s="5">
        <f t="shared" si="2"/>
        <v>0</v>
      </c>
    </row>
    <row r="318" ht="22.5" customHeight="1">
      <c r="B318" s="7" t="s">
        <v>320</v>
      </c>
      <c r="C318" s="7">
        <v>243955.0</v>
      </c>
      <c r="D318" s="7">
        <v>213707.0</v>
      </c>
      <c r="E318" s="7">
        <v>1.9333976E7</v>
      </c>
      <c r="F318" s="7">
        <v>1.8819265E7</v>
      </c>
      <c r="G318" s="7">
        <v>2.95376624E8</v>
      </c>
      <c r="H318" s="7">
        <v>4.402314507E9</v>
      </c>
      <c r="I318" s="7">
        <v>694636.0</v>
      </c>
      <c r="J318" s="7">
        <v>641262.0</v>
      </c>
      <c r="K318" s="7">
        <v>53374.0</v>
      </c>
      <c r="L318" s="7">
        <v>69.53</v>
      </c>
      <c r="M318" s="7">
        <v>-0.14</v>
      </c>
      <c r="N318" s="7">
        <v>87156.0</v>
      </c>
      <c r="O318" s="7">
        <v>3.8048324E7</v>
      </c>
      <c r="P318" s="7" t="s">
        <v>411</v>
      </c>
      <c r="Q318" s="7">
        <v>5003.97</v>
      </c>
      <c r="R318" s="3">
        <f t="shared" si="1"/>
        <v>10000</v>
      </c>
      <c r="S318" s="9">
        <v>4949.66</v>
      </c>
      <c r="T318" s="10">
        <v>10000.0</v>
      </c>
      <c r="V318" s="5">
        <f t="shared" si="2"/>
        <v>0</v>
      </c>
    </row>
    <row r="319" ht="22.5" customHeight="1">
      <c r="B319" s="7" t="s">
        <v>321</v>
      </c>
      <c r="C319" s="7">
        <v>344469.0</v>
      </c>
      <c r="D319" s="7">
        <v>286016.0</v>
      </c>
      <c r="E319" s="7">
        <v>1.9877352E7</v>
      </c>
      <c r="F319" s="7">
        <v>1.9329863E7</v>
      </c>
      <c r="G319" s="7">
        <v>3.52923986E8</v>
      </c>
      <c r="H319" s="7">
        <v>5.243677539E9</v>
      </c>
      <c r="I319" s="7">
        <v>740777.0</v>
      </c>
      <c r="J319" s="7">
        <v>689749.0</v>
      </c>
      <c r="K319" s="7">
        <v>51028.0</v>
      </c>
      <c r="L319" s="7">
        <v>67.76</v>
      </c>
      <c r="M319" s="7">
        <v>-0.15</v>
      </c>
      <c r="N319" s="7">
        <v>84911.0</v>
      </c>
      <c r="O319" s="7">
        <v>4.9430951E7</v>
      </c>
      <c r="P319" s="7" t="s">
        <v>411</v>
      </c>
      <c r="Q319" s="7">
        <v>5004.0</v>
      </c>
      <c r="R319" s="3">
        <f t="shared" si="1"/>
        <v>10000</v>
      </c>
      <c r="S319" s="9">
        <v>4935.34</v>
      </c>
      <c r="T319" s="10">
        <v>10000.0</v>
      </c>
      <c r="V319" s="5">
        <f t="shared" si="2"/>
        <v>0</v>
      </c>
    </row>
    <row r="320" ht="22.5" customHeight="1">
      <c r="B320" s="7" t="s">
        <v>322</v>
      </c>
      <c r="C320" s="7">
        <v>141985.0</v>
      </c>
      <c r="D320" s="7">
        <v>634173.0</v>
      </c>
      <c r="E320" s="7">
        <v>1.1469464E7</v>
      </c>
      <c r="F320" s="7">
        <v>1.1218494E7</v>
      </c>
      <c r="G320" s="7">
        <v>5.4156903E7</v>
      </c>
      <c r="H320" s="7">
        <v>7.602848871E9</v>
      </c>
      <c r="I320" s="7">
        <v>517839.0</v>
      </c>
      <c r="J320" s="7">
        <v>479307.0</v>
      </c>
      <c r="K320" s="7">
        <v>38532.0</v>
      </c>
      <c r="L320" s="7">
        <v>58.46</v>
      </c>
      <c r="M320" s="7">
        <v>-0.12</v>
      </c>
      <c r="N320" s="7">
        <v>56699.0</v>
      </c>
      <c r="O320" s="7">
        <v>7105088.0</v>
      </c>
      <c r="P320" s="7" t="s">
        <v>411</v>
      </c>
      <c r="Q320" s="7">
        <v>5003.98</v>
      </c>
      <c r="R320" s="3">
        <f t="shared" si="1"/>
        <v>10000</v>
      </c>
      <c r="S320" s="9">
        <v>4959.27</v>
      </c>
      <c r="T320" s="10">
        <v>10000.0</v>
      </c>
      <c r="V320" s="5">
        <f t="shared" si="2"/>
        <v>0</v>
      </c>
    </row>
    <row r="321" ht="22.5" customHeight="1">
      <c r="B321" s="7" t="s">
        <v>323</v>
      </c>
      <c r="C321" s="7">
        <v>59794.0</v>
      </c>
      <c r="D321" s="7">
        <v>243931.0</v>
      </c>
      <c r="E321" s="7">
        <v>1.1099427E7</v>
      </c>
      <c r="F321" s="7">
        <v>1.0913786E7</v>
      </c>
      <c r="G321" s="7">
        <v>3.3303921E7</v>
      </c>
      <c r="H321" s="7">
        <v>2.856457185E9</v>
      </c>
      <c r="I321" s="7">
        <v>530374.0</v>
      </c>
      <c r="J321" s="7">
        <v>481699.0</v>
      </c>
      <c r="K321" s="7">
        <v>48675.0</v>
      </c>
      <c r="L321" s="7">
        <v>54.13</v>
      </c>
      <c r="M321" s="7">
        <v>-0.1</v>
      </c>
      <c r="N321" s="7">
        <v>65185.0</v>
      </c>
      <c r="O321" s="7">
        <v>4857893.0</v>
      </c>
      <c r="P321" s="7" t="s">
        <v>411</v>
      </c>
      <c r="Q321" s="7">
        <v>5003.99</v>
      </c>
      <c r="R321" s="3">
        <f t="shared" si="1"/>
        <v>10000</v>
      </c>
      <c r="S321" s="9">
        <v>4907.82</v>
      </c>
      <c r="T321" s="10">
        <v>10000.0</v>
      </c>
      <c r="V321" s="5">
        <f t="shared" si="2"/>
        <v>0</v>
      </c>
    </row>
    <row r="322" ht="22.5" customHeight="1">
      <c r="B322" s="7" t="s">
        <v>327</v>
      </c>
      <c r="C322" s="7">
        <v>7021.0</v>
      </c>
      <c r="D322" s="7">
        <v>95854.0</v>
      </c>
      <c r="E322" s="7">
        <v>1.4679579E7</v>
      </c>
      <c r="F322" s="7">
        <v>1.4521071E7</v>
      </c>
      <c r="G322" s="7">
        <v>2.3363189E7</v>
      </c>
      <c r="H322" s="7">
        <v>4.156376791E9</v>
      </c>
      <c r="I322" s="7">
        <v>524620.0</v>
      </c>
      <c r="J322" s="7">
        <v>410321.0</v>
      </c>
      <c r="K322" s="7">
        <v>114299.0</v>
      </c>
      <c r="L322" s="7">
        <v>25.93</v>
      </c>
      <c r="M322" s="7">
        <v>-0.06</v>
      </c>
      <c r="N322" s="7">
        <v>139916.0</v>
      </c>
      <c r="O322" s="7">
        <v>4583505.0</v>
      </c>
      <c r="P322" s="7" t="s">
        <v>411</v>
      </c>
      <c r="Q322" s="7">
        <v>5004.0</v>
      </c>
      <c r="R322" s="3">
        <f t="shared" si="1"/>
        <v>10000</v>
      </c>
      <c r="S322" s="9">
        <v>4949.8</v>
      </c>
      <c r="T322" s="10">
        <v>10000.0</v>
      </c>
      <c r="V322" s="5">
        <f t="shared" si="2"/>
        <v>0</v>
      </c>
    </row>
    <row r="323" ht="22.5" customHeight="1">
      <c r="B323" s="7" t="s">
        <v>259</v>
      </c>
      <c r="C323" s="7">
        <v>4680.0</v>
      </c>
      <c r="D323" s="7">
        <v>39640.0</v>
      </c>
      <c r="E323" s="7">
        <v>1.6923881E7</v>
      </c>
      <c r="F323" s="7">
        <v>1.656271E7</v>
      </c>
      <c r="G323" s="7">
        <v>1.07052433E8</v>
      </c>
      <c r="H323" s="7">
        <v>4.83586181E9</v>
      </c>
      <c r="I323" s="7">
        <v>553902.0</v>
      </c>
      <c r="J323" s="7">
        <v>454187.0</v>
      </c>
      <c r="K323" s="7">
        <v>99715.0</v>
      </c>
      <c r="L323" s="7">
        <v>98.53</v>
      </c>
      <c r="M323" s="7">
        <v>-0.1</v>
      </c>
      <c r="N323" s="7">
        <v>131548.0</v>
      </c>
      <c r="O323" s="7">
        <v>1.0594919E7</v>
      </c>
      <c r="P323" s="7" t="s">
        <v>411</v>
      </c>
      <c r="Q323" s="7">
        <v>5004.01</v>
      </c>
      <c r="R323" s="3">
        <f t="shared" si="1"/>
        <v>10000</v>
      </c>
      <c r="S323" s="9">
        <v>2691.21</v>
      </c>
      <c r="T323" s="10">
        <v>2691.21</v>
      </c>
      <c r="V323" s="5">
        <f t="shared" si="2"/>
        <v>-7308.79</v>
      </c>
    </row>
    <row r="324" ht="22.5" customHeight="1">
      <c r="B324" s="7" t="s">
        <v>325</v>
      </c>
      <c r="C324" s="7">
        <v>126152.0</v>
      </c>
      <c r="D324" s="7">
        <v>1297025.0</v>
      </c>
      <c r="E324" s="7">
        <v>6330627.0</v>
      </c>
      <c r="F324" s="7">
        <v>4117735.0</v>
      </c>
      <c r="G324" s="7">
        <v>3.53996023E8</v>
      </c>
      <c r="H324" s="7">
        <v>1.1278318046E10</v>
      </c>
      <c r="I324" s="7">
        <v>156719.0</v>
      </c>
      <c r="J324" s="7">
        <v>148468.0</v>
      </c>
      <c r="K324" s="7">
        <v>8251.0</v>
      </c>
      <c r="L324" s="7">
        <v>478.68</v>
      </c>
      <c r="M324" s="7">
        <v>-0.19</v>
      </c>
      <c r="N324" s="7">
        <v>16324.0</v>
      </c>
      <c r="O324" s="7">
        <v>4.0354246E7</v>
      </c>
      <c r="P324" s="7" t="s">
        <v>411</v>
      </c>
      <c r="Q324" s="7">
        <v>5004.12</v>
      </c>
      <c r="R324" s="3">
        <f t="shared" si="1"/>
        <v>10000</v>
      </c>
      <c r="S324" s="9">
        <v>4948.05</v>
      </c>
      <c r="T324" s="10">
        <v>10000.0</v>
      </c>
      <c r="V324" s="5">
        <f t="shared" si="2"/>
        <v>0</v>
      </c>
    </row>
    <row r="325" ht="22.5" customHeight="1">
      <c r="B325" s="7" t="s">
        <v>326</v>
      </c>
      <c r="C325" s="7">
        <v>189446.0</v>
      </c>
      <c r="D325" s="7">
        <v>2004246.0</v>
      </c>
      <c r="E325" s="7">
        <v>6388295.0</v>
      </c>
      <c r="F325" s="7">
        <v>3837931.0</v>
      </c>
      <c r="G325" s="7">
        <v>4.11511035E8</v>
      </c>
      <c r="H325" s="7">
        <v>1.3209499844E10</v>
      </c>
      <c r="I325" s="7">
        <v>143831.0</v>
      </c>
      <c r="J325" s="7">
        <v>136483.0</v>
      </c>
      <c r="K325" s="7">
        <v>7348.0</v>
      </c>
      <c r="L325" s="7">
        <v>509.71</v>
      </c>
      <c r="M325" s="7">
        <v>-0.18</v>
      </c>
      <c r="N325" s="7">
        <v>15151.0</v>
      </c>
      <c r="O325" s="7">
        <v>4.8020709E7</v>
      </c>
      <c r="P325" s="7" t="s">
        <v>411</v>
      </c>
      <c r="Q325" s="7">
        <v>5003.83</v>
      </c>
      <c r="R325" s="3">
        <f t="shared" si="1"/>
        <v>10000</v>
      </c>
      <c r="S325" s="9">
        <v>4928.48</v>
      </c>
      <c r="T325" s="10">
        <v>10000.0</v>
      </c>
      <c r="V325" s="5">
        <f t="shared" si="2"/>
        <v>0</v>
      </c>
    </row>
    <row r="326" ht="22.5" customHeight="1">
      <c r="B326" s="7" t="s">
        <v>329</v>
      </c>
      <c r="C326" s="7">
        <v>6300.0</v>
      </c>
      <c r="D326" s="7">
        <v>114816.0</v>
      </c>
      <c r="E326" s="7">
        <v>3.262681E7</v>
      </c>
      <c r="F326" s="7">
        <v>3.2364072E7</v>
      </c>
      <c r="G326" s="7">
        <v>3.7488625E7</v>
      </c>
      <c r="H326" s="7">
        <v>2.25605677E9</v>
      </c>
      <c r="I326" s="7">
        <v>1324798.0</v>
      </c>
      <c r="J326" s="7">
        <v>1150214.0</v>
      </c>
      <c r="K326" s="7">
        <v>174584.0</v>
      </c>
      <c r="L326" s="7">
        <v>52.43</v>
      </c>
      <c r="M326" s="7">
        <v>-0.03</v>
      </c>
      <c r="N326" s="7">
        <v>203055.0</v>
      </c>
      <c r="O326" s="7">
        <v>1.920867E7</v>
      </c>
      <c r="P326" s="7" t="s">
        <v>411</v>
      </c>
      <c r="Q326" s="7">
        <v>5003.85</v>
      </c>
      <c r="R326" s="3">
        <f t="shared" si="1"/>
        <v>10000</v>
      </c>
      <c r="S326" s="9">
        <v>5003.92</v>
      </c>
      <c r="T326" s="10">
        <v>10000.0</v>
      </c>
      <c r="V326" s="5">
        <f t="shared" si="2"/>
        <v>0</v>
      </c>
    </row>
    <row r="327" ht="22.5" customHeight="1">
      <c r="B327" s="7" t="s">
        <v>330</v>
      </c>
      <c r="C327" s="7">
        <v>28147.0</v>
      </c>
      <c r="D327" s="7">
        <v>108399.0</v>
      </c>
      <c r="E327" s="7">
        <v>1.0486223E7</v>
      </c>
      <c r="F327" s="7">
        <v>1.0034046E7</v>
      </c>
      <c r="G327" s="7">
        <v>1.31370591E8</v>
      </c>
      <c r="H327" s="7">
        <v>6.906400064E9</v>
      </c>
      <c r="I327" s="7">
        <v>543079.0</v>
      </c>
      <c r="J327" s="7">
        <v>518882.0</v>
      </c>
      <c r="K327" s="7">
        <v>24197.0</v>
      </c>
      <c r="L327" s="7">
        <v>180.21</v>
      </c>
      <c r="M327" s="7">
        <v>-0.15</v>
      </c>
      <c r="N327" s="7">
        <v>39730.0</v>
      </c>
      <c r="O327" s="7">
        <v>6755557.0</v>
      </c>
      <c r="P327" s="7" t="s">
        <v>411</v>
      </c>
      <c r="Q327" s="7">
        <v>5003.96</v>
      </c>
      <c r="R327" s="3">
        <f t="shared" si="1"/>
        <v>10000</v>
      </c>
      <c r="S327" s="9">
        <v>4937.91</v>
      </c>
      <c r="T327" s="10">
        <v>10000.0</v>
      </c>
      <c r="V327" s="5">
        <f t="shared" si="2"/>
        <v>0</v>
      </c>
    </row>
    <row r="328" ht="22.5" customHeight="1">
      <c r="B328" s="7" t="s">
        <v>331</v>
      </c>
      <c r="C328" s="7">
        <v>36809.0</v>
      </c>
      <c r="D328" s="7">
        <v>142448.0</v>
      </c>
      <c r="E328" s="7">
        <v>8119214.0</v>
      </c>
      <c r="F328" s="7">
        <v>7636639.0</v>
      </c>
      <c r="G328" s="7">
        <v>2.82717687E8</v>
      </c>
      <c r="H328" s="7">
        <v>8.475733807E9</v>
      </c>
      <c r="I328" s="7">
        <v>505041.0</v>
      </c>
      <c r="J328" s="7">
        <v>493411.0</v>
      </c>
      <c r="K328" s="7">
        <v>11630.0</v>
      </c>
      <c r="L328" s="7">
        <v>205.33</v>
      </c>
      <c r="M328" s="7">
        <v>-0.2</v>
      </c>
      <c r="N328" s="7">
        <v>20132.0</v>
      </c>
      <c r="O328" s="7">
        <v>1.3210496E7</v>
      </c>
      <c r="P328" s="7" t="s">
        <v>411</v>
      </c>
      <c r="Q328" s="7">
        <v>5003.98</v>
      </c>
      <c r="R328" s="3">
        <f t="shared" si="1"/>
        <v>10000</v>
      </c>
      <c r="S328" s="9">
        <v>5003.89</v>
      </c>
      <c r="T328" s="10">
        <v>10000.0</v>
      </c>
      <c r="V328" s="5">
        <f t="shared" si="2"/>
        <v>0</v>
      </c>
    </row>
    <row r="329" ht="22.5" customHeight="1">
      <c r="B329" s="7" t="s">
        <v>332</v>
      </c>
      <c r="C329" s="7">
        <v>8590.0</v>
      </c>
      <c r="D329" s="7">
        <v>65144.0</v>
      </c>
      <c r="E329" s="7">
        <v>1.4584535E7</v>
      </c>
      <c r="F329" s="7">
        <v>1.4188029E7</v>
      </c>
      <c r="G329" s="7">
        <v>1.85016144E8</v>
      </c>
      <c r="H329" s="7">
        <v>2.525986747E9</v>
      </c>
      <c r="I329" s="7">
        <v>423565.0</v>
      </c>
      <c r="J329" s="7">
        <v>372618.0</v>
      </c>
      <c r="K329" s="7">
        <v>50947.0</v>
      </c>
      <c r="L329" s="7">
        <v>101.6</v>
      </c>
      <c r="M329" s="7">
        <v>-0.16</v>
      </c>
      <c r="N329" s="7">
        <v>78899.0</v>
      </c>
      <c r="O329" s="7">
        <v>2.2310104E7</v>
      </c>
      <c r="P329" s="7" t="s">
        <v>411</v>
      </c>
      <c r="Q329" s="7">
        <v>5003.89</v>
      </c>
      <c r="R329" s="3">
        <f t="shared" si="1"/>
        <v>10000</v>
      </c>
      <c r="S329" s="9">
        <v>4976.91</v>
      </c>
      <c r="T329" s="10">
        <v>10000.0</v>
      </c>
      <c r="V329" s="5">
        <f t="shared" si="2"/>
        <v>0</v>
      </c>
    </row>
    <row r="330" ht="22.5" customHeight="1">
      <c r="B330" s="7" t="s">
        <v>333</v>
      </c>
      <c r="C330" s="7">
        <v>8591.0</v>
      </c>
      <c r="D330" s="7">
        <v>65154.0</v>
      </c>
      <c r="E330" s="7">
        <v>1.7046426E7</v>
      </c>
      <c r="F330" s="7">
        <v>1.6588251E7</v>
      </c>
      <c r="G330" s="7">
        <v>2.08487931E8</v>
      </c>
      <c r="H330" s="7">
        <v>2.892790645E9</v>
      </c>
      <c r="I330" s="7">
        <v>469078.0</v>
      </c>
      <c r="J330" s="7">
        <v>410103.0</v>
      </c>
      <c r="K330" s="7">
        <v>58975.0</v>
      </c>
      <c r="L330" s="7">
        <v>95.94</v>
      </c>
      <c r="M330" s="7">
        <v>-0.15</v>
      </c>
      <c r="N330" s="7">
        <v>92526.0</v>
      </c>
      <c r="O330" s="7">
        <v>2.4903543E7</v>
      </c>
      <c r="P330" s="7" t="s">
        <v>411</v>
      </c>
      <c r="Q330" s="7">
        <v>5003.99</v>
      </c>
      <c r="R330" s="3">
        <f t="shared" si="1"/>
        <v>10000</v>
      </c>
      <c r="S330" s="9">
        <v>4909.69</v>
      </c>
      <c r="T330" s="10">
        <v>10000.0</v>
      </c>
      <c r="V330" s="5">
        <f t="shared" si="2"/>
        <v>0</v>
      </c>
    </row>
    <row r="331" ht="22.5" customHeight="1">
      <c r="B331" s="7" t="s">
        <v>334</v>
      </c>
      <c r="C331" s="7">
        <v>24975.0</v>
      </c>
      <c r="D331" s="7">
        <v>111780.0</v>
      </c>
      <c r="E331" s="7">
        <v>2.8342445E7</v>
      </c>
      <c r="F331" s="7">
        <v>2.7678555E7</v>
      </c>
      <c r="G331" s="7">
        <v>3.8665125E8</v>
      </c>
      <c r="H331" s="7">
        <v>6.954632131E9</v>
      </c>
      <c r="I331" s="7">
        <v>1760807.0</v>
      </c>
      <c r="J331" s="7">
        <v>1699926.0</v>
      </c>
      <c r="K331" s="7">
        <v>60881.0</v>
      </c>
      <c r="L331" s="7">
        <v>59.19</v>
      </c>
      <c r="M331" s="7">
        <v>-0.16</v>
      </c>
      <c r="N331" s="7">
        <v>94390.0</v>
      </c>
      <c r="O331" s="7">
        <v>2.8019453E7</v>
      </c>
      <c r="P331" s="7" t="s">
        <v>411</v>
      </c>
      <c r="Q331" s="7">
        <v>5003.98</v>
      </c>
      <c r="R331" s="3">
        <f t="shared" si="1"/>
        <v>10000</v>
      </c>
      <c r="S331" s="9">
        <v>5003.91</v>
      </c>
      <c r="T331" s="10">
        <v>10000.0</v>
      </c>
      <c r="V331" s="5">
        <f t="shared" si="2"/>
        <v>0</v>
      </c>
    </row>
    <row r="332" ht="22.5" customHeight="1">
      <c r="B332" s="7" t="s">
        <v>335</v>
      </c>
      <c r="C332" s="7">
        <v>26541.0</v>
      </c>
      <c r="D332" s="7">
        <v>117126.0</v>
      </c>
      <c r="E332" s="7">
        <v>2.5531627E7</v>
      </c>
      <c r="F332" s="7">
        <v>2.5087515E7</v>
      </c>
      <c r="G332" s="7">
        <v>2.4645352E8</v>
      </c>
      <c r="H332" s="7">
        <v>4.954674342E9</v>
      </c>
      <c r="I332" s="7">
        <v>1204950.0</v>
      </c>
      <c r="J332" s="7">
        <v>1141212.0</v>
      </c>
      <c r="K332" s="7">
        <v>63738.0</v>
      </c>
      <c r="L332" s="7">
        <v>60.7</v>
      </c>
      <c r="M332" s="7">
        <v>-0.14</v>
      </c>
      <c r="N332" s="7">
        <v>97147.0</v>
      </c>
      <c r="O332" s="7">
        <v>2.457548E7</v>
      </c>
      <c r="P332" s="7" t="s">
        <v>411</v>
      </c>
      <c r="Q332" s="7">
        <v>5004.01</v>
      </c>
      <c r="R332" s="3">
        <f t="shared" si="1"/>
        <v>10000</v>
      </c>
      <c r="S332" s="9">
        <v>5003.89</v>
      </c>
      <c r="T332" s="10">
        <v>10000.0</v>
      </c>
      <c r="V332" s="5">
        <f t="shared" si="2"/>
        <v>0</v>
      </c>
    </row>
    <row r="333" ht="22.5" customHeight="1">
      <c r="B333" s="7" t="s">
        <v>336</v>
      </c>
      <c r="C333" s="7">
        <v>26541.0</v>
      </c>
      <c r="D333" s="7">
        <v>117126.0</v>
      </c>
      <c r="E333" s="7">
        <v>2.8845482E7</v>
      </c>
      <c r="F333" s="7">
        <v>2.8306794E7</v>
      </c>
      <c r="G333" s="7">
        <v>3.07635683E8</v>
      </c>
      <c r="H333" s="7">
        <v>5.785936443E9</v>
      </c>
      <c r="I333" s="7">
        <v>1494198.0</v>
      </c>
      <c r="J333" s="7">
        <v>1431145.0</v>
      </c>
      <c r="K333" s="7">
        <v>63053.0</v>
      </c>
      <c r="L333" s="7">
        <v>56.93</v>
      </c>
      <c r="M333" s="7">
        <v>-0.15</v>
      </c>
      <c r="N333" s="7">
        <v>96490.0</v>
      </c>
      <c r="O333" s="7">
        <v>3.1534611E7</v>
      </c>
      <c r="P333" s="7" t="s">
        <v>411</v>
      </c>
      <c r="Q333" s="7">
        <v>5004.02</v>
      </c>
      <c r="R333" s="3">
        <f t="shared" si="1"/>
        <v>10000</v>
      </c>
      <c r="S333" s="9">
        <v>4955.36</v>
      </c>
      <c r="T333" s="10">
        <v>10000.0</v>
      </c>
      <c r="V333" s="5">
        <f t="shared" si="2"/>
        <v>0</v>
      </c>
    </row>
    <row r="334" ht="22.5" customHeight="1">
      <c r="B334" s="7" t="s">
        <v>337</v>
      </c>
      <c r="C334" s="7">
        <v>26541.0</v>
      </c>
      <c r="D334" s="7">
        <v>117126.0</v>
      </c>
      <c r="E334" s="7">
        <v>2.8063872E7</v>
      </c>
      <c r="F334" s="7">
        <v>2.7554461E7</v>
      </c>
      <c r="G334" s="7">
        <v>2.88291264E8</v>
      </c>
      <c r="H334" s="7">
        <v>5.443949802E9</v>
      </c>
      <c r="I334" s="7">
        <v>1404163.0</v>
      </c>
      <c r="J334" s="7">
        <v>1339974.0</v>
      </c>
      <c r="K334" s="7">
        <v>64189.0</v>
      </c>
      <c r="L334" s="7">
        <v>58.87</v>
      </c>
      <c r="M334" s="7">
        <v>-0.14</v>
      </c>
      <c r="N334" s="7">
        <v>97579.0</v>
      </c>
      <c r="O334" s="7">
        <v>2.9147128E7</v>
      </c>
      <c r="P334" s="7" t="s">
        <v>411</v>
      </c>
      <c r="Q334" s="7">
        <v>5003.97</v>
      </c>
      <c r="R334" s="3">
        <f t="shared" si="1"/>
        <v>10000</v>
      </c>
      <c r="S334" s="9">
        <v>4827.92</v>
      </c>
      <c r="T334" s="10">
        <v>10000.0</v>
      </c>
      <c r="V334" s="5">
        <f t="shared" si="2"/>
        <v>0</v>
      </c>
    </row>
    <row r="335" ht="22.5" customHeight="1">
      <c r="B335" s="7" t="s">
        <v>338</v>
      </c>
      <c r="C335" s="7">
        <v>26541.0</v>
      </c>
      <c r="D335" s="7">
        <v>117126.0</v>
      </c>
      <c r="E335" s="7">
        <v>3.0306619E7</v>
      </c>
      <c r="F335" s="7">
        <v>2.9741626E7</v>
      </c>
      <c r="G335" s="7">
        <v>3.18946031E8</v>
      </c>
      <c r="H335" s="7">
        <v>5.907250917E9</v>
      </c>
      <c r="I335" s="7">
        <v>1543187.0</v>
      </c>
      <c r="J335" s="7">
        <v>1477025.0</v>
      </c>
      <c r="K335" s="7">
        <v>66162.0</v>
      </c>
      <c r="L335" s="7">
        <v>57.41</v>
      </c>
      <c r="M335" s="7">
        <v>-0.14</v>
      </c>
      <c r="N335" s="7">
        <v>99466.0</v>
      </c>
      <c r="O335" s="7">
        <v>3.3160056E7</v>
      </c>
      <c r="P335" s="7" t="s">
        <v>411</v>
      </c>
      <c r="Q335" s="7">
        <v>5003.98</v>
      </c>
      <c r="R335" s="3">
        <f t="shared" si="1"/>
        <v>10000</v>
      </c>
      <c r="S335" s="9">
        <v>5003.74</v>
      </c>
      <c r="T335" s="10">
        <v>10000.0</v>
      </c>
      <c r="V335" s="5">
        <f t="shared" si="2"/>
        <v>0</v>
      </c>
    </row>
    <row r="336" ht="22.5" customHeight="1">
      <c r="B336" s="7" t="s">
        <v>339</v>
      </c>
      <c r="C336" s="7">
        <v>26541.0</v>
      </c>
      <c r="D336" s="7">
        <v>117126.0</v>
      </c>
      <c r="E336" s="7">
        <v>2.7057275E7</v>
      </c>
      <c r="F336" s="7">
        <v>2.656888E7</v>
      </c>
      <c r="G336" s="7">
        <v>2.55242705E8</v>
      </c>
      <c r="H336" s="7">
        <v>5.199018038E9</v>
      </c>
      <c r="I336" s="7">
        <v>1194980.0</v>
      </c>
      <c r="J336" s="7">
        <v>1131657.0</v>
      </c>
      <c r="K336" s="7">
        <v>63323.0</v>
      </c>
      <c r="L336" s="7">
        <v>61.73</v>
      </c>
      <c r="M336" s="7">
        <v>-0.14</v>
      </c>
      <c r="N336" s="7">
        <v>96748.0</v>
      </c>
      <c r="O336" s="7">
        <v>2.8483025E7</v>
      </c>
      <c r="P336" s="7" t="s">
        <v>411</v>
      </c>
      <c r="Q336" s="7">
        <v>5004.02</v>
      </c>
      <c r="R336" s="3">
        <f t="shared" si="1"/>
        <v>10000</v>
      </c>
      <c r="S336" s="9">
        <v>5003.89</v>
      </c>
      <c r="T336" s="10">
        <v>10000.0</v>
      </c>
      <c r="V336" s="5">
        <f t="shared" si="2"/>
        <v>0</v>
      </c>
    </row>
    <row r="337" ht="22.5" customHeight="1">
      <c r="B337" s="7" t="s">
        <v>340</v>
      </c>
      <c r="C337" s="7">
        <v>26541.0</v>
      </c>
      <c r="D337" s="7">
        <v>117126.0</v>
      </c>
      <c r="E337" s="7">
        <v>2.5425385E7</v>
      </c>
      <c r="F337" s="7">
        <v>2.4970047E7</v>
      </c>
      <c r="G337" s="7">
        <v>2.51400728E8</v>
      </c>
      <c r="H337" s="7">
        <v>4.973020875E9</v>
      </c>
      <c r="I337" s="7">
        <v>1204427.0</v>
      </c>
      <c r="J337" s="7">
        <v>1140445.0</v>
      </c>
      <c r="K337" s="7">
        <v>63982.0</v>
      </c>
      <c r="L337" s="7">
        <v>61.21</v>
      </c>
      <c r="M337" s="7">
        <v>-0.14</v>
      </c>
      <c r="N337" s="7">
        <v>97380.0</v>
      </c>
      <c r="O337" s="7">
        <v>2.5015752E7</v>
      </c>
      <c r="P337" s="7" t="s">
        <v>411</v>
      </c>
      <c r="Q337" s="7">
        <v>5004.04</v>
      </c>
      <c r="R337" s="3">
        <f t="shared" si="1"/>
        <v>10000</v>
      </c>
      <c r="S337" s="9">
        <v>5003.94</v>
      </c>
      <c r="T337" s="10">
        <v>10000.0</v>
      </c>
      <c r="V337" s="5">
        <f t="shared" si="2"/>
        <v>0</v>
      </c>
    </row>
    <row r="338" ht="22.5" customHeight="1">
      <c r="B338" s="7" t="s">
        <v>341</v>
      </c>
      <c r="C338" s="7">
        <v>26541.0</v>
      </c>
      <c r="D338" s="7">
        <v>117126.0</v>
      </c>
      <c r="E338" s="7">
        <v>2.4444876E7</v>
      </c>
      <c r="F338" s="7">
        <v>2.4031031E7</v>
      </c>
      <c r="G338" s="7">
        <v>2.28812499E8</v>
      </c>
      <c r="H338" s="7">
        <v>4.635163392E9</v>
      </c>
      <c r="I338" s="7">
        <v>1144354.0</v>
      </c>
      <c r="J338" s="7">
        <v>1079004.0</v>
      </c>
      <c r="K338" s="7">
        <v>65350.0</v>
      </c>
      <c r="L338" s="7">
        <v>62.67</v>
      </c>
      <c r="M338" s="7">
        <v>-0.13</v>
      </c>
      <c r="N338" s="7">
        <v>98687.0</v>
      </c>
      <c r="O338" s="7">
        <v>2.1656344E7</v>
      </c>
      <c r="P338" s="7" t="s">
        <v>411</v>
      </c>
      <c r="Q338" s="7">
        <v>5004.0</v>
      </c>
      <c r="R338" s="3">
        <f t="shared" si="1"/>
        <v>10000</v>
      </c>
      <c r="S338" s="9">
        <v>4947.32</v>
      </c>
      <c r="T338" s="10">
        <v>10000.0</v>
      </c>
      <c r="V338" s="5">
        <f t="shared" si="2"/>
        <v>0</v>
      </c>
    </row>
    <row r="339" ht="22.5" customHeight="1">
      <c r="B339" s="7" t="s">
        <v>342</v>
      </c>
      <c r="C339" s="7">
        <v>26541.0</v>
      </c>
      <c r="D339" s="7">
        <v>117126.0</v>
      </c>
      <c r="E339" s="7">
        <v>2.8962493E7</v>
      </c>
      <c r="F339" s="7">
        <v>2.8443432E7</v>
      </c>
      <c r="G339" s="7">
        <v>2.867977E8</v>
      </c>
      <c r="H339" s="7">
        <v>5.479770243E9</v>
      </c>
      <c r="I339" s="7">
        <v>1397136.0</v>
      </c>
      <c r="J339" s="7">
        <v>1334118.0</v>
      </c>
      <c r="K339" s="7">
        <v>63018.0</v>
      </c>
      <c r="L339" s="7">
        <v>58.45</v>
      </c>
      <c r="M339" s="7">
        <v>-0.14</v>
      </c>
      <c r="N339" s="7">
        <v>96458.0</v>
      </c>
      <c r="O339" s="7">
        <v>3.0286777E7</v>
      </c>
      <c r="P339" s="7" t="s">
        <v>411</v>
      </c>
      <c r="Q339" s="7">
        <v>5004.0</v>
      </c>
      <c r="R339" s="3">
        <f t="shared" si="1"/>
        <v>10000</v>
      </c>
      <c r="S339" s="9">
        <v>4815.86</v>
      </c>
      <c r="T339" s="10">
        <v>10000.0</v>
      </c>
      <c r="V339" s="5">
        <f t="shared" si="2"/>
        <v>0</v>
      </c>
    </row>
    <row r="340" ht="22.5" customHeight="1">
      <c r="B340" s="7" t="s">
        <v>343</v>
      </c>
      <c r="C340" s="7">
        <v>26541.0</v>
      </c>
      <c r="D340" s="7">
        <v>117126.0</v>
      </c>
      <c r="E340" s="7">
        <v>2.9564465E7</v>
      </c>
      <c r="F340" s="7">
        <v>2.9032086E7</v>
      </c>
      <c r="G340" s="7">
        <v>2.99076724E8</v>
      </c>
      <c r="H340" s="7">
        <v>5.658869591E9</v>
      </c>
      <c r="I340" s="7">
        <v>1464815.0</v>
      </c>
      <c r="J340" s="7">
        <v>1400426.0</v>
      </c>
      <c r="K340" s="7">
        <v>64389.0</v>
      </c>
      <c r="L340" s="7">
        <v>58.88</v>
      </c>
      <c r="M340" s="7">
        <v>-0.14</v>
      </c>
      <c r="N340" s="7">
        <v>97770.0</v>
      </c>
      <c r="O340" s="7">
        <v>3.087253E7</v>
      </c>
      <c r="P340" s="7" t="s">
        <v>411</v>
      </c>
      <c r="Q340" s="7">
        <v>5003.99</v>
      </c>
      <c r="R340" s="3">
        <f t="shared" si="1"/>
        <v>10000</v>
      </c>
      <c r="S340" s="9">
        <v>5003.89</v>
      </c>
      <c r="T340" s="10">
        <v>10000.0</v>
      </c>
      <c r="V340" s="5">
        <f t="shared" si="2"/>
        <v>0</v>
      </c>
    </row>
    <row r="341" ht="22.5" customHeight="1">
      <c r="B341" s="7" t="s">
        <v>344</v>
      </c>
      <c r="C341" s="7">
        <v>26541.0</v>
      </c>
      <c r="D341" s="7">
        <v>117126.0</v>
      </c>
      <c r="E341" s="7">
        <v>2.3934718E7</v>
      </c>
      <c r="F341" s="7">
        <v>2.3507578E7</v>
      </c>
      <c r="G341" s="7">
        <v>2.17772651E8</v>
      </c>
      <c r="H341" s="7">
        <v>4.572123846E9</v>
      </c>
      <c r="I341" s="7">
        <v>1023902.0</v>
      </c>
      <c r="J341" s="7">
        <v>958638.0</v>
      </c>
      <c r="K341" s="7">
        <v>65264.0</v>
      </c>
      <c r="L341" s="7">
        <v>65.21</v>
      </c>
      <c r="M341" s="7">
        <v>-0.13</v>
      </c>
      <c r="N341" s="7">
        <v>98606.0</v>
      </c>
      <c r="O341" s="7">
        <v>2.2245982E7</v>
      </c>
      <c r="P341" s="7" t="s">
        <v>411</v>
      </c>
      <c r="Q341" s="7">
        <v>5004.02</v>
      </c>
      <c r="R341" s="3">
        <f t="shared" si="1"/>
        <v>10000</v>
      </c>
      <c r="S341" s="9">
        <v>5003.91</v>
      </c>
      <c r="T341" s="10">
        <v>10000.0</v>
      </c>
      <c r="V341" s="5">
        <f t="shared" si="2"/>
        <v>0</v>
      </c>
    </row>
    <row r="342" ht="22.5" customHeight="1">
      <c r="B342" s="7" t="s">
        <v>345</v>
      </c>
      <c r="C342" s="7">
        <v>26541.0</v>
      </c>
      <c r="D342" s="7">
        <v>117126.0</v>
      </c>
      <c r="E342" s="7">
        <v>2.2893372E7</v>
      </c>
      <c r="F342" s="7">
        <v>2.2486153E7</v>
      </c>
      <c r="G342" s="7">
        <v>2.08433282E8</v>
      </c>
      <c r="H342" s="7">
        <v>4.350447786E9</v>
      </c>
      <c r="I342" s="7">
        <v>996839.0</v>
      </c>
      <c r="J342" s="7">
        <v>931844.0</v>
      </c>
      <c r="K342" s="7">
        <v>64995.0</v>
      </c>
      <c r="L342" s="7">
        <v>67.82</v>
      </c>
      <c r="M342" s="7">
        <v>-0.13</v>
      </c>
      <c r="N342" s="7">
        <v>98346.0</v>
      </c>
      <c r="O342" s="7">
        <v>2.008013E7</v>
      </c>
      <c r="P342" s="7" t="s">
        <v>411</v>
      </c>
      <c r="Q342" s="7">
        <v>5004.01</v>
      </c>
      <c r="R342" s="3">
        <f t="shared" si="1"/>
        <v>10000</v>
      </c>
      <c r="S342" s="9">
        <v>5003.9</v>
      </c>
      <c r="T342" s="10">
        <v>10000.0</v>
      </c>
      <c r="V342" s="5">
        <f t="shared" si="2"/>
        <v>0</v>
      </c>
    </row>
    <row r="343" ht="22.5" customHeight="1">
      <c r="B343" s="7" t="s">
        <v>346</v>
      </c>
      <c r="C343" s="7">
        <v>26541.0</v>
      </c>
      <c r="D343" s="7">
        <v>117126.0</v>
      </c>
      <c r="E343" s="7">
        <v>2.4227179E7</v>
      </c>
      <c r="F343" s="7">
        <v>2.3791064E7</v>
      </c>
      <c r="G343" s="7">
        <v>2.36390393E8</v>
      </c>
      <c r="H343" s="7">
        <v>4.733524747E9</v>
      </c>
      <c r="I343" s="7">
        <v>1150501.0</v>
      </c>
      <c r="J343" s="7">
        <v>1085110.0</v>
      </c>
      <c r="K343" s="7">
        <v>65391.0</v>
      </c>
      <c r="L343" s="7">
        <v>63.99</v>
      </c>
      <c r="M343" s="7">
        <v>-0.13</v>
      </c>
      <c r="N343" s="7">
        <v>98725.0</v>
      </c>
      <c r="O343" s="7">
        <v>2.2149582E7</v>
      </c>
      <c r="P343" s="7" t="s">
        <v>411</v>
      </c>
      <c r="Q343" s="7">
        <v>5004.0</v>
      </c>
      <c r="R343" s="3">
        <f t="shared" si="1"/>
        <v>10000</v>
      </c>
      <c r="S343" s="9">
        <v>4955.12</v>
      </c>
      <c r="T343" s="10">
        <v>10000.0</v>
      </c>
      <c r="V343" s="5">
        <f t="shared" si="2"/>
        <v>0</v>
      </c>
    </row>
    <row r="344" ht="22.5" customHeight="1">
      <c r="B344" s="7" t="s">
        <v>347</v>
      </c>
      <c r="C344" s="7">
        <v>26541.0</v>
      </c>
      <c r="D344" s="7">
        <v>117126.0</v>
      </c>
      <c r="E344" s="7">
        <v>2.8992429E7</v>
      </c>
      <c r="F344" s="7">
        <v>2.8453005E7</v>
      </c>
      <c r="G344" s="7">
        <v>3.15331699E8</v>
      </c>
      <c r="H344" s="7">
        <v>5.793738711E9</v>
      </c>
      <c r="I344" s="7">
        <v>1558593.0</v>
      </c>
      <c r="J344" s="7">
        <v>1493682.0</v>
      </c>
      <c r="K344" s="7">
        <v>64911.0</v>
      </c>
      <c r="L344" s="7">
        <v>58.34</v>
      </c>
      <c r="M344" s="7">
        <v>-0.15</v>
      </c>
      <c r="N344" s="7">
        <v>98269.0</v>
      </c>
      <c r="O344" s="7">
        <v>3.0068389E7</v>
      </c>
      <c r="P344" s="7" t="s">
        <v>411</v>
      </c>
      <c r="Q344" s="7">
        <v>5003.99</v>
      </c>
      <c r="R344" s="3">
        <f t="shared" si="1"/>
        <v>10000</v>
      </c>
      <c r="S344" s="9">
        <v>4839.6</v>
      </c>
      <c r="T344" s="10">
        <v>10000.0</v>
      </c>
      <c r="V344" s="5">
        <f t="shared" si="2"/>
        <v>0</v>
      </c>
    </row>
    <row r="345" ht="22.5" customHeight="1">
      <c r="B345" s="7" t="s">
        <v>348</v>
      </c>
      <c r="C345" s="7">
        <v>26541.0</v>
      </c>
      <c r="D345" s="7">
        <v>117126.0</v>
      </c>
      <c r="E345" s="7">
        <v>3.129121E7</v>
      </c>
      <c r="F345" s="7">
        <v>3.0696695E7</v>
      </c>
      <c r="G345" s="7">
        <v>3.4604687E8</v>
      </c>
      <c r="H345" s="7">
        <v>6.28749708E9</v>
      </c>
      <c r="I345" s="7">
        <v>1699886.0</v>
      </c>
      <c r="J345" s="7">
        <v>1636357.0</v>
      </c>
      <c r="K345" s="7">
        <v>63529.0</v>
      </c>
      <c r="L345" s="7">
        <v>57.1</v>
      </c>
      <c r="M345" s="7">
        <v>-0.15</v>
      </c>
      <c r="N345" s="7">
        <v>96943.0</v>
      </c>
      <c r="O345" s="7">
        <v>3.4600295E7</v>
      </c>
      <c r="P345" s="7" t="s">
        <v>411</v>
      </c>
      <c r="Q345" s="7">
        <v>5003.97</v>
      </c>
      <c r="R345" s="3">
        <f t="shared" si="1"/>
        <v>10000</v>
      </c>
      <c r="S345" s="9">
        <v>5003.82</v>
      </c>
      <c r="T345" s="10">
        <v>10000.0</v>
      </c>
      <c r="V345" s="5">
        <f t="shared" si="2"/>
        <v>0</v>
      </c>
    </row>
    <row r="346" ht="22.5" customHeight="1">
      <c r="B346" s="7" t="s">
        <v>349</v>
      </c>
      <c r="C346" s="7">
        <v>26541.0</v>
      </c>
      <c r="D346" s="7">
        <v>117126.0</v>
      </c>
      <c r="E346" s="7">
        <v>2.7064681E7</v>
      </c>
      <c r="F346" s="7">
        <v>2.6563966E7</v>
      </c>
      <c r="G346" s="7">
        <v>2.61282975E8</v>
      </c>
      <c r="H346" s="7">
        <v>5.260021975E9</v>
      </c>
      <c r="I346" s="7">
        <v>1229556.0</v>
      </c>
      <c r="J346" s="7">
        <v>1164821.0</v>
      </c>
      <c r="K346" s="7">
        <v>64735.0</v>
      </c>
      <c r="L346" s="7">
        <v>60.45</v>
      </c>
      <c r="M346" s="7">
        <v>-0.14</v>
      </c>
      <c r="N346" s="7">
        <v>98099.0</v>
      </c>
      <c r="O346" s="7">
        <v>2.8460328E7</v>
      </c>
      <c r="P346" s="7" t="s">
        <v>411</v>
      </c>
      <c r="Q346" s="7">
        <v>5003.98</v>
      </c>
      <c r="R346" s="3">
        <f t="shared" si="1"/>
        <v>10000</v>
      </c>
      <c r="S346" s="9">
        <v>5003.9</v>
      </c>
      <c r="T346" s="10">
        <v>10000.0</v>
      </c>
      <c r="V346" s="5">
        <f t="shared" si="2"/>
        <v>0</v>
      </c>
    </row>
    <row r="347" ht="22.5" customHeight="1">
      <c r="B347" s="7" t="s">
        <v>350</v>
      </c>
      <c r="C347" s="7">
        <v>26541.0</v>
      </c>
      <c r="D347" s="7">
        <v>117126.0</v>
      </c>
      <c r="E347" s="7">
        <v>2.461521E7</v>
      </c>
      <c r="F347" s="7">
        <v>2.417629E7</v>
      </c>
      <c r="G347" s="7">
        <v>2.27794349E8</v>
      </c>
      <c r="H347" s="7">
        <v>4.730943655E9</v>
      </c>
      <c r="I347" s="7">
        <v>1066375.0</v>
      </c>
      <c r="J347" s="7">
        <v>1003033.0</v>
      </c>
      <c r="K347" s="7">
        <v>63342.0</v>
      </c>
      <c r="L347" s="7">
        <v>63.21</v>
      </c>
      <c r="M347" s="7">
        <v>-0.13</v>
      </c>
      <c r="N347" s="7">
        <v>96767.0</v>
      </c>
      <c r="O347" s="7">
        <v>2.3826388E7</v>
      </c>
      <c r="P347" s="7" t="s">
        <v>411</v>
      </c>
      <c r="Q347" s="7">
        <v>5004.01</v>
      </c>
      <c r="R347" s="3">
        <f t="shared" si="1"/>
        <v>10000</v>
      </c>
      <c r="S347" s="9">
        <v>5003.88</v>
      </c>
      <c r="T347" s="10">
        <v>10000.0</v>
      </c>
      <c r="V347" s="5">
        <f t="shared" si="2"/>
        <v>0</v>
      </c>
    </row>
    <row r="348" ht="22.5" customHeight="1">
      <c r="B348" s="7" t="s">
        <v>351</v>
      </c>
      <c r="C348" s="7">
        <v>26541.0</v>
      </c>
      <c r="D348" s="7">
        <v>117126.0</v>
      </c>
      <c r="E348" s="7">
        <v>2.8283129E7</v>
      </c>
      <c r="F348" s="7">
        <v>2.7755438E7</v>
      </c>
      <c r="G348" s="7">
        <v>2.9861464E8</v>
      </c>
      <c r="H348" s="7">
        <v>5.647342581E9</v>
      </c>
      <c r="I348" s="7">
        <v>1445708.0</v>
      </c>
      <c r="J348" s="7">
        <v>1381415.0</v>
      </c>
      <c r="K348" s="7">
        <v>64293.0</v>
      </c>
      <c r="L348" s="7">
        <v>58.33</v>
      </c>
      <c r="M348" s="7">
        <v>-0.14</v>
      </c>
      <c r="N348" s="7">
        <v>97674.0</v>
      </c>
      <c r="O348" s="7">
        <v>3.0225821E7</v>
      </c>
      <c r="P348" s="7" t="s">
        <v>411</v>
      </c>
      <c r="Q348" s="7">
        <v>5004.03</v>
      </c>
      <c r="R348" s="3">
        <f t="shared" si="1"/>
        <v>10000</v>
      </c>
      <c r="S348" s="9">
        <v>4954.11</v>
      </c>
      <c r="T348" s="10">
        <v>10000.0</v>
      </c>
      <c r="V348" s="5">
        <f t="shared" si="2"/>
        <v>0</v>
      </c>
    </row>
    <row r="349" ht="22.5" customHeight="1">
      <c r="B349" s="7" t="s">
        <v>352</v>
      </c>
      <c r="C349" s="7">
        <v>26541.0</v>
      </c>
      <c r="D349" s="7">
        <v>117126.0</v>
      </c>
      <c r="E349" s="7">
        <v>2.4209791E7</v>
      </c>
      <c r="F349" s="7">
        <v>2.3814358E7</v>
      </c>
      <c r="G349" s="7">
        <v>2.06334973E8</v>
      </c>
      <c r="H349" s="7">
        <v>4.325687231E9</v>
      </c>
      <c r="I349" s="7">
        <v>1038552.0</v>
      </c>
      <c r="J349" s="7">
        <v>970556.0</v>
      </c>
      <c r="K349" s="7">
        <v>67996.0</v>
      </c>
      <c r="L349" s="7">
        <v>65.09</v>
      </c>
      <c r="M349" s="7">
        <v>-0.12</v>
      </c>
      <c r="N349" s="7">
        <v>101221.0</v>
      </c>
      <c r="O349" s="7">
        <v>2.0434656E7</v>
      </c>
      <c r="P349" s="7" t="s">
        <v>411</v>
      </c>
      <c r="Q349" s="7">
        <v>5003.9</v>
      </c>
      <c r="R349" s="3">
        <f t="shared" si="1"/>
        <v>10000</v>
      </c>
      <c r="S349" s="9">
        <v>4838.04</v>
      </c>
      <c r="T349" s="10">
        <v>10000.0</v>
      </c>
      <c r="V349" s="5">
        <f t="shared" si="2"/>
        <v>0</v>
      </c>
    </row>
    <row r="350" ht="22.5" customHeight="1">
      <c r="B350" s="7" t="s">
        <v>353</v>
      </c>
      <c r="C350" s="7">
        <v>26541.0</v>
      </c>
      <c r="D350" s="7">
        <v>117126.0</v>
      </c>
      <c r="E350" s="7">
        <v>2.6068159E7</v>
      </c>
      <c r="F350" s="7">
        <v>2.5589084E7</v>
      </c>
      <c r="G350" s="7">
        <v>2.57925268E8</v>
      </c>
      <c r="H350" s="7">
        <v>5.006645368E9</v>
      </c>
      <c r="I350" s="7">
        <v>1250704.0</v>
      </c>
      <c r="J350" s="7">
        <v>1184720.0</v>
      </c>
      <c r="K350" s="7">
        <v>65984.0</v>
      </c>
      <c r="L350" s="7">
        <v>62.32</v>
      </c>
      <c r="M350" s="7">
        <v>-0.14</v>
      </c>
      <c r="N350" s="7">
        <v>99291.0</v>
      </c>
      <c r="O350" s="7">
        <v>2.496637E7</v>
      </c>
      <c r="P350" s="7" t="s">
        <v>411</v>
      </c>
      <c r="Q350" s="7">
        <v>5003.95</v>
      </c>
      <c r="R350" s="3">
        <f t="shared" si="1"/>
        <v>10000</v>
      </c>
      <c r="S350" s="9">
        <v>5003.76</v>
      </c>
      <c r="T350" s="10">
        <v>10000.0</v>
      </c>
      <c r="V350" s="5">
        <f t="shared" si="2"/>
        <v>0</v>
      </c>
    </row>
    <row r="351" ht="22.5" customHeight="1">
      <c r="B351" s="7" t="s">
        <v>354</v>
      </c>
      <c r="C351" s="7">
        <v>26541.0</v>
      </c>
      <c r="D351" s="7">
        <v>117126.0</v>
      </c>
      <c r="E351" s="7">
        <v>2.3074519E7</v>
      </c>
      <c r="F351" s="7">
        <v>2.2662077E7</v>
      </c>
      <c r="G351" s="7">
        <v>2.15219745E8</v>
      </c>
      <c r="H351" s="7">
        <v>4.5038884E9</v>
      </c>
      <c r="I351" s="7">
        <v>1032260.0</v>
      </c>
      <c r="J351" s="7">
        <v>967055.0</v>
      </c>
      <c r="K351" s="7">
        <v>65205.0</v>
      </c>
      <c r="L351" s="7">
        <v>66.1</v>
      </c>
      <c r="M351" s="7">
        <v>-0.13</v>
      </c>
      <c r="N351" s="7">
        <v>98545.0</v>
      </c>
      <c r="O351" s="7">
        <v>2.0234484E7</v>
      </c>
      <c r="P351" s="7" t="s">
        <v>411</v>
      </c>
      <c r="Q351" s="7">
        <v>5004.0</v>
      </c>
      <c r="R351" s="3">
        <f t="shared" si="1"/>
        <v>10000</v>
      </c>
      <c r="S351" s="9">
        <v>5003.88</v>
      </c>
      <c r="T351" s="10">
        <v>10000.0</v>
      </c>
      <c r="V351" s="5">
        <f t="shared" si="2"/>
        <v>0</v>
      </c>
    </row>
    <row r="352" ht="22.5" customHeight="1">
      <c r="B352" s="7" t="s">
        <v>355</v>
      </c>
      <c r="C352" s="7">
        <v>26541.0</v>
      </c>
      <c r="D352" s="7">
        <v>117153.0</v>
      </c>
      <c r="E352" s="7">
        <v>2.6115095E7</v>
      </c>
      <c r="F352" s="7">
        <v>2.5504273E7</v>
      </c>
      <c r="G352" s="7">
        <v>3.83720838E8</v>
      </c>
      <c r="H352" s="7">
        <v>7.506024971E9</v>
      </c>
      <c r="I352" s="7">
        <v>1670292.0</v>
      </c>
      <c r="J352" s="7">
        <v>1614693.0</v>
      </c>
      <c r="K352" s="7">
        <v>55599.0</v>
      </c>
      <c r="L352" s="7">
        <v>61.54</v>
      </c>
      <c r="M352" s="7">
        <v>-0.16</v>
      </c>
      <c r="N352" s="7">
        <v>89329.0</v>
      </c>
      <c r="O352" s="7">
        <v>2.2542004E7</v>
      </c>
      <c r="P352" s="7" t="s">
        <v>411</v>
      </c>
      <c r="Q352" s="7">
        <v>5004.01</v>
      </c>
      <c r="R352" s="3">
        <f t="shared" si="1"/>
        <v>10000</v>
      </c>
      <c r="S352" s="9">
        <v>5003.89</v>
      </c>
      <c r="T352" s="10">
        <v>10000.0</v>
      </c>
      <c r="V352" s="5">
        <f t="shared" si="2"/>
        <v>0</v>
      </c>
    </row>
    <row r="353" ht="22.5" customHeight="1">
      <c r="B353" s="7" t="s">
        <v>356</v>
      </c>
      <c r="C353" s="7">
        <v>4656.0</v>
      </c>
      <c r="D353" s="7">
        <v>13868.0</v>
      </c>
      <c r="E353" s="7">
        <v>9409767.0</v>
      </c>
      <c r="F353" s="7">
        <v>9273788.0</v>
      </c>
      <c r="G353" s="7">
        <v>1.8819765E7</v>
      </c>
      <c r="H353" s="7">
        <v>2.016992645E9</v>
      </c>
      <c r="I353" s="7">
        <v>509361.0</v>
      </c>
      <c r="J353" s="7">
        <v>454246.0</v>
      </c>
      <c r="K353" s="7">
        <v>55115.0</v>
      </c>
      <c r="L353" s="7">
        <v>40.57</v>
      </c>
      <c r="M353" s="7">
        <v>-0.06</v>
      </c>
      <c r="N353" s="7">
        <v>65834.0</v>
      </c>
      <c r="O353" s="7">
        <v>4346622.0</v>
      </c>
      <c r="P353" s="7" t="s">
        <v>411</v>
      </c>
      <c r="Q353" s="7">
        <v>5004.03</v>
      </c>
      <c r="R353" s="3">
        <f t="shared" si="1"/>
        <v>10000</v>
      </c>
      <c r="S353" s="9">
        <v>5003.91</v>
      </c>
      <c r="T353" s="10">
        <v>10000.0</v>
      </c>
      <c r="V353" s="5">
        <f t="shared" si="2"/>
        <v>0</v>
      </c>
    </row>
    <row r="354" ht="22.5" customHeight="1">
      <c r="B354" s="7" t="s">
        <v>357</v>
      </c>
      <c r="C354" s="7">
        <v>3366.0</v>
      </c>
      <c r="D354" s="7">
        <v>362797.0</v>
      </c>
      <c r="E354" s="7">
        <v>3.2475449E7</v>
      </c>
      <c r="F354" s="7">
        <v>3.1925271E7</v>
      </c>
      <c r="G354" s="7">
        <v>4.6077333E7</v>
      </c>
      <c r="H354" s="7">
        <v>2.81214083E9</v>
      </c>
      <c r="I354" s="7">
        <v>1282914.0</v>
      </c>
      <c r="J354" s="7">
        <v>1115130.0</v>
      </c>
      <c r="K354" s="7">
        <v>167784.0</v>
      </c>
      <c r="L354" s="7">
        <v>70.97</v>
      </c>
      <c r="M354" s="7">
        <v>-0.04</v>
      </c>
      <c r="N354" s="7">
        <v>196460.0</v>
      </c>
      <c r="O354" s="7">
        <v>1.9878707E7</v>
      </c>
      <c r="P354" s="7" t="s">
        <v>411</v>
      </c>
      <c r="Q354" s="7">
        <v>5003.94</v>
      </c>
      <c r="R354" s="3">
        <f t="shared" si="1"/>
        <v>10000</v>
      </c>
      <c r="S354" s="9">
        <v>5003.69</v>
      </c>
      <c r="T354" s="10">
        <v>10000.0</v>
      </c>
      <c r="V354" s="5">
        <f t="shared" si="2"/>
        <v>0</v>
      </c>
    </row>
    <row r="355" ht="22.5" customHeight="1">
      <c r="B355" s="7" t="s">
        <v>358</v>
      </c>
      <c r="C355" s="7">
        <v>302737.0</v>
      </c>
      <c r="D355" s="7">
        <v>1309727.0</v>
      </c>
      <c r="E355" s="7">
        <v>1283163.0</v>
      </c>
      <c r="F355" s="7">
        <v>1256825.0</v>
      </c>
      <c r="G355" s="7">
        <v>2130945.0</v>
      </c>
      <c r="H355" s="7">
        <v>1.3487611421E10</v>
      </c>
      <c r="I355" s="7">
        <v>64381.0</v>
      </c>
      <c r="J355" s="7">
        <v>57253.0</v>
      </c>
      <c r="K355" s="7">
        <v>7128.0</v>
      </c>
      <c r="L355" s="7">
        <v>52.45</v>
      </c>
      <c r="M355" s="7">
        <v>-0.04</v>
      </c>
      <c r="N355" s="7">
        <v>9086.0</v>
      </c>
      <c r="O355" s="7">
        <v>712799.0</v>
      </c>
      <c r="P355" s="7" t="s">
        <v>411</v>
      </c>
      <c r="Q355" s="7">
        <v>5003.9</v>
      </c>
      <c r="R355" s="3">
        <f t="shared" si="1"/>
        <v>10000</v>
      </c>
      <c r="S355" s="9">
        <v>5003.89</v>
      </c>
      <c r="T355" s="10">
        <v>10000.0</v>
      </c>
      <c r="V355" s="5">
        <f t="shared" si="2"/>
        <v>0</v>
      </c>
    </row>
    <row r="356" ht="22.5" customHeight="1">
      <c r="B356" s="7" t="s">
        <v>359</v>
      </c>
      <c r="C356" s="7">
        <v>1315.0</v>
      </c>
      <c r="D356" s="7">
        <v>5254.0</v>
      </c>
      <c r="E356" s="7">
        <v>2.4353676E7</v>
      </c>
      <c r="F356" s="7">
        <v>2.4144183E7</v>
      </c>
      <c r="G356" s="7">
        <v>3.7304724E7</v>
      </c>
      <c r="H356" s="7">
        <v>1.808032443E9</v>
      </c>
      <c r="I356" s="7">
        <v>1212154.0</v>
      </c>
      <c r="J356" s="7">
        <v>1061412.0</v>
      </c>
      <c r="K356" s="7">
        <v>150742.0</v>
      </c>
      <c r="L356" s="7">
        <v>22.92</v>
      </c>
      <c r="M356" s="7">
        <v>-0.05</v>
      </c>
      <c r="N356" s="7">
        <v>180467.0</v>
      </c>
      <c r="O356" s="7">
        <v>1.043753E7</v>
      </c>
      <c r="P356" s="7" t="s">
        <v>411</v>
      </c>
      <c r="Q356" s="7">
        <v>5004.0</v>
      </c>
      <c r="R356" s="3">
        <f t="shared" si="1"/>
        <v>10000</v>
      </c>
      <c r="S356" s="9">
        <v>4943.84</v>
      </c>
      <c r="T356" s="10">
        <v>10000.0</v>
      </c>
      <c r="V356" s="5">
        <f t="shared" si="2"/>
        <v>0</v>
      </c>
    </row>
    <row r="357" ht="22.5" customHeight="1">
      <c r="B357" s="7" t="s">
        <v>360</v>
      </c>
      <c r="C357" s="7">
        <v>188962.0</v>
      </c>
      <c r="D357" s="7">
        <v>825894.0</v>
      </c>
      <c r="E357" s="7">
        <v>6540031.0</v>
      </c>
      <c r="F357" s="7">
        <v>6199539.0</v>
      </c>
      <c r="G357" s="7">
        <v>5.0414722E7</v>
      </c>
      <c r="H357" s="7">
        <v>7.275213318E9</v>
      </c>
      <c r="I357" s="7">
        <v>251411.0</v>
      </c>
      <c r="J357" s="7">
        <v>224732.0</v>
      </c>
      <c r="K357" s="7">
        <v>26679.0</v>
      </c>
      <c r="L357" s="7">
        <v>284.6</v>
      </c>
      <c r="M357" s="7">
        <v>-0.09</v>
      </c>
      <c r="N357" s="7">
        <v>34450.0</v>
      </c>
      <c r="O357" s="7">
        <v>4206038.0</v>
      </c>
      <c r="P357" s="7" t="s">
        <v>411</v>
      </c>
      <c r="Q357" s="7">
        <v>5003.92</v>
      </c>
      <c r="R357" s="3">
        <f t="shared" si="1"/>
        <v>10000</v>
      </c>
      <c r="S357" s="9">
        <v>5003.91</v>
      </c>
      <c r="T357" s="10">
        <v>10000.0</v>
      </c>
      <c r="V357" s="5">
        <f t="shared" si="2"/>
        <v>0</v>
      </c>
    </row>
    <row r="358" ht="22.5" customHeight="1">
      <c r="B358" s="7" t="s">
        <v>361</v>
      </c>
      <c r="C358" s="7">
        <v>164158.0</v>
      </c>
      <c r="D358" s="7">
        <v>717440.0</v>
      </c>
      <c r="E358" s="7">
        <v>1.5231935E7</v>
      </c>
      <c r="F358" s="7">
        <v>1.472077E7</v>
      </c>
      <c r="G358" s="7">
        <v>6.8400331E7</v>
      </c>
      <c r="H358" s="7">
        <v>7.998942667E9</v>
      </c>
      <c r="I358" s="7">
        <v>459306.0</v>
      </c>
      <c r="J358" s="7">
        <v>354467.0</v>
      </c>
      <c r="K358" s="7">
        <v>104839.0</v>
      </c>
      <c r="L358" s="7">
        <v>141.36</v>
      </c>
      <c r="M358" s="7">
        <v>-0.06</v>
      </c>
      <c r="N358" s="7">
        <v>132341.0</v>
      </c>
      <c r="O358" s="7">
        <v>5115107.0</v>
      </c>
      <c r="P358" s="7" t="s">
        <v>411</v>
      </c>
      <c r="Q358" s="7">
        <v>5003.92</v>
      </c>
      <c r="R358" s="3">
        <f t="shared" si="1"/>
        <v>10000</v>
      </c>
      <c r="S358" s="9">
        <v>5003.77</v>
      </c>
      <c r="T358" s="10">
        <v>10000.0</v>
      </c>
      <c r="V358" s="5">
        <f t="shared" si="2"/>
        <v>0</v>
      </c>
    </row>
    <row r="359" ht="22.5" customHeight="1">
      <c r="B359" s="7" t="s">
        <v>147</v>
      </c>
      <c r="C359" s="7">
        <v>252328.0</v>
      </c>
      <c r="D359" s="7">
        <v>1169843.0</v>
      </c>
      <c r="E359" s="7">
        <v>8561073.0</v>
      </c>
      <c r="F359" s="7">
        <v>8157865.0</v>
      </c>
      <c r="G359" s="7">
        <v>9.1047705E7</v>
      </c>
      <c r="H359" s="7">
        <v>1.1669120797E10</v>
      </c>
      <c r="I359" s="7">
        <v>401512.0</v>
      </c>
      <c r="J359" s="7">
        <v>371634.0</v>
      </c>
      <c r="K359" s="7">
        <v>29878.0</v>
      </c>
      <c r="L359" s="7">
        <v>222.45</v>
      </c>
      <c r="M359" s="7">
        <v>-0.11</v>
      </c>
      <c r="N359" s="7">
        <v>38755.0</v>
      </c>
      <c r="O359" s="7">
        <v>6825736.0</v>
      </c>
      <c r="P359" s="7" t="s">
        <v>411</v>
      </c>
      <c r="Q359" s="7">
        <v>5003.93</v>
      </c>
      <c r="R359" s="3">
        <f t="shared" si="1"/>
        <v>10000</v>
      </c>
      <c r="S359" s="9">
        <v>4946.44</v>
      </c>
      <c r="T359" s="10">
        <v>10000.0</v>
      </c>
      <c r="V359" s="5">
        <f t="shared" si="2"/>
        <v>0</v>
      </c>
    </row>
    <row r="360" ht="22.5" customHeight="1">
      <c r="B360" s="7" t="s">
        <v>362</v>
      </c>
      <c r="C360" s="7">
        <v>262368.0</v>
      </c>
      <c r="D360" s="7">
        <v>1226585.0</v>
      </c>
      <c r="E360" s="7">
        <v>9768099.0</v>
      </c>
      <c r="F360" s="7">
        <v>9333479.0</v>
      </c>
      <c r="G360" s="7">
        <v>1.14056784E8</v>
      </c>
      <c r="H360" s="7">
        <v>1.3502631263E10</v>
      </c>
      <c r="I360" s="7">
        <v>431392.0</v>
      </c>
      <c r="J360" s="7">
        <v>389681.0</v>
      </c>
      <c r="K360" s="7">
        <v>41711.0</v>
      </c>
      <c r="L360" s="7">
        <v>240.71</v>
      </c>
      <c r="M360" s="7">
        <v>-0.1</v>
      </c>
      <c r="N360" s="7">
        <v>54050.0</v>
      </c>
      <c r="O360" s="7">
        <v>7111016.0</v>
      </c>
      <c r="P360" s="7" t="s">
        <v>411</v>
      </c>
      <c r="Q360" s="7">
        <v>5003.89</v>
      </c>
      <c r="R360" s="3">
        <f t="shared" si="1"/>
        <v>10000</v>
      </c>
      <c r="S360" s="9">
        <v>4863.37</v>
      </c>
      <c r="T360" s="10">
        <v>10000.0</v>
      </c>
      <c r="V360" s="5">
        <f t="shared" si="2"/>
        <v>0</v>
      </c>
    </row>
    <row r="361" ht="22.5" customHeight="1">
      <c r="B361" s="7" t="s">
        <v>363</v>
      </c>
      <c r="C361" s="7">
        <v>480.0</v>
      </c>
      <c r="D361" s="7">
        <v>3632.0</v>
      </c>
      <c r="E361" s="7">
        <v>2.7285819E7</v>
      </c>
      <c r="F361" s="7">
        <v>2.7090483E7</v>
      </c>
      <c r="G361" s="7">
        <v>3.2238238E7</v>
      </c>
      <c r="H361" s="7">
        <v>4.77770196E8</v>
      </c>
      <c r="I361" s="7">
        <v>1143323.0</v>
      </c>
      <c r="J361" s="7">
        <v>950440.0</v>
      </c>
      <c r="K361" s="7">
        <v>192883.0</v>
      </c>
      <c r="L361" s="7">
        <v>65.28</v>
      </c>
      <c r="M361" s="7">
        <v>-0.03</v>
      </c>
      <c r="N361" s="7">
        <v>220482.0</v>
      </c>
      <c r="O361" s="7">
        <v>1.3783744E7</v>
      </c>
      <c r="P361" s="7" t="s">
        <v>411</v>
      </c>
      <c r="Q361" s="7">
        <v>5003.98</v>
      </c>
      <c r="R361" s="3">
        <f t="shared" si="1"/>
        <v>10000</v>
      </c>
      <c r="S361" s="9">
        <v>5003.89</v>
      </c>
      <c r="T361" s="10">
        <v>10000.0</v>
      </c>
      <c r="V361" s="5">
        <f t="shared" si="2"/>
        <v>0</v>
      </c>
    </row>
    <row r="362" ht="22.5" customHeight="1">
      <c r="B362" s="7" t="s">
        <v>364</v>
      </c>
      <c r="C362" s="7">
        <v>840.0</v>
      </c>
      <c r="D362" s="7">
        <v>8442.0</v>
      </c>
      <c r="E362" s="7">
        <v>2.9847367E7</v>
      </c>
      <c r="F362" s="7">
        <v>2.9628467E7</v>
      </c>
      <c r="G362" s="7">
        <v>3.4457011E7</v>
      </c>
      <c r="H362" s="7">
        <v>7.16143676E8</v>
      </c>
      <c r="I362" s="7">
        <v>1035760.0</v>
      </c>
      <c r="J362" s="7">
        <v>843392.0</v>
      </c>
      <c r="K362" s="7">
        <v>192368.0</v>
      </c>
      <c r="L362" s="7">
        <v>119.29</v>
      </c>
      <c r="M362" s="7">
        <v>-0.03</v>
      </c>
      <c r="N362" s="7">
        <v>219996.0</v>
      </c>
      <c r="O362" s="7">
        <v>1.6972602E7</v>
      </c>
      <c r="P362" s="7" t="s">
        <v>411</v>
      </c>
      <c r="Q362" s="7">
        <v>5003.88</v>
      </c>
      <c r="R362" s="3">
        <f t="shared" si="1"/>
        <v>10000</v>
      </c>
      <c r="S362" s="9">
        <v>5003.88</v>
      </c>
      <c r="T362" s="10">
        <v>10000.0</v>
      </c>
      <c r="V362" s="5">
        <f t="shared" si="2"/>
        <v>0</v>
      </c>
    </row>
    <row r="363" ht="22.5" customHeight="1">
      <c r="B363" s="7" t="s">
        <v>365</v>
      </c>
      <c r="C363" s="7">
        <v>5000.0</v>
      </c>
      <c r="D363" s="7">
        <v>21250.0</v>
      </c>
      <c r="E363" s="7">
        <v>2.4372676E7</v>
      </c>
      <c r="F363" s="7">
        <v>2.3759829E7</v>
      </c>
      <c r="G363" s="7">
        <v>6.3881922E7</v>
      </c>
      <c r="H363" s="7">
        <v>4.562211087E9</v>
      </c>
      <c r="I363" s="7">
        <v>1083346.0</v>
      </c>
      <c r="J363" s="7">
        <v>958091.0</v>
      </c>
      <c r="K363" s="7">
        <v>125255.0</v>
      </c>
      <c r="L363" s="7">
        <v>32.69</v>
      </c>
      <c r="M363" s="7">
        <v>-0.07</v>
      </c>
      <c r="N363" s="7">
        <v>155973.0</v>
      </c>
      <c r="O363" s="7">
        <v>1.1474406E7</v>
      </c>
      <c r="P363" s="7" t="s">
        <v>411</v>
      </c>
      <c r="Q363" s="7">
        <v>5003.94</v>
      </c>
      <c r="R363" s="3">
        <f t="shared" si="1"/>
        <v>10000</v>
      </c>
      <c r="S363" s="9">
        <v>4953.24</v>
      </c>
      <c r="T363" s="10">
        <v>10000.0</v>
      </c>
      <c r="V363" s="5">
        <f t="shared" si="2"/>
        <v>0</v>
      </c>
    </row>
    <row r="364" ht="22.5" customHeight="1">
      <c r="B364" s="7" t="s">
        <v>366</v>
      </c>
      <c r="C364" s="7">
        <v>3220.0</v>
      </c>
      <c r="D364" s="7">
        <v>59525.0</v>
      </c>
      <c r="E364" s="7">
        <v>9380694.0</v>
      </c>
      <c r="F364" s="7">
        <v>9250882.0</v>
      </c>
      <c r="G364" s="7">
        <v>1.6477148E7</v>
      </c>
      <c r="H364" s="7">
        <v>2.460156016E9</v>
      </c>
      <c r="I364" s="7">
        <v>353199.0</v>
      </c>
      <c r="J364" s="7">
        <v>297422.0</v>
      </c>
      <c r="K364" s="7">
        <v>55777.0</v>
      </c>
      <c r="L364" s="7">
        <v>55.74</v>
      </c>
      <c r="M364" s="7">
        <v>-0.05</v>
      </c>
      <c r="N364" s="7">
        <v>66363.0</v>
      </c>
      <c r="O364" s="7">
        <v>4791834.0</v>
      </c>
      <c r="P364" s="7" t="s">
        <v>411</v>
      </c>
      <c r="Q364" s="7">
        <v>5003.87</v>
      </c>
      <c r="R364" s="3">
        <f t="shared" si="1"/>
        <v>10000</v>
      </c>
      <c r="S364" s="9">
        <v>5003.89</v>
      </c>
      <c r="T364" s="10">
        <v>10000.0</v>
      </c>
      <c r="V364" s="5">
        <f t="shared" si="2"/>
        <v>0</v>
      </c>
    </row>
    <row r="365" ht="22.5" customHeight="1">
      <c r="B365" s="7" t="s">
        <v>367</v>
      </c>
      <c r="C365" s="7">
        <v>1740.0</v>
      </c>
      <c r="D365" s="7">
        <v>104640.0</v>
      </c>
      <c r="E365" s="7">
        <v>2.1137528E7</v>
      </c>
      <c r="F365" s="7">
        <v>2.0828394E7</v>
      </c>
      <c r="G365" s="7">
        <v>4.6402674E7</v>
      </c>
      <c r="H365" s="7">
        <v>1.534894682E9</v>
      </c>
      <c r="I365" s="7">
        <v>974627.0</v>
      </c>
      <c r="J365" s="7">
        <v>844452.0</v>
      </c>
      <c r="K365" s="7">
        <v>130175.0</v>
      </c>
      <c r="L365" s="7">
        <v>30.58</v>
      </c>
      <c r="M365" s="7">
        <v>-0.07</v>
      </c>
      <c r="N365" s="7">
        <v>160666.0</v>
      </c>
      <c r="O365" s="7">
        <v>8426914.0</v>
      </c>
      <c r="P365" s="7" t="s">
        <v>411</v>
      </c>
      <c r="Q365" s="7">
        <v>5003.94</v>
      </c>
      <c r="R365" s="3">
        <f t="shared" si="1"/>
        <v>10000</v>
      </c>
      <c r="S365" s="9">
        <v>5003.85</v>
      </c>
      <c r="T365" s="10">
        <v>10000.0</v>
      </c>
      <c r="V365" s="5">
        <f t="shared" si="2"/>
        <v>0</v>
      </c>
    </row>
    <row r="366" ht="22.5" customHeight="1">
      <c r="B366" s="7" t="s">
        <v>368</v>
      </c>
      <c r="C366" s="7">
        <v>2058.0</v>
      </c>
      <c r="D366" s="7">
        <v>133055.0</v>
      </c>
      <c r="E366" s="7">
        <v>2.1266895E7</v>
      </c>
      <c r="F366" s="7">
        <v>2.0970527E7</v>
      </c>
      <c r="G366" s="7">
        <v>4.9689094E7</v>
      </c>
      <c r="H366" s="7">
        <v>1.721047087E9</v>
      </c>
      <c r="I366" s="7">
        <v>911574.0</v>
      </c>
      <c r="J366" s="7">
        <v>778975.0</v>
      </c>
      <c r="K366" s="7">
        <v>132599.0</v>
      </c>
      <c r="L366" s="7">
        <v>37.33</v>
      </c>
      <c r="M366" s="7">
        <v>-0.07</v>
      </c>
      <c r="N366" s="7">
        <v>162961.0</v>
      </c>
      <c r="O366" s="7">
        <v>8801426.0</v>
      </c>
      <c r="P366" s="7" t="s">
        <v>411</v>
      </c>
      <c r="Q366" s="7">
        <v>5003.95</v>
      </c>
      <c r="R366" s="3">
        <f t="shared" si="1"/>
        <v>10000</v>
      </c>
      <c r="S366" s="9">
        <v>5003.75</v>
      </c>
      <c r="T366" s="10">
        <v>10000.0</v>
      </c>
      <c r="V366" s="5">
        <f t="shared" si="2"/>
        <v>0</v>
      </c>
    </row>
    <row r="367" ht="22.5" customHeight="1">
      <c r="B367" s="7" t="s">
        <v>369</v>
      </c>
      <c r="C367" s="7">
        <v>2100.0</v>
      </c>
      <c r="D367" s="7">
        <v>215164.0</v>
      </c>
      <c r="E367" s="7">
        <v>2.2623305E7</v>
      </c>
      <c r="F367" s="7">
        <v>2.2037212E7</v>
      </c>
      <c r="G367" s="7">
        <v>4.1361784E7</v>
      </c>
      <c r="H367" s="7">
        <v>3.365041993E9</v>
      </c>
      <c r="I367" s="7">
        <v>676504.0</v>
      </c>
      <c r="J367" s="7">
        <v>553104.0</v>
      </c>
      <c r="K367" s="7">
        <v>123400.0</v>
      </c>
      <c r="L367" s="7">
        <v>97.57</v>
      </c>
      <c r="M367" s="7">
        <v>-0.06</v>
      </c>
      <c r="N367" s="7">
        <v>154074.0</v>
      </c>
      <c r="O367" s="7">
        <v>1.2053236E7</v>
      </c>
      <c r="P367" s="7" t="s">
        <v>411</v>
      </c>
      <c r="Q367" s="7">
        <v>5003.91</v>
      </c>
      <c r="R367" s="3">
        <f t="shared" si="1"/>
        <v>10000</v>
      </c>
      <c r="S367" s="9">
        <v>5003.76</v>
      </c>
      <c r="T367" s="10">
        <v>10000.0</v>
      </c>
      <c r="V367" s="5">
        <f t="shared" si="2"/>
        <v>0</v>
      </c>
    </row>
    <row r="368" ht="22.5" customHeight="1">
      <c r="B368" s="7" t="s">
        <v>370</v>
      </c>
      <c r="C368" s="7">
        <v>2400.0</v>
      </c>
      <c r="D368" s="7">
        <v>266431.0</v>
      </c>
      <c r="E368" s="7">
        <v>2.721301E7</v>
      </c>
      <c r="F368" s="7">
        <v>2.6462084E7</v>
      </c>
      <c r="G368" s="7">
        <v>5.2270697E7</v>
      </c>
      <c r="H368" s="7">
        <v>3.841824526E9</v>
      </c>
      <c r="I368" s="7">
        <v>758590.0</v>
      </c>
      <c r="J368" s="7">
        <v>635546.0</v>
      </c>
      <c r="K368" s="7">
        <v>123044.0</v>
      </c>
      <c r="L368" s="7">
        <v>128.56</v>
      </c>
      <c r="M368" s="7">
        <v>-0.06</v>
      </c>
      <c r="N368" s="7">
        <v>153761.0</v>
      </c>
      <c r="O368" s="7">
        <v>1.7291145E7</v>
      </c>
      <c r="P368" s="7" t="s">
        <v>411</v>
      </c>
      <c r="Q368" s="7">
        <v>5003.93</v>
      </c>
      <c r="R368" s="3">
        <f t="shared" si="1"/>
        <v>10000</v>
      </c>
      <c r="S368" s="9">
        <v>4952.57</v>
      </c>
      <c r="T368" s="10">
        <v>10000.0</v>
      </c>
      <c r="V368" s="5">
        <f t="shared" si="2"/>
        <v>0</v>
      </c>
    </row>
    <row r="369" ht="22.5" customHeight="1">
      <c r="B369" s="7" t="s">
        <v>371</v>
      </c>
      <c r="C369" s="7">
        <v>1000.0</v>
      </c>
      <c r="D369" s="7">
        <v>21405.0</v>
      </c>
      <c r="E369" s="7">
        <v>1.02344017E8</v>
      </c>
      <c r="F369" s="7">
        <v>7.2261945E7</v>
      </c>
      <c r="G369" s="7">
        <v>9.66877718E8</v>
      </c>
      <c r="H369" s="7">
        <v>1.3635545562E10</v>
      </c>
      <c r="I369" s="7">
        <v>1178595.0</v>
      </c>
      <c r="J369" s="7">
        <v>498132.0</v>
      </c>
      <c r="K369" s="7">
        <v>680463.0</v>
      </c>
      <c r="L369" s="7">
        <v>43.96</v>
      </c>
      <c r="M369" s="7">
        <v>-0.05</v>
      </c>
      <c r="N369" s="7">
        <v>769993.0</v>
      </c>
      <c r="O369" s="7">
        <v>2.91597894E8</v>
      </c>
      <c r="P369" s="7" t="s">
        <v>411</v>
      </c>
      <c r="Q369" s="7">
        <v>5003.87</v>
      </c>
      <c r="R369" s="3">
        <f t="shared" si="1"/>
        <v>10000</v>
      </c>
      <c r="S369" s="9">
        <v>4836.05</v>
      </c>
      <c r="T369" s="10">
        <v>10000.0</v>
      </c>
      <c r="V369" s="5">
        <f t="shared" si="2"/>
        <v>0</v>
      </c>
    </row>
    <row r="370" ht="22.5" customHeight="1">
      <c r="B370" s="7" t="s">
        <v>372</v>
      </c>
      <c r="C370" s="7">
        <v>1740.0</v>
      </c>
      <c r="D370" s="7">
        <v>114011.0</v>
      </c>
      <c r="E370" s="7">
        <v>1.9630269E7</v>
      </c>
      <c r="F370" s="7">
        <v>1.9362436E7</v>
      </c>
      <c r="G370" s="7">
        <v>3.6771208E7</v>
      </c>
      <c r="H370" s="7">
        <v>1.301683521E9</v>
      </c>
      <c r="I370" s="7">
        <v>787642.0</v>
      </c>
      <c r="J370" s="7">
        <v>659124.0</v>
      </c>
      <c r="K370" s="7">
        <v>128518.0</v>
      </c>
      <c r="L370" s="7">
        <v>28.78</v>
      </c>
      <c r="M370" s="7">
        <v>-0.06</v>
      </c>
      <c r="N370" s="7">
        <v>159087.0</v>
      </c>
      <c r="O370" s="7">
        <v>7264905.0</v>
      </c>
      <c r="P370" s="7" t="s">
        <v>411</v>
      </c>
      <c r="Q370" s="7">
        <v>5003.95</v>
      </c>
      <c r="R370" s="3">
        <f t="shared" si="1"/>
        <v>10000</v>
      </c>
      <c r="S370" s="9">
        <v>5003.88</v>
      </c>
      <c r="T370" s="10">
        <v>10000.0</v>
      </c>
      <c r="V370" s="5">
        <f t="shared" si="2"/>
        <v>0</v>
      </c>
    </row>
    <row r="371" ht="22.5" customHeight="1">
      <c r="B371" s="7" t="s">
        <v>373</v>
      </c>
      <c r="C371" s="7">
        <v>1898.0</v>
      </c>
      <c r="D371" s="7">
        <v>128735.0</v>
      </c>
      <c r="E371" s="7">
        <v>2.1448578E7</v>
      </c>
      <c r="F371" s="7">
        <v>2.1161634E7</v>
      </c>
      <c r="G371" s="7">
        <v>4.1051749E7</v>
      </c>
      <c r="H371" s="7">
        <v>1.482618487E9</v>
      </c>
      <c r="I371" s="7">
        <v>885839.0</v>
      </c>
      <c r="J371" s="7">
        <v>753676.0</v>
      </c>
      <c r="K371" s="7">
        <v>132163.0</v>
      </c>
      <c r="L371" s="7">
        <v>31.1</v>
      </c>
      <c r="M371" s="7">
        <v>-0.06</v>
      </c>
      <c r="N371" s="7">
        <v>162583.0</v>
      </c>
      <c r="O371" s="7">
        <v>9006820.0</v>
      </c>
      <c r="P371" s="7" t="s">
        <v>411</v>
      </c>
      <c r="Q371" s="7">
        <v>5003.95</v>
      </c>
      <c r="R371" s="3">
        <f t="shared" si="1"/>
        <v>10000</v>
      </c>
      <c r="S371" s="9">
        <v>5003.88</v>
      </c>
      <c r="T371" s="10">
        <v>10000.0</v>
      </c>
      <c r="V371" s="5">
        <f t="shared" si="2"/>
        <v>0</v>
      </c>
    </row>
    <row r="372" ht="22.5" customHeight="1">
      <c r="B372" s="7" t="s">
        <v>374</v>
      </c>
      <c r="C372" s="7">
        <v>3090.0</v>
      </c>
      <c r="D372" s="7">
        <v>59825.0</v>
      </c>
      <c r="E372" s="7">
        <v>9361612.0</v>
      </c>
      <c r="F372" s="7">
        <v>9277815.0</v>
      </c>
      <c r="G372" s="7">
        <v>1.8239791E7</v>
      </c>
      <c r="H372" s="7">
        <v>1.475802687E9</v>
      </c>
      <c r="I372" s="7">
        <v>505204.0</v>
      </c>
      <c r="J372" s="7">
        <v>457257.0</v>
      </c>
      <c r="K372" s="7">
        <v>47947.0</v>
      </c>
      <c r="L372" s="7">
        <v>24.78</v>
      </c>
      <c r="M372" s="7">
        <v>-0.07</v>
      </c>
      <c r="N372" s="7">
        <v>58784.0</v>
      </c>
      <c r="O372" s="7">
        <v>4155283.0</v>
      </c>
      <c r="P372" s="7" t="s">
        <v>411</v>
      </c>
      <c r="Q372" s="7">
        <v>5003.94</v>
      </c>
      <c r="R372" s="3">
        <f t="shared" si="1"/>
        <v>10000</v>
      </c>
      <c r="S372" s="9">
        <v>4834.29</v>
      </c>
      <c r="T372" s="10">
        <v>10000.0</v>
      </c>
      <c r="V372" s="5">
        <f t="shared" si="2"/>
        <v>0</v>
      </c>
    </row>
    <row r="373" ht="22.5" customHeight="1">
      <c r="B373" s="7" t="s">
        <v>375</v>
      </c>
      <c r="C373" s="7">
        <v>130928.0</v>
      </c>
      <c r="D373" s="7">
        <v>437704.0</v>
      </c>
      <c r="E373" s="7">
        <v>4.2741021E7</v>
      </c>
      <c r="F373" s="7">
        <v>4.2288861E7</v>
      </c>
      <c r="G373" s="7">
        <v>1.43292246E8</v>
      </c>
      <c r="H373" s="7">
        <v>5.321552503E9</v>
      </c>
      <c r="I373" s="7">
        <v>2117677.0</v>
      </c>
      <c r="J373" s="7">
        <v>1877999.0</v>
      </c>
      <c r="K373" s="7">
        <v>239678.0</v>
      </c>
      <c r="L373" s="7">
        <v>46.38</v>
      </c>
      <c r="M373" s="7">
        <v>-0.08</v>
      </c>
      <c r="N373" s="7">
        <v>298379.0</v>
      </c>
      <c r="O373" s="7">
        <v>1.7575109E7</v>
      </c>
      <c r="P373" s="7" t="s">
        <v>411</v>
      </c>
      <c r="Q373" s="7">
        <v>5003.92</v>
      </c>
      <c r="R373" s="3">
        <f t="shared" si="1"/>
        <v>10000</v>
      </c>
      <c r="S373" s="9">
        <v>4986.86</v>
      </c>
      <c r="T373" s="10">
        <v>10000.0</v>
      </c>
      <c r="V373" s="5">
        <f t="shared" si="2"/>
        <v>0</v>
      </c>
    </row>
    <row r="374" ht="22.5" customHeight="1">
      <c r="B374" s="7" t="s">
        <v>376</v>
      </c>
      <c r="C374" s="7">
        <v>773.0</v>
      </c>
      <c r="D374" s="7">
        <v>29353.0</v>
      </c>
      <c r="E374" s="7">
        <v>3.0090025E7</v>
      </c>
      <c r="F374" s="7">
        <v>2.9401077E7</v>
      </c>
      <c r="G374" s="7">
        <v>6.0393216E7</v>
      </c>
      <c r="H374" s="7">
        <v>1.611056465E9</v>
      </c>
      <c r="I374" s="7">
        <v>1320755.0</v>
      </c>
      <c r="J374" s="7">
        <v>1198158.0</v>
      </c>
      <c r="K374" s="7">
        <v>122597.0</v>
      </c>
      <c r="L374" s="7">
        <v>40.82</v>
      </c>
      <c r="M374" s="7">
        <v>-0.07</v>
      </c>
      <c r="N374" s="7">
        <v>153396.0</v>
      </c>
      <c r="O374" s="7">
        <v>1.666402E7</v>
      </c>
      <c r="P374" s="7" t="s">
        <v>411</v>
      </c>
      <c r="Q374" s="7">
        <v>5003.94</v>
      </c>
      <c r="R374" s="3">
        <f t="shared" si="1"/>
        <v>10000</v>
      </c>
      <c r="S374" s="9">
        <v>5003.87</v>
      </c>
      <c r="T374" s="10">
        <v>10000.0</v>
      </c>
      <c r="V374" s="5">
        <f t="shared" si="2"/>
        <v>0</v>
      </c>
    </row>
    <row r="375" ht="22.5" customHeight="1">
      <c r="B375" s="7" t="s">
        <v>377</v>
      </c>
      <c r="C375" s="7">
        <v>109.0</v>
      </c>
      <c r="D375" s="7">
        <v>228.0</v>
      </c>
      <c r="E375" s="7">
        <v>3.1990901E7</v>
      </c>
      <c r="F375" s="7">
        <v>3.1729512E7</v>
      </c>
      <c r="G375" s="7">
        <v>4.347887E7</v>
      </c>
      <c r="H375" s="7">
        <v>4.81917797E8</v>
      </c>
      <c r="I375" s="7">
        <v>1961066.0</v>
      </c>
      <c r="J375" s="7">
        <v>1817996.0</v>
      </c>
      <c r="K375" s="7">
        <v>143070.0</v>
      </c>
      <c r="L375" s="7">
        <v>20.3</v>
      </c>
      <c r="M375" s="7">
        <v>-0.05</v>
      </c>
      <c r="N375" s="7">
        <v>173104.0</v>
      </c>
      <c r="O375" s="7">
        <v>1.6159304E7</v>
      </c>
      <c r="P375" s="7" t="s">
        <v>411</v>
      </c>
      <c r="Q375" s="7">
        <v>5003.93</v>
      </c>
      <c r="R375" s="3">
        <f t="shared" si="1"/>
        <v>10000</v>
      </c>
      <c r="S375" s="9">
        <v>5003.91</v>
      </c>
      <c r="T375" s="10">
        <v>10000.0</v>
      </c>
      <c r="V375" s="5">
        <f t="shared" si="2"/>
        <v>0</v>
      </c>
    </row>
    <row r="376" ht="22.5" customHeight="1">
      <c r="B376" s="7" t="s">
        <v>233</v>
      </c>
      <c r="C376" s="7">
        <v>840.0</v>
      </c>
      <c r="D376" s="7">
        <v>71206.0</v>
      </c>
      <c r="E376" s="7">
        <v>1.2049938E7</v>
      </c>
      <c r="F376" s="7">
        <v>1.1822146E7</v>
      </c>
      <c r="G376" s="7">
        <v>1.5927447E7</v>
      </c>
      <c r="H376" s="7">
        <v>7.43714068E8</v>
      </c>
      <c r="I376" s="7">
        <v>431178.0</v>
      </c>
      <c r="J376" s="7">
        <v>334686.0</v>
      </c>
      <c r="K376" s="7">
        <v>96492.0</v>
      </c>
      <c r="L376" s="7">
        <v>119.99</v>
      </c>
      <c r="M376" s="7">
        <v>-0.04</v>
      </c>
      <c r="N376" s="7">
        <v>113979.0</v>
      </c>
      <c r="O376" s="7">
        <v>5227834.0</v>
      </c>
      <c r="P376" s="7" t="s">
        <v>411</v>
      </c>
      <c r="Q376" s="7">
        <v>5003.95</v>
      </c>
      <c r="R376" s="3">
        <f t="shared" si="1"/>
        <v>10000</v>
      </c>
      <c r="S376" s="9">
        <v>2365.85</v>
      </c>
      <c r="T376" s="10">
        <v>2365.85</v>
      </c>
      <c r="V376" s="5">
        <f t="shared" si="2"/>
        <v>-7634.15</v>
      </c>
    </row>
    <row r="377" ht="22.5" customHeight="1">
      <c r="B377" s="7" t="s">
        <v>378</v>
      </c>
      <c r="C377" s="7">
        <v>61377.0</v>
      </c>
      <c r="D377" s="7">
        <v>235249.0</v>
      </c>
      <c r="E377" s="7">
        <v>4340622.0</v>
      </c>
      <c r="F377" s="7">
        <v>4237189.0</v>
      </c>
      <c r="G377" s="7">
        <v>2.3614038E7</v>
      </c>
      <c r="H377" s="7">
        <v>5.7416496E9</v>
      </c>
      <c r="I377" s="7">
        <v>64117.0</v>
      </c>
      <c r="J377" s="7">
        <v>43562.0</v>
      </c>
      <c r="K377" s="7">
        <v>20555.0</v>
      </c>
      <c r="L377" s="7">
        <v>393.5</v>
      </c>
      <c r="M377" s="7">
        <v>-0.05</v>
      </c>
      <c r="N377" s="7">
        <v>28655.0</v>
      </c>
      <c r="O377" s="7">
        <v>2744756.0</v>
      </c>
      <c r="P377" s="7" t="s">
        <v>411</v>
      </c>
      <c r="Q377" s="7">
        <v>5003.95</v>
      </c>
      <c r="R377" s="3">
        <f t="shared" si="1"/>
        <v>10000</v>
      </c>
      <c r="S377" s="9">
        <v>5003.9</v>
      </c>
      <c r="T377" s="10">
        <v>10000.0</v>
      </c>
      <c r="V377" s="5">
        <f t="shared" si="2"/>
        <v>0</v>
      </c>
    </row>
    <row r="378" ht="22.5" customHeight="1">
      <c r="B378" s="7" t="s">
        <v>379</v>
      </c>
      <c r="C378" s="7">
        <v>7916927.0</v>
      </c>
      <c r="D378" s="7">
        <v>3.2591905E7</v>
      </c>
      <c r="E378" s="7">
        <v>1570310.0</v>
      </c>
      <c r="F378" s="7">
        <v>1517002.0</v>
      </c>
      <c r="G378" s="7">
        <v>1.0359831E7</v>
      </c>
      <c r="H378" s="7">
        <v>2.1458029E9</v>
      </c>
      <c r="I378" s="7">
        <v>93178.0</v>
      </c>
      <c r="J378" s="7">
        <v>90491.0</v>
      </c>
      <c r="K378" s="7">
        <v>2687.0</v>
      </c>
      <c r="L378" s="7">
        <v>22.59</v>
      </c>
      <c r="M378" s="7">
        <v>-0.18</v>
      </c>
      <c r="N378" s="7">
        <v>4826.0</v>
      </c>
      <c r="O378" s="7">
        <v>1683558.0</v>
      </c>
      <c r="P378" s="7" t="s">
        <v>411</v>
      </c>
      <c r="Q378" s="7">
        <v>5014.49</v>
      </c>
      <c r="R378" s="3">
        <f t="shared" si="1"/>
        <v>10000</v>
      </c>
      <c r="S378" s="9">
        <v>5008.71</v>
      </c>
      <c r="T378" s="10">
        <v>10000.0</v>
      </c>
      <c r="V378" s="5">
        <f t="shared" si="2"/>
        <v>0</v>
      </c>
    </row>
    <row r="379" ht="22.5" customHeight="1">
      <c r="B379" s="7" t="s">
        <v>382</v>
      </c>
      <c r="C379" s="7">
        <v>36410.0</v>
      </c>
      <c r="D379" s="7">
        <v>115054.0</v>
      </c>
      <c r="E379" s="7">
        <v>1.7348168E7</v>
      </c>
      <c r="F379" s="7">
        <v>1.7027877E7</v>
      </c>
      <c r="G379" s="7">
        <v>4.0964033E7</v>
      </c>
      <c r="H379" s="7">
        <v>4.577563331E9</v>
      </c>
      <c r="I379" s="7">
        <v>622099.0</v>
      </c>
      <c r="J379" s="7">
        <v>512452.0</v>
      </c>
      <c r="K379" s="7">
        <v>109647.0</v>
      </c>
      <c r="L379" s="7">
        <v>63.3</v>
      </c>
      <c r="M379" s="7">
        <v>-0.07</v>
      </c>
      <c r="N379" s="7">
        <v>140922.0</v>
      </c>
      <c r="O379" s="7">
        <v>5440869.0</v>
      </c>
      <c r="P379" s="7" t="s">
        <v>411</v>
      </c>
      <c r="Q379" s="7">
        <v>5004.02</v>
      </c>
      <c r="R379" s="3">
        <f t="shared" si="1"/>
        <v>10000</v>
      </c>
      <c r="S379" s="9">
        <v>5004.0</v>
      </c>
      <c r="T379" s="10">
        <v>10000.0</v>
      </c>
      <c r="V379" s="5">
        <f t="shared" si="2"/>
        <v>0</v>
      </c>
    </row>
    <row r="380" ht="22.5" customHeight="1">
      <c r="B380" s="7" t="s">
        <v>383</v>
      </c>
      <c r="C380" s="7">
        <v>53118.0</v>
      </c>
      <c r="D380" s="7">
        <v>168346.0</v>
      </c>
      <c r="E380" s="7">
        <v>1.7959221E7</v>
      </c>
      <c r="F380" s="7">
        <v>1.7596136E7</v>
      </c>
      <c r="G380" s="7">
        <v>5.8182511E7</v>
      </c>
      <c r="H380" s="7">
        <v>6.84060413E9</v>
      </c>
      <c r="I380" s="7">
        <v>705080.0</v>
      </c>
      <c r="J380" s="7">
        <v>608958.0</v>
      </c>
      <c r="K380" s="7">
        <v>96122.0</v>
      </c>
      <c r="L380" s="7">
        <v>62.08</v>
      </c>
      <c r="M380" s="7">
        <v>-0.09</v>
      </c>
      <c r="N380" s="7">
        <v>128035.0</v>
      </c>
      <c r="O380" s="7">
        <v>6223077.0</v>
      </c>
      <c r="P380" s="7" t="s">
        <v>411</v>
      </c>
      <c r="Q380" s="7">
        <v>5004.02</v>
      </c>
      <c r="R380" s="3">
        <f t="shared" si="1"/>
        <v>10000</v>
      </c>
      <c r="S380" s="9">
        <v>4924.03</v>
      </c>
      <c r="T380" s="10">
        <v>10000.0</v>
      </c>
      <c r="V380" s="5">
        <f t="shared" si="2"/>
        <v>0</v>
      </c>
    </row>
    <row r="381" ht="22.5" customHeight="1">
      <c r="B381" s="7" t="s">
        <v>384</v>
      </c>
      <c r="C381" s="7">
        <v>73074.0</v>
      </c>
      <c r="D381" s="7">
        <v>231921.0</v>
      </c>
      <c r="E381" s="7">
        <v>1.7598653E7</v>
      </c>
      <c r="F381" s="7">
        <v>1.7222605E7</v>
      </c>
      <c r="G381" s="7">
        <v>6.6748452E7</v>
      </c>
      <c r="H381" s="7">
        <v>7.869215697E9</v>
      </c>
      <c r="I381" s="7">
        <v>645770.0</v>
      </c>
      <c r="J381" s="7">
        <v>567115.0</v>
      </c>
      <c r="K381" s="7">
        <v>78655.0</v>
      </c>
      <c r="L381" s="7">
        <v>77.32</v>
      </c>
      <c r="M381" s="7">
        <v>-0.09</v>
      </c>
      <c r="N381" s="7">
        <v>111322.0</v>
      </c>
      <c r="O381" s="7">
        <v>6139411.0</v>
      </c>
      <c r="P381" s="7" t="s">
        <v>411</v>
      </c>
      <c r="Q381" s="7">
        <v>5004.03</v>
      </c>
      <c r="R381" s="3">
        <f t="shared" si="1"/>
        <v>10000</v>
      </c>
      <c r="S381" s="9">
        <v>4980.87</v>
      </c>
      <c r="T381" s="10">
        <v>10000.0</v>
      </c>
      <c r="V381" s="5">
        <f t="shared" si="2"/>
        <v>0</v>
      </c>
    </row>
    <row r="382" ht="22.5" customHeight="1">
      <c r="B382" s="7" t="s">
        <v>388</v>
      </c>
      <c r="C382" s="7">
        <v>9188.0</v>
      </c>
      <c r="D382" s="7">
        <v>81017.0</v>
      </c>
      <c r="E382" s="7">
        <v>1.2212162E7</v>
      </c>
      <c r="F382" s="7">
        <v>1.2034385E7</v>
      </c>
      <c r="G382" s="7">
        <v>2.6153129E7</v>
      </c>
      <c r="H382" s="7">
        <v>2.143594434E9</v>
      </c>
      <c r="I382" s="7">
        <v>437998.0</v>
      </c>
      <c r="J382" s="7">
        <v>358993.0</v>
      </c>
      <c r="K382" s="7">
        <v>79005.0</v>
      </c>
      <c r="L382" s="7">
        <v>29.9</v>
      </c>
      <c r="M382" s="7">
        <v>-0.07</v>
      </c>
      <c r="N382" s="7">
        <v>97957.0</v>
      </c>
      <c r="O382" s="7">
        <v>5413803.0</v>
      </c>
      <c r="P382" s="7" t="s">
        <v>411</v>
      </c>
      <c r="Q382" s="7">
        <v>5004.03</v>
      </c>
      <c r="R382" s="3">
        <f t="shared" si="1"/>
        <v>10000</v>
      </c>
      <c r="S382" s="9">
        <v>4960.48</v>
      </c>
      <c r="T382" s="10">
        <v>10000.0</v>
      </c>
      <c r="V382" s="5">
        <f t="shared" si="2"/>
        <v>0</v>
      </c>
    </row>
    <row r="383" ht="22.5" customHeight="1">
      <c r="B383" s="7" t="s">
        <v>389</v>
      </c>
      <c r="C383" s="7">
        <v>11244.0</v>
      </c>
      <c r="D383" s="7">
        <v>99730.0</v>
      </c>
      <c r="E383" s="7">
        <v>1.1376489E7</v>
      </c>
      <c r="F383" s="7">
        <v>1.1221358E7</v>
      </c>
      <c r="G383" s="7">
        <v>2.6690888E7</v>
      </c>
      <c r="H383" s="7">
        <v>2.212164015E9</v>
      </c>
      <c r="I383" s="7">
        <v>459183.0</v>
      </c>
      <c r="J383" s="7">
        <v>389424.0</v>
      </c>
      <c r="K383" s="7">
        <v>69759.0</v>
      </c>
      <c r="L383" s="7">
        <v>32.43</v>
      </c>
      <c r="M383" s="7">
        <v>-0.08</v>
      </c>
      <c r="N383" s="7">
        <v>86347.0</v>
      </c>
      <c r="O383" s="7">
        <v>5070103.0</v>
      </c>
      <c r="P383" s="7" t="s">
        <v>411</v>
      </c>
      <c r="Q383" s="7">
        <v>5004.02</v>
      </c>
      <c r="R383" s="3">
        <f t="shared" si="1"/>
        <v>10000</v>
      </c>
      <c r="S383" s="9">
        <v>4985.47</v>
      </c>
      <c r="T383" s="10">
        <v>10000.0</v>
      </c>
      <c r="V383" s="5">
        <f t="shared" si="2"/>
        <v>0</v>
      </c>
    </row>
    <row r="384" ht="22.5" customHeight="1">
      <c r="B384" s="7" t="s">
        <v>390</v>
      </c>
      <c r="C384" s="7">
        <v>2929760.0</v>
      </c>
      <c r="D384" s="7">
        <v>6277585.0</v>
      </c>
      <c r="E384" s="7">
        <v>3284307.0</v>
      </c>
      <c r="F384" s="7">
        <v>2954769.0</v>
      </c>
      <c r="G384" s="7">
        <v>3.6260228E7</v>
      </c>
      <c r="H384" s="7">
        <v>3.999908272E9</v>
      </c>
      <c r="I384" s="7">
        <v>66339.0</v>
      </c>
      <c r="J384" s="7">
        <v>49641.0</v>
      </c>
      <c r="K384" s="7">
        <v>16698.0</v>
      </c>
      <c r="L384" s="7">
        <v>548.09</v>
      </c>
      <c r="M384" s="7">
        <v>-0.08</v>
      </c>
      <c r="N384" s="7">
        <v>22172.0</v>
      </c>
      <c r="O384" s="7">
        <v>4078227.0</v>
      </c>
      <c r="P384" s="7" t="s">
        <v>411</v>
      </c>
      <c r="Q384" s="7">
        <v>5003.85</v>
      </c>
      <c r="R384" s="3">
        <f t="shared" si="1"/>
        <v>10000</v>
      </c>
      <c r="S384" s="9">
        <v>5003.98</v>
      </c>
      <c r="T384" s="10">
        <v>10000.0</v>
      </c>
      <c r="V384" s="5">
        <f t="shared" si="2"/>
        <v>0</v>
      </c>
    </row>
    <row r="385" ht="22.5" customHeight="1">
      <c r="B385" s="7" t="s">
        <v>393</v>
      </c>
      <c r="C385" s="7">
        <v>172512.0</v>
      </c>
      <c r="D385" s="7">
        <v>1477968.0</v>
      </c>
      <c r="E385" s="7">
        <v>4522843.0</v>
      </c>
      <c r="F385" s="7">
        <v>3955348.0</v>
      </c>
      <c r="G385" s="7">
        <v>5.1662039E7</v>
      </c>
      <c r="H385" s="7">
        <v>1.3005404841E10</v>
      </c>
      <c r="I385" s="7">
        <v>84692.0</v>
      </c>
      <c r="J385" s="7">
        <v>62910.0</v>
      </c>
      <c r="K385" s="7">
        <v>21782.0</v>
      </c>
      <c r="L385" s="7">
        <v>733.07</v>
      </c>
      <c r="M385" s="7">
        <v>-0.08</v>
      </c>
      <c r="N385" s="7">
        <v>29581.0</v>
      </c>
      <c r="O385" s="7">
        <v>4457329.0</v>
      </c>
      <c r="P385" s="7" t="s">
        <v>411</v>
      </c>
      <c r="Q385" s="7">
        <v>5003.98</v>
      </c>
      <c r="R385" s="3">
        <f t="shared" si="1"/>
        <v>10000</v>
      </c>
      <c r="S385" s="9">
        <v>4989.46</v>
      </c>
      <c r="T385" s="10">
        <v>10000.0</v>
      </c>
      <c r="V385" s="5">
        <f t="shared" si="2"/>
        <v>0</v>
      </c>
    </row>
    <row r="386" ht="22.5" customHeight="1">
      <c r="B386" s="7" t="s">
        <v>394</v>
      </c>
      <c r="C386" s="7">
        <v>2430976.0</v>
      </c>
      <c r="D386" s="7">
        <v>5169846.0</v>
      </c>
      <c r="E386" s="7">
        <v>4832002.0</v>
      </c>
      <c r="F386" s="7">
        <v>4358678.0</v>
      </c>
      <c r="G386" s="7">
        <v>5.3312209E7</v>
      </c>
      <c r="H386" s="7">
        <v>6.237887055E9</v>
      </c>
      <c r="I386" s="7">
        <v>104355.0</v>
      </c>
      <c r="J386" s="7">
        <v>80656.0</v>
      </c>
      <c r="K386" s="7">
        <v>23699.0</v>
      </c>
      <c r="L386" s="7">
        <v>575.54</v>
      </c>
      <c r="M386" s="7">
        <v>-0.07</v>
      </c>
      <c r="N386" s="7">
        <v>31479.0</v>
      </c>
      <c r="O386" s="7">
        <v>5632695.0</v>
      </c>
      <c r="P386" s="7" t="s">
        <v>411</v>
      </c>
      <c r="Q386" s="7">
        <v>5004.22</v>
      </c>
      <c r="R386" s="3">
        <f t="shared" si="1"/>
        <v>10000</v>
      </c>
      <c r="S386" s="9">
        <v>5003.69</v>
      </c>
      <c r="T386" s="10">
        <v>10000.0</v>
      </c>
      <c r="V386" s="5">
        <f t="shared" si="2"/>
        <v>0</v>
      </c>
    </row>
    <row r="387" ht="22.5" customHeight="1">
      <c r="B387" s="7" t="s">
        <v>395</v>
      </c>
      <c r="C387" s="7">
        <v>2734848.0</v>
      </c>
      <c r="D387" s="7">
        <v>5821656.0</v>
      </c>
      <c r="E387" s="7">
        <v>3683107.0</v>
      </c>
      <c r="F387" s="7">
        <v>3288236.0</v>
      </c>
      <c r="G387" s="7">
        <v>4.9659839E7</v>
      </c>
      <c r="H387" s="7">
        <v>4.757842038E9</v>
      </c>
      <c r="I387" s="7">
        <v>73087.0</v>
      </c>
      <c r="J387" s="7">
        <v>54005.0</v>
      </c>
      <c r="K387" s="7">
        <v>19082.0</v>
      </c>
      <c r="L387" s="7">
        <v>599.02</v>
      </c>
      <c r="M387" s="7">
        <v>-0.08</v>
      </c>
      <c r="N387" s="7">
        <v>25707.0</v>
      </c>
      <c r="O387" s="7">
        <v>4838233.0</v>
      </c>
      <c r="P387" s="7" t="s">
        <v>411</v>
      </c>
      <c r="Q387" s="7">
        <v>5003.95</v>
      </c>
      <c r="R387" s="3">
        <f t="shared" si="1"/>
        <v>10000</v>
      </c>
      <c r="S387" s="9">
        <v>5003.97</v>
      </c>
      <c r="T387" s="10">
        <v>10000.0</v>
      </c>
      <c r="V387" s="5">
        <f t="shared" si="2"/>
        <v>0</v>
      </c>
    </row>
    <row r="388" ht="22.5" customHeight="1">
      <c r="B388" s="7" t="s">
        <v>396</v>
      </c>
      <c r="C388" s="7">
        <v>3646464.0</v>
      </c>
      <c r="D388" s="7">
        <v>7777501.0</v>
      </c>
      <c r="E388" s="7">
        <v>4439658.0</v>
      </c>
      <c r="F388" s="7">
        <v>3910217.0</v>
      </c>
      <c r="G388" s="7">
        <v>7.7832856E7</v>
      </c>
      <c r="H388" s="7">
        <v>5.448795765E9</v>
      </c>
      <c r="I388" s="7">
        <v>92668.0</v>
      </c>
      <c r="J388" s="7">
        <v>71487.0</v>
      </c>
      <c r="K388" s="7">
        <v>21181.0</v>
      </c>
      <c r="L388" s="7">
        <v>515.53</v>
      </c>
      <c r="M388" s="7">
        <v>-0.09</v>
      </c>
      <c r="N388" s="7">
        <v>28999.0</v>
      </c>
      <c r="O388" s="7">
        <v>8090836.0</v>
      </c>
      <c r="P388" s="7" t="s">
        <v>411</v>
      </c>
      <c r="Q388" s="7">
        <v>5003.97</v>
      </c>
      <c r="R388" s="3">
        <f t="shared" si="1"/>
        <v>10000</v>
      </c>
      <c r="S388" s="9">
        <v>4940.35</v>
      </c>
      <c r="T388" s="10">
        <v>10000.0</v>
      </c>
      <c r="V388" s="5">
        <f t="shared" si="2"/>
        <v>0</v>
      </c>
    </row>
    <row r="389" ht="22.5" customHeight="1">
      <c r="B389" s="7" t="s">
        <v>397</v>
      </c>
      <c r="C389" s="7">
        <v>3651.0</v>
      </c>
      <c r="D389" s="7">
        <v>926696.0</v>
      </c>
      <c r="E389" s="7">
        <v>1.911044E7</v>
      </c>
      <c r="F389" s="7">
        <v>1.8779814E7</v>
      </c>
      <c r="G389" s="7">
        <v>2.4032475E7</v>
      </c>
      <c r="H389" s="7">
        <v>2.517414443E9</v>
      </c>
      <c r="I389" s="7">
        <v>584511.0</v>
      </c>
      <c r="J389" s="7">
        <v>399494.0</v>
      </c>
      <c r="K389" s="7">
        <v>185017.0</v>
      </c>
      <c r="L389" s="7">
        <v>189.91</v>
      </c>
      <c r="M389" s="7">
        <v>-0.03</v>
      </c>
      <c r="N389" s="7">
        <v>212872.0</v>
      </c>
      <c r="O389" s="7">
        <v>7981627.0</v>
      </c>
      <c r="P389" s="7" t="s">
        <v>411</v>
      </c>
      <c r="Q389" s="7">
        <v>5003.91</v>
      </c>
      <c r="R389" s="3">
        <f t="shared" si="1"/>
        <v>10000</v>
      </c>
      <c r="S389" s="9">
        <v>4985.23</v>
      </c>
      <c r="T389" s="10">
        <v>10000.0</v>
      </c>
      <c r="V389" s="5">
        <f t="shared" si="2"/>
        <v>0</v>
      </c>
    </row>
    <row r="390" ht="22.5" customHeight="1">
      <c r="B390" s="7" t="s">
        <v>398</v>
      </c>
      <c r="C390" s="7">
        <v>13431.0</v>
      </c>
      <c r="D390" s="7">
        <v>335655.0</v>
      </c>
      <c r="E390" s="7">
        <v>1.059856E7</v>
      </c>
      <c r="F390" s="7">
        <v>1.029913E7</v>
      </c>
      <c r="G390" s="7">
        <v>3.3735148E7</v>
      </c>
      <c r="H390" s="7">
        <v>4.133659871E9</v>
      </c>
      <c r="I390" s="7">
        <v>468980.0</v>
      </c>
      <c r="J390" s="7">
        <v>420494.0</v>
      </c>
      <c r="K390" s="7">
        <v>48486.0</v>
      </c>
      <c r="L390" s="7">
        <v>53.54</v>
      </c>
      <c r="M390" s="7">
        <v>-0.09</v>
      </c>
      <c r="N390" s="7">
        <v>63351.0</v>
      </c>
      <c r="O390" s="7">
        <v>4793207.0</v>
      </c>
      <c r="P390" s="7" t="s">
        <v>411</v>
      </c>
      <c r="Q390" s="7">
        <v>5004.01</v>
      </c>
      <c r="R390" s="3">
        <f t="shared" si="1"/>
        <v>10000</v>
      </c>
      <c r="S390" s="9">
        <v>4981.54</v>
      </c>
      <c r="T390" s="10">
        <v>10000.0</v>
      </c>
      <c r="V390" s="5">
        <f t="shared" si="2"/>
        <v>0</v>
      </c>
    </row>
    <row r="391" ht="22.5" customHeight="1">
      <c r="B391" s="7" t="s">
        <v>254</v>
      </c>
      <c r="C391" s="7">
        <v>3906.0</v>
      </c>
      <c r="D391" s="7">
        <v>1.3611728E7</v>
      </c>
      <c r="E391" s="7">
        <v>2.0988853E7</v>
      </c>
      <c r="F391" s="7">
        <v>2.067242E7</v>
      </c>
      <c r="G391" s="7">
        <v>3.43645454E8</v>
      </c>
      <c r="H391" s="7">
        <v>7.15831727E8</v>
      </c>
      <c r="I391" s="7">
        <v>602210.0</v>
      </c>
      <c r="J391" s="7">
        <v>349042.0</v>
      </c>
      <c r="K391" s="7">
        <v>253168.0</v>
      </c>
      <c r="L391" s="7">
        <v>56.87</v>
      </c>
      <c r="M391" s="7">
        <v>-0.02</v>
      </c>
      <c r="N391" s="7">
        <v>277177.0</v>
      </c>
      <c r="O391" s="7">
        <v>1.37875612E8</v>
      </c>
      <c r="P391" s="7" t="s">
        <v>411</v>
      </c>
      <c r="Q391" s="7">
        <v>5003.27</v>
      </c>
      <c r="R391" s="3">
        <f t="shared" si="1"/>
        <v>10000</v>
      </c>
      <c r="S391" s="9">
        <v>4581.05</v>
      </c>
      <c r="T391" s="10">
        <v>4581.05</v>
      </c>
      <c r="V391" s="5">
        <f t="shared" si="2"/>
        <v>-5418.95</v>
      </c>
    </row>
    <row r="392" ht="22.5" customHeight="1">
      <c r="B392" s="7" t="s">
        <v>399</v>
      </c>
      <c r="C392" s="7">
        <v>314295.0</v>
      </c>
      <c r="D392" s="7">
        <v>1258522.0</v>
      </c>
      <c r="E392" s="7">
        <v>6110027.0</v>
      </c>
      <c r="F392" s="7">
        <v>5931601.0</v>
      </c>
      <c r="G392" s="7">
        <v>2.3312155E7</v>
      </c>
      <c r="H392" s="7">
        <v>1.0251002158E10</v>
      </c>
      <c r="I392" s="7">
        <v>316830.0</v>
      </c>
      <c r="J392" s="7">
        <v>300741.0</v>
      </c>
      <c r="K392" s="7">
        <v>16089.0</v>
      </c>
      <c r="L392" s="7">
        <v>61.85</v>
      </c>
      <c r="M392" s="7">
        <v>-0.16</v>
      </c>
      <c r="N392" s="7">
        <v>24413.0</v>
      </c>
      <c r="O392" s="7">
        <v>4507254.0</v>
      </c>
      <c r="P392" s="7" t="s">
        <v>411</v>
      </c>
      <c r="Q392" s="7">
        <v>5003.98</v>
      </c>
      <c r="R392" s="3">
        <f t="shared" si="1"/>
        <v>10000</v>
      </c>
      <c r="S392" s="9">
        <v>3937.61</v>
      </c>
      <c r="T392" s="10">
        <v>3937.61</v>
      </c>
      <c r="V392" s="5">
        <f t="shared" si="2"/>
        <v>-6062.39</v>
      </c>
    </row>
    <row r="393" ht="22.5" customHeight="1">
      <c r="B393" s="7" t="s">
        <v>400</v>
      </c>
      <c r="C393" s="7">
        <v>302576.0</v>
      </c>
      <c r="D393" s="7">
        <v>1702428.0</v>
      </c>
      <c r="E393" s="7">
        <v>1.9404473E7</v>
      </c>
      <c r="F393" s="7">
        <v>1.8843072E7</v>
      </c>
      <c r="G393" s="7">
        <v>1.240676047E9</v>
      </c>
      <c r="H393" s="7">
        <v>1.3874835158E10</v>
      </c>
      <c r="I393" s="7">
        <v>450014.0</v>
      </c>
      <c r="J393" s="7">
        <v>379338.0</v>
      </c>
      <c r="K393" s="7">
        <v>70676.0</v>
      </c>
      <c r="L393" s="7">
        <v>96.63</v>
      </c>
      <c r="M393" s="7">
        <v>-0.1</v>
      </c>
      <c r="N393" s="7">
        <v>103574.0</v>
      </c>
      <c r="O393" s="7">
        <v>1.4301342E8</v>
      </c>
      <c r="P393" s="7" t="s">
        <v>411</v>
      </c>
      <c r="Q393" s="7">
        <v>5003.97</v>
      </c>
      <c r="R393" s="3">
        <f t="shared" si="1"/>
        <v>10000</v>
      </c>
      <c r="S393" s="9">
        <v>3803.36</v>
      </c>
      <c r="T393" s="10">
        <v>3803.36</v>
      </c>
      <c r="V393" s="5">
        <f t="shared" si="2"/>
        <v>-6196.64</v>
      </c>
    </row>
    <row r="394" ht="22.5" customHeight="1">
      <c r="B394" s="7" t="s">
        <v>401</v>
      </c>
      <c r="C394" s="7">
        <v>269416.0</v>
      </c>
      <c r="D394" s="7">
        <v>1214079.0</v>
      </c>
      <c r="E394" s="7">
        <v>2.2580449E7</v>
      </c>
      <c r="F394" s="7">
        <v>2.2136435E7</v>
      </c>
      <c r="G394" s="7">
        <v>4.4776699E7</v>
      </c>
      <c r="H394" s="7">
        <v>6.53859803E9</v>
      </c>
      <c r="I394" s="7">
        <v>883494.0</v>
      </c>
      <c r="J394" s="7">
        <v>760803.0</v>
      </c>
      <c r="K394" s="7">
        <v>122691.0</v>
      </c>
      <c r="L394" s="7">
        <v>44.65</v>
      </c>
      <c r="M394" s="7">
        <v>-0.06</v>
      </c>
      <c r="N394" s="7">
        <v>153395.0</v>
      </c>
      <c r="O394" s="7">
        <v>9990747.0</v>
      </c>
      <c r="P394" s="7" t="s">
        <v>411</v>
      </c>
      <c r="Q394" s="7">
        <v>5003.94</v>
      </c>
      <c r="R394" s="3">
        <f t="shared" si="1"/>
        <v>10000</v>
      </c>
      <c r="S394" s="9">
        <v>3850.65</v>
      </c>
      <c r="T394" s="10">
        <v>3850.65</v>
      </c>
      <c r="V394" s="5">
        <f t="shared" si="2"/>
        <v>-6149.35</v>
      </c>
    </row>
    <row r="395" ht="22.5" customHeight="1">
      <c r="B395" s="7" t="s">
        <v>62</v>
      </c>
      <c r="C395" s="7">
        <v>1085.0</v>
      </c>
      <c r="D395" s="7">
        <v>25464.0</v>
      </c>
      <c r="E395" s="7">
        <v>1.0618852E7</v>
      </c>
      <c r="F395" s="7">
        <v>1.0531773E7</v>
      </c>
      <c r="G395" s="7">
        <v>2.0753773E7</v>
      </c>
      <c r="H395" s="7">
        <v>1.490160903E9</v>
      </c>
      <c r="I395" s="7">
        <v>548119.0</v>
      </c>
      <c r="J395" s="7">
        <v>472464.0</v>
      </c>
      <c r="K395" s="7">
        <v>75655.0</v>
      </c>
      <c r="L395" s="7">
        <v>32.03</v>
      </c>
      <c r="M395" s="7">
        <v>-0.07</v>
      </c>
      <c r="N395" s="7">
        <v>89529.0</v>
      </c>
      <c r="O395" s="7">
        <v>4383331.0</v>
      </c>
      <c r="P395" s="7" t="s">
        <v>411</v>
      </c>
      <c r="Q395" s="7">
        <v>5004.0</v>
      </c>
      <c r="R395" s="3">
        <f t="shared" si="1"/>
        <v>10000</v>
      </c>
      <c r="S395" s="9">
        <v>5001.43</v>
      </c>
      <c r="T395" s="10">
        <v>10000.0</v>
      </c>
      <c r="V395" s="5">
        <f t="shared" si="2"/>
        <v>0</v>
      </c>
    </row>
    <row r="396" ht="22.5" customHeight="1">
      <c r="B396" s="7" t="s">
        <v>402</v>
      </c>
      <c r="C396" s="7">
        <v>1110.0</v>
      </c>
      <c r="D396" s="7">
        <v>27596.0</v>
      </c>
      <c r="E396" s="7">
        <v>1.1487368E7</v>
      </c>
      <c r="F396" s="7">
        <v>1.1405179E7</v>
      </c>
      <c r="G396" s="7">
        <v>2.0801529E7</v>
      </c>
      <c r="H396" s="7">
        <v>1.604290066E9</v>
      </c>
      <c r="I396" s="7">
        <v>583370.0</v>
      </c>
      <c r="J396" s="7">
        <v>495998.0</v>
      </c>
      <c r="K396" s="7">
        <v>87372.0</v>
      </c>
      <c r="L396" s="7">
        <v>31.77</v>
      </c>
      <c r="M396" s="7">
        <v>-0.06</v>
      </c>
      <c r="N396" s="7">
        <v>103624.0</v>
      </c>
      <c r="O396" s="7">
        <v>4304073.0</v>
      </c>
      <c r="P396" s="7" t="s">
        <v>411</v>
      </c>
      <c r="Q396" s="7">
        <v>5003.98</v>
      </c>
      <c r="R396" s="3">
        <f t="shared" si="1"/>
        <v>10000</v>
      </c>
      <c r="S396" s="9">
        <v>4997.14</v>
      </c>
      <c r="T396" s="10">
        <v>10000.0</v>
      </c>
      <c r="V396" s="5">
        <f t="shared" si="2"/>
        <v>0</v>
      </c>
    </row>
    <row r="397" ht="22.5" customHeight="1">
      <c r="B397" s="7" t="s">
        <v>403</v>
      </c>
      <c r="C397" s="7">
        <v>2240.0</v>
      </c>
      <c r="D397" s="7">
        <v>8960.0</v>
      </c>
      <c r="E397" s="7">
        <v>1.54846939E8</v>
      </c>
      <c r="F397" s="7">
        <v>1.54795293E8</v>
      </c>
      <c r="G397" s="7">
        <v>8.59103674E8</v>
      </c>
      <c r="H397" s="7">
        <v>1.97435932E9</v>
      </c>
      <c r="I397" s="7">
        <v>7587575.0</v>
      </c>
      <c r="J397" s="7">
        <v>6522645.0</v>
      </c>
      <c r="K397" s="7">
        <v>1064930.0</v>
      </c>
      <c r="L397" s="7">
        <v>21.43</v>
      </c>
      <c r="M397" s="7">
        <v>-0.04</v>
      </c>
      <c r="N397" s="7">
        <v>1244270.0</v>
      </c>
      <c r="O397" s="7">
        <v>1.66003595E8</v>
      </c>
      <c r="P397" s="7" t="s">
        <v>411</v>
      </c>
      <c r="Q397" s="7">
        <v>5003.96</v>
      </c>
      <c r="R397" s="3">
        <f t="shared" si="1"/>
        <v>10000</v>
      </c>
      <c r="S397" s="9">
        <v>5003.92</v>
      </c>
      <c r="T397" s="10">
        <v>10000.0</v>
      </c>
      <c r="V397" s="5">
        <f t="shared" si="2"/>
        <v>0</v>
      </c>
    </row>
    <row r="398" ht="22.5" customHeight="1">
      <c r="B398" s="7" t="s">
        <v>404</v>
      </c>
      <c r="C398" s="7">
        <v>730.0</v>
      </c>
      <c r="D398" s="7">
        <v>43124.0</v>
      </c>
      <c r="E398" s="7">
        <v>1.11200295E8</v>
      </c>
      <c r="F398" s="7">
        <v>8.422421E7</v>
      </c>
      <c r="G398" s="7">
        <v>3.69623415E8</v>
      </c>
      <c r="H398" s="7">
        <v>3.053956852E9</v>
      </c>
      <c r="I398" s="7">
        <v>1573540.0</v>
      </c>
      <c r="J398" s="7">
        <v>1065799.0</v>
      </c>
      <c r="K398" s="7">
        <v>507741.0</v>
      </c>
      <c r="L398" s="7">
        <v>49.57</v>
      </c>
      <c r="M398" s="7">
        <v>-0.05</v>
      </c>
      <c r="N398" s="7">
        <v>629423.0</v>
      </c>
      <c r="O398" s="7">
        <v>2.20182888E8</v>
      </c>
      <c r="P398" s="7" t="s">
        <v>411</v>
      </c>
      <c r="Q398" s="7">
        <v>5003.94</v>
      </c>
      <c r="R398" s="3">
        <f t="shared" si="1"/>
        <v>10000</v>
      </c>
      <c r="S398" s="9">
        <v>5003.73</v>
      </c>
      <c r="T398" s="10">
        <v>10000.0</v>
      </c>
      <c r="V398" s="5">
        <f t="shared" si="2"/>
        <v>0</v>
      </c>
    </row>
    <row r="399" ht="22.5" customHeight="1">
      <c r="B399" s="7" t="s">
        <v>405</v>
      </c>
      <c r="C399" s="7">
        <v>1156.0</v>
      </c>
      <c r="D399" s="7">
        <v>194072.0</v>
      </c>
      <c r="E399" s="7">
        <v>1.9237323E7</v>
      </c>
      <c r="F399" s="7">
        <v>1.8574587E7</v>
      </c>
      <c r="G399" s="7">
        <v>4.1798486E7</v>
      </c>
      <c r="H399" s="7">
        <v>2.675471338E9</v>
      </c>
      <c r="I399" s="7">
        <v>576373.0</v>
      </c>
      <c r="J399" s="7">
        <v>434793.0</v>
      </c>
      <c r="K399" s="7">
        <v>141580.0</v>
      </c>
      <c r="L399" s="7">
        <v>56.85</v>
      </c>
      <c r="M399" s="7">
        <v>-0.06</v>
      </c>
      <c r="N399" s="7">
        <v>171052.0</v>
      </c>
      <c r="O399" s="7">
        <v>1.3072209E7</v>
      </c>
      <c r="P399" s="7" t="s">
        <v>411</v>
      </c>
      <c r="Q399" s="7">
        <v>5003.99</v>
      </c>
      <c r="R399" s="3">
        <f t="shared" si="1"/>
        <v>10000</v>
      </c>
      <c r="S399" s="9">
        <v>562.05</v>
      </c>
      <c r="T399" s="10">
        <v>562.05</v>
      </c>
      <c r="V399" s="5">
        <f t="shared" si="2"/>
        <v>-9437.95</v>
      </c>
    </row>
    <row r="400" ht="22.5" customHeight="1">
      <c r="B400" s="7" t="s">
        <v>406</v>
      </c>
      <c r="C400" s="7">
        <v>1296.0</v>
      </c>
      <c r="D400" s="7">
        <v>230544.0</v>
      </c>
      <c r="E400" s="7">
        <v>1.9556932E7</v>
      </c>
      <c r="F400" s="7">
        <v>1.8843198E7</v>
      </c>
      <c r="G400" s="7">
        <v>4.554021E7</v>
      </c>
      <c r="H400" s="7">
        <v>2.819646274E9</v>
      </c>
      <c r="I400" s="7">
        <v>577257.0</v>
      </c>
      <c r="J400" s="7">
        <v>443434.0</v>
      </c>
      <c r="K400" s="7">
        <v>133823.0</v>
      </c>
      <c r="L400" s="7">
        <v>62.64</v>
      </c>
      <c r="M400" s="7">
        <v>-0.06</v>
      </c>
      <c r="N400" s="7">
        <v>163661.0</v>
      </c>
      <c r="O400" s="7">
        <v>1.4337225E7</v>
      </c>
      <c r="P400" s="7" t="s">
        <v>411</v>
      </c>
      <c r="Q400" s="7">
        <v>5003.96</v>
      </c>
      <c r="R400" s="3">
        <f t="shared" si="1"/>
        <v>10000</v>
      </c>
      <c r="S400" s="9">
        <v>2294.98</v>
      </c>
      <c r="T400" s="10">
        <v>2294.98</v>
      </c>
      <c r="V400" s="5">
        <f t="shared" si="2"/>
        <v>-7705.02</v>
      </c>
    </row>
    <row r="401" ht="22.5" customHeight="1">
      <c r="B401" s="7" t="s">
        <v>407</v>
      </c>
      <c r="C401" s="7">
        <v>382.0</v>
      </c>
      <c r="D401" s="7">
        <v>1018.0</v>
      </c>
      <c r="E401" s="7">
        <v>8.2323737E7</v>
      </c>
      <c r="F401" s="7">
        <v>8.2307006E7</v>
      </c>
      <c r="G401" s="7">
        <v>1.42797018E8</v>
      </c>
      <c r="H401" s="7">
        <v>6.83933513E8</v>
      </c>
      <c r="I401" s="7">
        <v>3095099.0</v>
      </c>
      <c r="J401" s="7">
        <v>2324717.0</v>
      </c>
      <c r="K401" s="7">
        <v>770382.0</v>
      </c>
      <c r="L401" s="7">
        <v>36.35</v>
      </c>
      <c r="M401" s="7">
        <v>-0.04</v>
      </c>
      <c r="N401" s="7">
        <v>883480.0</v>
      </c>
      <c r="O401" s="7">
        <v>4.1398574E7</v>
      </c>
      <c r="P401" s="7" t="s">
        <v>411</v>
      </c>
      <c r="Q401" s="7">
        <v>5003.99</v>
      </c>
      <c r="R401" s="3">
        <f t="shared" si="1"/>
        <v>10000</v>
      </c>
      <c r="S401" s="9">
        <v>5002.2</v>
      </c>
      <c r="T401" s="10">
        <v>10000.0</v>
      </c>
      <c r="V401" s="5">
        <f t="shared" si="2"/>
        <v>0</v>
      </c>
    </row>
    <row r="403">
      <c r="P403" s="4" t="s">
        <v>408</v>
      </c>
      <c r="Q403" s="4" t="s">
        <v>4</v>
      </c>
    </row>
    <row r="404">
      <c r="P404" s="5">
        <f t="shared" ref="P404:Q404" si="3">SUM(Q2:Q401)/400</f>
        <v>2402.1535</v>
      </c>
      <c r="Q404" s="5">
        <f t="shared" si="3"/>
        <v>4100.782925</v>
      </c>
    </row>
    <row r="405">
      <c r="N405" s="4" t="s">
        <v>409</v>
      </c>
      <c r="O405" s="5">
        <f>COUNTIF(P2:P401,"=SAT")</f>
        <v>164</v>
      </c>
    </row>
    <row r="406">
      <c r="N406" s="4" t="s">
        <v>410</v>
      </c>
      <c r="O406" s="5">
        <f>COUNTIF(P2:P401,"=UNSAT")</f>
        <v>100</v>
      </c>
    </row>
    <row r="407">
      <c r="N407" s="4" t="s">
        <v>411</v>
      </c>
      <c r="O407" s="5">
        <f>COUNTIF(P2:P401,"=IND")</f>
        <v>136</v>
      </c>
    </row>
  </sheetData>
  <drawing r:id="rId1"/>
  <tableParts count="1">
    <tablePart r:id="rId3"/>
  </tableParts>
</worksheet>
</file>